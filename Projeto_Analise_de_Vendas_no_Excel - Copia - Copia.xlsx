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5df90c4a7d3cc8b/Área de Trabalho/material de estudo/"/>
    </mc:Choice>
  </mc:AlternateContent>
  <xr:revisionPtr revIDLastSave="27" documentId="8_{AA06B91F-F9BC-4418-9DEF-38E613790400}" xr6:coauthVersionLast="47" xr6:coauthVersionMax="47" xr10:uidLastSave="{C2FD68D2-366A-4A4C-BD81-06746854EE6F}"/>
  <bookViews>
    <workbookView xWindow="-120" yWindow="-120" windowWidth="29040" windowHeight="15720" activeTab="4" xr2:uid="{00000000-000D-0000-FFFF-FFFF00000000}"/>
  </bookViews>
  <sheets>
    <sheet name="Leia-me" sheetId="1" r:id="rId1"/>
    <sheet name="Base_Vendas" sheetId="2" r:id="rId2"/>
    <sheet name="Dicionario" sheetId="3" r:id="rId3"/>
    <sheet name="calculos" sheetId="5" r:id="rId4"/>
    <sheet name="Meu_Painel" sheetId="4" r:id="rId5"/>
  </sheets>
  <definedNames>
    <definedName name="_xlcn.WorksheetConnection_Projeto_Analise_de_Vendas_no_Excel.xlsxTabela31" hidden="1">Tabela3</definedName>
  </definedNames>
  <calcPr calcId="191029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Tabela3" name="Tabela3" connection="WorksheetConnection_Projeto_Analise_de_Vendas_no_Excel.xlsx!Tabela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53" i="2" l="1"/>
  <c r="H20" i="5"/>
  <c r="Q4" i="2"/>
  <c r="T4" i="2" s="1"/>
  <c r="Q10" i="2"/>
  <c r="T10" i="2" s="1"/>
  <c r="Q21" i="2"/>
  <c r="Q29" i="2"/>
  <c r="Q31" i="2"/>
  <c r="T31" i="2" s="1"/>
  <c r="Q104" i="2"/>
  <c r="T104" i="2" s="1"/>
  <c r="Q108" i="2"/>
  <c r="T108" i="2" s="1"/>
  <c r="Q144" i="2"/>
  <c r="T144" i="2" s="1"/>
  <c r="Q151" i="2"/>
  <c r="Q183" i="2"/>
  <c r="T183" i="2" s="1"/>
  <c r="Q196" i="2"/>
  <c r="Q207" i="2"/>
  <c r="Q248" i="2"/>
  <c r="T248" i="2" s="1"/>
  <c r="Q262" i="2"/>
  <c r="T262" i="2" s="1"/>
  <c r="Q300" i="2"/>
  <c r="T300" i="2" s="1"/>
  <c r="Q301" i="2"/>
  <c r="T301" i="2" s="1"/>
  <c r="Q309" i="2"/>
  <c r="T309" i="2" s="1"/>
  <c r="Q347" i="2"/>
  <c r="T347" i="2" s="1"/>
  <c r="Q367" i="2"/>
  <c r="Q369" i="2"/>
  <c r="Q377" i="2"/>
  <c r="T377" i="2" s="1"/>
  <c r="Q398" i="2"/>
  <c r="T398" i="2" s="1"/>
  <c r="Q410" i="2"/>
  <c r="T410" i="2" s="1"/>
  <c r="Q423" i="2"/>
  <c r="T423" i="2" s="1"/>
  <c r="Q426" i="2"/>
  <c r="T426" i="2" s="1"/>
  <c r="Q436" i="2"/>
  <c r="T436" i="2" s="1"/>
  <c r="Q437" i="2"/>
  <c r="Q449" i="2"/>
  <c r="Q454" i="2"/>
  <c r="T454" i="2" s="1"/>
  <c r="Q471" i="2"/>
  <c r="T471" i="2" s="1"/>
  <c r="Q483" i="2"/>
  <c r="T483" i="2" s="1"/>
  <c r="Q501" i="2"/>
  <c r="T501" i="2" s="1"/>
  <c r="Q513" i="2"/>
  <c r="T513" i="2" s="1"/>
  <c r="Q535" i="2"/>
  <c r="T535" i="2" s="1"/>
  <c r="Q544" i="2"/>
  <c r="T544" i="2" s="1"/>
  <c r="Q608" i="2"/>
  <c r="T608" i="2" s="1"/>
  <c r="Q624" i="2"/>
  <c r="T624" i="2" s="1"/>
  <c r="Q636" i="2"/>
  <c r="T636" i="2" s="1"/>
  <c r="Q664" i="2"/>
  <c r="T664" i="2" s="1"/>
  <c r="Q894" i="2"/>
  <c r="T894" i="2" s="1"/>
  <c r="Q898" i="2"/>
  <c r="T898" i="2" s="1"/>
  <c r="Q908" i="2"/>
  <c r="T908" i="2" s="1"/>
  <c r="Q929" i="2"/>
  <c r="T929" i="2" s="1"/>
  <c r="T21" i="2"/>
  <c r="T29" i="2"/>
  <c r="T151" i="2"/>
  <c r="T196" i="2"/>
  <c r="T207" i="2"/>
  <c r="T367" i="2"/>
  <c r="T369" i="2"/>
  <c r="T437" i="2"/>
  <c r="T449" i="2"/>
  <c r="L6" i="4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3" i="2"/>
  <c r="A4" i="2"/>
  <c r="A5" i="2"/>
  <c r="A6" i="2"/>
  <c r="A7" i="2"/>
  <c r="A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O3" i="2"/>
  <c r="O2" i="2"/>
  <c r="P2" i="2" s="1"/>
  <c r="O4" i="2"/>
  <c r="P4" i="2" s="1"/>
  <c r="O5" i="2"/>
  <c r="O6" i="2"/>
  <c r="O7" i="2"/>
  <c r="O8" i="2"/>
  <c r="O9" i="2"/>
  <c r="O10" i="2"/>
  <c r="P10" i="2" s="1"/>
  <c r="O11" i="2"/>
  <c r="O12" i="2"/>
  <c r="O13" i="2"/>
  <c r="O14" i="2"/>
  <c r="O15" i="2"/>
  <c r="O16" i="2"/>
  <c r="O17" i="2"/>
  <c r="O18" i="2"/>
  <c r="O19" i="2"/>
  <c r="O20" i="2"/>
  <c r="O21" i="2"/>
  <c r="P21" i="2" s="1"/>
  <c r="O22" i="2"/>
  <c r="O23" i="2"/>
  <c r="O24" i="2"/>
  <c r="O25" i="2"/>
  <c r="O26" i="2"/>
  <c r="O27" i="2"/>
  <c r="O28" i="2"/>
  <c r="O29" i="2"/>
  <c r="P29" i="2" s="1"/>
  <c r="O30" i="2"/>
  <c r="O31" i="2"/>
  <c r="P31" i="2" s="1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P104" i="2" s="1"/>
  <c r="O105" i="2"/>
  <c r="O106" i="2"/>
  <c r="O107" i="2"/>
  <c r="O108" i="2"/>
  <c r="P108" i="2" s="1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P144" i="2" s="1"/>
  <c r="O145" i="2"/>
  <c r="O146" i="2"/>
  <c r="O147" i="2"/>
  <c r="O148" i="2"/>
  <c r="O149" i="2"/>
  <c r="O150" i="2"/>
  <c r="O151" i="2"/>
  <c r="P151" i="2" s="1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P183" i="2" s="1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P196" i="2" s="1"/>
  <c r="O197" i="2"/>
  <c r="O198" i="2"/>
  <c r="O199" i="2"/>
  <c r="O200" i="2"/>
  <c r="O201" i="2"/>
  <c r="O202" i="2"/>
  <c r="O203" i="2"/>
  <c r="O204" i="2"/>
  <c r="O205" i="2"/>
  <c r="O206" i="2"/>
  <c r="O207" i="2"/>
  <c r="P207" i="2" s="1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P248" i="2" s="1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P262" i="2" s="1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P300" i="2" s="1"/>
  <c r="O301" i="2"/>
  <c r="P301" i="2" s="1"/>
  <c r="O302" i="2"/>
  <c r="O303" i="2"/>
  <c r="O304" i="2"/>
  <c r="O305" i="2"/>
  <c r="O306" i="2"/>
  <c r="O307" i="2"/>
  <c r="O308" i="2"/>
  <c r="O309" i="2"/>
  <c r="P309" i="2" s="1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P347" i="2" s="1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P367" i="2" s="1"/>
  <c r="O368" i="2"/>
  <c r="O369" i="2"/>
  <c r="P369" i="2" s="1"/>
  <c r="O370" i="2"/>
  <c r="O371" i="2"/>
  <c r="O372" i="2"/>
  <c r="O373" i="2"/>
  <c r="O374" i="2"/>
  <c r="O375" i="2"/>
  <c r="O376" i="2"/>
  <c r="O377" i="2"/>
  <c r="P377" i="2" s="1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P398" i="2" s="1"/>
  <c r="O399" i="2"/>
  <c r="O400" i="2"/>
  <c r="O401" i="2"/>
  <c r="O402" i="2"/>
  <c r="O403" i="2"/>
  <c r="O404" i="2"/>
  <c r="O405" i="2"/>
  <c r="O406" i="2"/>
  <c r="O407" i="2"/>
  <c r="O408" i="2"/>
  <c r="O409" i="2"/>
  <c r="O410" i="2"/>
  <c r="P410" i="2" s="1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P423" i="2" s="1"/>
  <c r="O424" i="2"/>
  <c r="O425" i="2"/>
  <c r="O426" i="2"/>
  <c r="P426" i="2" s="1"/>
  <c r="O427" i="2"/>
  <c r="O428" i="2"/>
  <c r="O429" i="2"/>
  <c r="O430" i="2"/>
  <c r="O431" i="2"/>
  <c r="O432" i="2"/>
  <c r="O433" i="2"/>
  <c r="O434" i="2"/>
  <c r="O435" i="2"/>
  <c r="O436" i="2"/>
  <c r="P436" i="2" s="1"/>
  <c r="O437" i="2"/>
  <c r="P437" i="2" s="1"/>
  <c r="O438" i="2"/>
  <c r="O439" i="2"/>
  <c r="O440" i="2"/>
  <c r="O441" i="2"/>
  <c r="O442" i="2"/>
  <c r="O443" i="2"/>
  <c r="O444" i="2"/>
  <c r="O445" i="2"/>
  <c r="O446" i="2"/>
  <c r="O447" i="2"/>
  <c r="O448" i="2"/>
  <c r="O449" i="2"/>
  <c r="P449" i="2" s="1"/>
  <c r="O450" i="2"/>
  <c r="O451" i="2"/>
  <c r="O452" i="2"/>
  <c r="O453" i="2"/>
  <c r="O454" i="2"/>
  <c r="P454" i="2" s="1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P471" i="2" s="1"/>
  <c r="O472" i="2"/>
  <c r="O473" i="2"/>
  <c r="O474" i="2"/>
  <c r="O475" i="2"/>
  <c r="O476" i="2"/>
  <c r="O477" i="2"/>
  <c r="O478" i="2"/>
  <c r="O479" i="2"/>
  <c r="O480" i="2"/>
  <c r="O481" i="2"/>
  <c r="O482" i="2"/>
  <c r="O483" i="2"/>
  <c r="P483" i="2" s="1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P501" i="2" s="1"/>
  <c r="O502" i="2"/>
  <c r="O503" i="2"/>
  <c r="O504" i="2"/>
  <c r="O505" i="2"/>
  <c r="O506" i="2"/>
  <c r="O507" i="2"/>
  <c r="O508" i="2"/>
  <c r="O509" i="2"/>
  <c r="O510" i="2"/>
  <c r="O511" i="2"/>
  <c r="O512" i="2"/>
  <c r="O513" i="2"/>
  <c r="P513" i="2" s="1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P535" i="2" s="1"/>
  <c r="O536" i="2"/>
  <c r="O537" i="2"/>
  <c r="O538" i="2"/>
  <c r="O539" i="2"/>
  <c r="O540" i="2"/>
  <c r="O541" i="2"/>
  <c r="O542" i="2"/>
  <c r="O543" i="2"/>
  <c r="O544" i="2"/>
  <c r="P544" i="2" s="1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P608" i="2" s="1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P624" i="2" s="1"/>
  <c r="O625" i="2"/>
  <c r="O626" i="2"/>
  <c r="O627" i="2"/>
  <c r="O628" i="2"/>
  <c r="O629" i="2"/>
  <c r="O630" i="2"/>
  <c r="O631" i="2"/>
  <c r="O632" i="2"/>
  <c r="O633" i="2"/>
  <c r="O634" i="2"/>
  <c r="O635" i="2"/>
  <c r="O636" i="2"/>
  <c r="P636" i="2" s="1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P664" i="2" s="1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P894" i="2" s="1"/>
  <c r="O895" i="2"/>
  <c r="O896" i="2"/>
  <c r="O897" i="2"/>
  <c r="O898" i="2"/>
  <c r="P898" i="2" s="1"/>
  <c r="O899" i="2"/>
  <c r="O900" i="2"/>
  <c r="O901" i="2"/>
  <c r="O902" i="2"/>
  <c r="O903" i="2"/>
  <c r="O904" i="2"/>
  <c r="O905" i="2"/>
  <c r="O906" i="2"/>
  <c r="O907" i="2"/>
  <c r="O908" i="2"/>
  <c r="P908" i="2" s="1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P929" i="2" s="1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M23" i="4"/>
  <c r="M20" i="4"/>
  <c r="M21" i="4"/>
  <c r="M24" i="4"/>
  <c r="L14" i="4"/>
  <c r="L16" i="4"/>
  <c r="M22" i="4"/>
  <c r="L15" i="4"/>
  <c r="L13" i="4"/>
  <c r="L12" i="4"/>
  <c r="L11" i="4"/>
  <c r="P950" i="2" l="1"/>
  <c r="Q950" i="2" s="1"/>
  <c r="P814" i="2"/>
  <c r="Q814" i="2"/>
  <c r="P726" i="2"/>
  <c r="Q726" i="2" s="1"/>
  <c r="P686" i="2"/>
  <c r="Q686" i="2" s="1"/>
  <c r="S686" i="2" s="1"/>
  <c r="T686" i="2" s="1"/>
  <c r="P590" i="2"/>
  <c r="Q590" i="2" s="1"/>
  <c r="P558" i="2"/>
  <c r="Q558" i="2" s="1"/>
  <c r="P502" i="2"/>
  <c r="Q502" i="2" s="1"/>
  <c r="P910" i="2"/>
  <c r="Q910" i="2" s="1"/>
  <c r="S910" i="2" s="1"/>
  <c r="T910" i="2" s="1"/>
  <c r="P878" i="2"/>
  <c r="Q878" i="2"/>
  <c r="P694" i="2"/>
  <c r="Q694" i="2" s="1"/>
  <c r="P646" i="2"/>
  <c r="Q646" i="2" s="1"/>
  <c r="P550" i="2"/>
  <c r="Q550" i="2" s="1"/>
  <c r="S550" i="2" s="1"/>
  <c r="T550" i="2" s="1"/>
  <c r="P518" i="2"/>
  <c r="Q518" i="2" s="1"/>
  <c r="P478" i="2"/>
  <c r="Q478" i="2" s="1"/>
  <c r="P462" i="2"/>
  <c r="Q462" i="2" s="1"/>
  <c r="P422" i="2"/>
  <c r="Q422" i="2" s="1"/>
  <c r="S422" i="2" s="1"/>
  <c r="T422" i="2" s="1"/>
  <c r="P350" i="2"/>
  <c r="Q350" i="2" s="1"/>
  <c r="P909" i="2"/>
  <c r="Q909" i="2" s="1"/>
  <c r="P629" i="2"/>
  <c r="Q629" i="2" s="1"/>
  <c r="P942" i="2"/>
  <c r="Q942" i="2" s="1"/>
  <c r="P902" i="2"/>
  <c r="Q902" i="2" s="1"/>
  <c r="P854" i="2"/>
  <c r="Q854" i="2" s="1"/>
  <c r="P822" i="2"/>
  <c r="Q822" i="2" s="1"/>
  <c r="P750" i="2"/>
  <c r="Q750" i="2" s="1"/>
  <c r="S750" i="2" s="1"/>
  <c r="T750" i="2" s="1"/>
  <c r="P510" i="2"/>
  <c r="Q510" i="2" s="1"/>
  <c r="P925" i="2"/>
  <c r="Q925" i="2" s="1"/>
  <c r="P853" i="2"/>
  <c r="Q853" i="2" s="1"/>
  <c r="P789" i="2"/>
  <c r="Q789" i="2" s="1"/>
  <c r="P765" i="2"/>
  <c r="Q765" i="2" s="1"/>
  <c r="P669" i="2"/>
  <c r="Q669" i="2" s="1"/>
  <c r="P597" i="2"/>
  <c r="Q597" i="2" s="1"/>
  <c r="P581" i="2"/>
  <c r="Q581" i="2" s="1"/>
  <c r="P549" i="2"/>
  <c r="Q549" i="2" s="1"/>
  <c r="P461" i="2"/>
  <c r="Q461" i="2" s="1"/>
  <c r="P429" i="2"/>
  <c r="Q429" i="2" s="1"/>
  <c r="P838" i="2"/>
  <c r="Q838" i="2" s="1"/>
  <c r="P782" i="2"/>
  <c r="Q782" i="2" s="1"/>
  <c r="P718" i="2"/>
  <c r="Q718" i="2" s="1"/>
  <c r="P662" i="2"/>
  <c r="Q662" i="2" s="1"/>
  <c r="P582" i="2"/>
  <c r="Q582" i="2" s="1"/>
  <c r="S582" i="2" s="1"/>
  <c r="T582" i="2" s="1"/>
  <c r="P494" i="2"/>
  <c r="Q494" i="2" s="1"/>
  <c r="P941" i="2"/>
  <c r="Q941" i="2" s="1"/>
  <c r="P813" i="2"/>
  <c r="Q813" i="2" s="1"/>
  <c r="P725" i="2"/>
  <c r="Q725" i="2" s="1"/>
  <c r="P621" i="2"/>
  <c r="Q621" i="2" s="1"/>
  <c r="P557" i="2"/>
  <c r="Q557" i="2" s="1"/>
  <c r="P413" i="2"/>
  <c r="Q413" i="2" s="1"/>
  <c r="P405" i="2"/>
  <c r="Q405" i="2" s="1"/>
  <c r="S405" i="2" s="1"/>
  <c r="T405" i="2" s="1"/>
  <c r="P918" i="2"/>
  <c r="Q918" i="2" s="1"/>
  <c r="P846" i="2"/>
  <c r="Q846" i="2" s="1"/>
  <c r="P790" i="2"/>
  <c r="Q790" i="2" s="1"/>
  <c r="P774" i="2"/>
  <c r="Q774" i="2" s="1"/>
  <c r="P710" i="2"/>
  <c r="Q710" i="2" s="1"/>
  <c r="P654" i="2"/>
  <c r="Q654" i="2" s="1"/>
  <c r="S654" i="2" s="1"/>
  <c r="T654" i="2" s="1"/>
  <c r="P638" i="2"/>
  <c r="Q638" i="2" s="1"/>
  <c r="P622" i="2"/>
  <c r="Q622" i="2" s="1"/>
  <c r="P598" i="2"/>
  <c r="Q598" i="2" s="1"/>
  <c r="S598" i="2" s="1"/>
  <c r="T598" i="2" s="1"/>
  <c r="P566" i="2"/>
  <c r="Q566" i="2" s="1"/>
  <c r="S566" i="2" s="1"/>
  <c r="T566" i="2" s="1"/>
  <c r="P542" i="2"/>
  <c r="Q542" i="2" s="1"/>
  <c r="P526" i="2"/>
  <c r="Q526" i="2" s="1"/>
  <c r="P486" i="2"/>
  <c r="Q486" i="2" s="1"/>
  <c r="P470" i="2"/>
  <c r="Q470" i="2" s="1"/>
  <c r="P446" i="2"/>
  <c r="Q446" i="2" s="1"/>
  <c r="P430" i="2"/>
  <c r="Q430" i="2" s="1"/>
  <c r="P406" i="2"/>
  <c r="Q406" i="2" s="1"/>
  <c r="S406" i="2" s="1"/>
  <c r="T406" i="2" s="1"/>
  <c r="P390" i="2"/>
  <c r="Q390" i="2"/>
  <c r="P358" i="2"/>
  <c r="Q358" i="2" s="1"/>
  <c r="P917" i="2"/>
  <c r="Q917" i="2" s="1"/>
  <c r="P893" i="2"/>
  <c r="Q893" i="2" s="1"/>
  <c r="P877" i="2"/>
  <c r="Q877" i="2" s="1"/>
  <c r="P861" i="2"/>
  <c r="Q861" i="2" s="1"/>
  <c r="P797" i="2"/>
  <c r="Q797" i="2" s="1"/>
  <c r="P749" i="2"/>
  <c r="Q749" i="2" s="1"/>
  <c r="P733" i="2"/>
  <c r="Q733" i="2" s="1"/>
  <c r="P685" i="2"/>
  <c r="Q685" i="2" s="1"/>
  <c r="P637" i="2"/>
  <c r="Q637" i="2" s="1"/>
  <c r="P605" i="2"/>
  <c r="Q605" i="2" s="1"/>
  <c r="P525" i="2"/>
  <c r="Q525" i="2" s="1"/>
  <c r="P477" i="2"/>
  <c r="Q477" i="2" s="1"/>
  <c r="P453" i="2"/>
  <c r="Q453" i="2" s="1"/>
  <c r="P445" i="2"/>
  <c r="Q445" i="2" s="1"/>
  <c r="P333" i="2"/>
  <c r="Q333" i="2" s="1"/>
  <c r="P237" i="2"/>
  <c r="Q237" i="2" s="1"/>
  <c r="P141" i="2"/>
  <c r="Q141" i="2" s="1"/>
  <c r="P109" i="2"/>
  <c r="Q109" i="2" s="1"/>
  <c r="P900" i="2"/>
  <c r="Q900" i="2" s="1"/>
  <c r="P820" i="2"/>
  <c r="Q820" i="2" s="1"/>
  <c r="P548" i="2"/>
  <c r="Q548" i="2" s="1"/>
  <c r="P540" i="2"/>
  <c r="Q540" i="2" s="1"/>
  <c r="P524" i="2"/>
  <c r="Q524" i="2" s="1"/>
  <c r="P492" i="2"/>
  <c r="Q492" i="2" s="1"/>
  <c r="P476" i="2"/>
  <c r="Q476" i="2" s="1"/>
  <c r="P13" i="2"/>
  <c r="Q13" i="2" s="1"/>
  <c r="P940" i="2"/>
  <c r="Q940" i="2" s="1"/>
  <c r="P916" i="2"/>
  <c r="Q916" i="2" s="1"/>
  <c r="P884" i="2"/>
  <c r="Q884" i="2" s="1"/>
  <c r="P836" i="2"/>
  <c r="Q836" i="2" s="1"/>
  <c r="P828" i="2"/>
  <c r="Q828" i="2" s="1"/>
  <c r="P804" i="2"/>
  <c r="Q804" i="2" s="1"/>
  <c r="P772" i="2"/>
  <c r="Q772" i="2" s="1"/>
  <c r="P756" i="2"/>
  <c r="Q756" i="2" s="1"/>
  <c r="P708" i="2"/>
  <c r="Q708" i="2" s="1"/>
  <c r="P692" i="2"/>
  <c r="Q692" i="2" s="1"/>
  <c r="P676" i="2"/>
  <c r="Q676" i="2" s="1"/>
  <c r="P660" i="2"/>
  <c r="Q660" i="2" s="1"/>
  <c r="P644" i="2"/>
  <c r="Q644" i="2" s="1"/>
  <c r="P596" i="2"/>
  <c r="Q596" i="2" s="1"/>
  <c r="P580" i="2"/>
  <c r="Q580" i="2" s="1"/>
  <c r="P572" i="2"/>
  <c r="Q572" i="2" s="1"/>
  <c r="P173" i="2"/>
  <c r="Q173" i="2" s="1"/>
  <c r="P45" i="2"/>
  <c r="Q45" i="2" s="1"/>
  <c r="P269" i="2"/>
  <c r="Q269" i="2" s="1"/>
  <c r="P157" i="2"/>
  <c r="Q157" i="2" s="1"/>
  <c r="P93" i="2"/>
  <c r="Q93" i="2" s="1"/>
  <c r="P441" i="2"/>
  <c r="Q441" i="2" s="1"/>
  <c r="P952" i="2"/>
  <c r="Q952" i="2" s="1"/>
  <c r="P928" i="2"/>
  <c r="Q928" i="2" s="1"/>
  <c r="P888" i="2"/>
  <c r="Q888" i="2" s="1"/>
  <c r="P872" i="2"/>
  <c r="Q872" i="2" s="1"/>
  <c r="P712" i="2"/>
  <c r="Q712" i="2" s="1"/>
  <c r="P696" i="2"/>
  <c r="Q696" i="2" s="1"/>
  <c r="P616" i="2"/>
  <c r="Q616" i="2" s="1"/>
  <c r="P568" i="2"/>
  <c r="Q568" i="2" s="1"/>
  <c r="P536" i="2"/>
  <c r="Q536" i="2" s="1"/>
  <c r="P504" i="2"/>
  <c r="Q504" i="2" s="1"/>
  <c r="P472" i="2"/>
  <c r="Q472" i="2" s="1"/>
  <c r="P328" i="2"/>
  <c r="Q328" i="2" s="1"/>
  <c r="P256" i="2"/>
  <c r="Q256" i="2" s="1"/>
  <c r="P152" i="2"/>
  <c r="Q152" i="2" s="1"/>
  <c r="P64" i="2"/>
  <c r="Q64" i="2" s="1"/>
  <c r="P32" i="2"/>
  <c r="Q32" i="2" s="1"/>
  <c r="S32" i="2" s="1"/>
  <c r="T32" i="2" s="1"/>
  <c r="P205" i="2"/>
  <c r="Q205" i="2" s="1"/>
  <c r="P189" i="2"/>
  <c r="Q189" i="2" s="1"/>
  <c r="P125" i="2"/>
  <c r="Q125" i="2" s="1"/>
  <c r="P77" i="2"/>
  <c r="Q77" i="2" s="1"/>
  <c r="P61" i="2"/>
  <c r="Q61" i="2" s="1"/>
  <c r="P840" i="2"/>
  <c r="Q840" i="2" s="1"/>
  <c r="P824" i="2"/>
  <c r="Q824" i="2" s="1"/>
  <c r="P800" i="2"/>
  <c r="Q800" i="2" s="1"/>
  <c r="P744" i="2"/>
  <c r="Q744" i="2" s="1"/>
  <c r="P672" i="2"/>
  <c r="Q672" i="2" s="1"/>
  <c r="P632" i="2"/>
  <c r="Q632" i="2" s="1"/>
  <c r="P584" i="2"/>
  <c r="Q584" i="2" s="1"/>
  <c r="P528" i="2"/>
  <c r="Q528" i="2" s="1"/>
  <c r="P496" i="2"/>
  <c r="Q496" i="2" s="1"/>
  <c r="P336" i="2"/>
  <c r="Q336" i="2" s="1"/>
  <c r="S336" i="2" s="1"/>
  <c r="T336" i="2" s="1"/>
  <c r="P208" i="2"/>
  <c r="Q208" i="2" s="1"/>
  <c r="P200" i="2"/>
  <c r="Q200" i="2" s="1"/>
  <c r="P120" i="2"/>
  <c r="Q120" i="2" s="1"/>
  <c r="P96" i="2"/>
  <c r="Q96" i="2" s="1"/>
  <c r="S96" i="2" s="1"/>
  <c r="T96" i="2" s="1"/>
  <c r="P16" i="2"/>
  <c r="Q16" i="2" s="1"/>
  <c r="P943" i="2"/>
  <c r="Q943" i="2" s="1"/>
  <c r="P927" i="2"/>
  <c r="Q927" i="2"/>
  <c r="P903" i="2"/>
  <c r="Q903" i="2" s="1"/>
  <c r="P879" i="2"/>
  <c r="Q879" i="2" s="1"/>
  <c r="P863" i="2"/>
  <c r="Q863" i="2" s="1"/>
  <c r="P847" i="2"/>
  <c r="Q847" i="2" s="1"/>
  <c r="P839" i="2"/>
  <c r="Q839" i="2" s="1"/>
  <c r="P815" i="2"/>
  <c r="Q815" i="2" s="1"/>
  <c r="P799" i="2"/>
  <c r="Q799" i="2"/>
  <c r="P775" i="2"/>
  <c r="Q775" i="2" s="1"/>
  <c r="P751" i="2"/>
  <c r="Q751" i="2" s="1"/>
  <c r="P719" i="2"/>
  <c r="Q719" i="2" s="1"/>
  <c r="P711" i="2"/>
  <c r="Q711" i="2" s="1"/>
  <c r="P687" i="2"/>
  <c r="Q687" i="2" s="1"/>
  <c r="P671" i="2"/>
  <c r="Q671" i="2" s="1"/>
  <c r="P647" i="2"/>
  <c r="Q647" i="2" s="1"/>
  <c r="P428" i="2"/>
  <c r="Q428" i="2" s="1"/>
  <c r="P915" i="2"/>
  <c r="Q915" i="2" s="1"/>
  <c r="P899" i="2"/>
  <c r="Q899" i="2" s="1"/>
  <c r="P883" i="2"/>
  <c r="Q883" i="2" s="1"/>
  <c r="P851" i="2"/>
  <c r="Q851" i="2" s="1"/>
  <c r="P819" i="2"/>
  <c r="Q819" i="2" s="1"/>
  <c r="P787" i="2"/>
  <c r="Q787" i="2" s="1"/>
  <c r="P755" i="2"/>
  <c r="Q755" i="2" s="1"/>
  <c r="P723" i="2"/>
  <c r="Q723" i="2" s="1"/>
  <c r="P691" i="2"/>
  <c r="Q691" i="2" s="1"/>
  <c r="P627" i="2"/>
  <c r="Q627" i="2" s="1"/>
  <c r="P611" i="2"/>
  <c r="Q611" i="2" s="1"/>
  <c r="S611" i="2" s="1"/>
  <c r="T611" i="2" s="1"/>
  <c r="P523" i="2"/>
  <c r="Q523" i="2" s="1"/>
  <c r="P507" i="2"/>
  <c r="Q507" i="2" s="1"/>
  <c r="P475" i="2"/>
  <c r="Q475" i="2" s="1"/>
  <c r="P467" i="2"/>
  <c r="Q467" i="2" s="1"/>
  <c r="P451" i="2"/>
  <c r="Q451" i="2" s="1"/>
  <c r="P387" i="2"/>
  <c r="Q387" i="2" s="1"/>
  <c r="P371" i="2"/>
  <c r="Q371" i="2" s="1"/>
  <c r="P323" i="2"/>
  <c r="Q323" i="2" s="1"/>
  <c r="P362" i="2"/>
  <c r="Q362" i="2" s="1"/>
  <c r="P338" i="2"/>
  <c r="Q338" i="2" s="1"/>
  <c r="P314" i="2"/>
  <c r="Q314" i="2" s="1"/>
  <c r="P306" i="2"/>
  <c r="Q306" i="2" s="1"/>
  <c r="P290" i="2"/>
  <c r="Q290" i="2" s="1"/>
  <c r="P274" i="2"/>
  <c r="Q274" i="2" s="1"/>
  <c r="P250" i="2"/>
  <c r="Q250" i="2" s="1"/>
  <c r="S250" i="2" s="1"/>
  <c r="T250" i="2" s="1"/>
  <c r="P242" i="2"/>
  <c r="Q242" i="2" s="1"/>
  <c r="P210" i="2"/>
  <c r="Q210" i="2" s="1"/>
  <c r="P178" i="2"/>
  <c r="Q178" i="2" s="1"/>
  <c r="P170" i="2"/>
  <c r="Q170" i="2" s="1"/>
  <c r="P146" i="2"/>
  <c r="Q146" i="2" s="1"/>
  <c r="P122" i="2"/>
  <c r="Q122" i="2" s="1"/>
  <c r="P114" i="2"/>
  <c r="Q114" i="2" s="1"/>
  <c r="P90" i="2"/>
  <c r="Q90" i="2" s="1"/>
  <c r="S90" i="2" s="1"/>
  <c r="T90" i="2" s="1"/>
  <c r="P82" i="2"/>
  <c r="Q82" i="2" s="1"/>
  <c r="P58" i="2"/>
  <c r="Q58" i="2" s="1"/>
  <c r="P50" i="2"/>
  <c r="Q50" i="2" s="1"/>
  <c r="P18" i="2"/>
  <c r="Q18" i="2" s="1"/>
  <c r="P623" i="2"/>
  <c r="Q623" i="2" s="1"/>
  <c r="P591" i="2"/>
  <c r="Q591" i="2"/>
  <c r="P583" i="2"/>
  <c r="Q583" i="2" s="1"/>
  <c r="P559" i="2"/>
  <c r="Q559" i="2" s="1"/>
  <c r="P543" i="2"/>
  <c r="Q543" i="2" s="1"/>
  <c r="P527" i="2"/>
  <c r="Q527" i="2" s="1"/>
  <c r="P511" i="2"/>
  <c r="Q511" i="2" s="1"/>
  <c r="P495" i="2"/>
  <c r="Q495" i="2" s="1"/>
  <c r="P479" i="2"/>
  <c r="Q479" i="2" s="1"/>
  <c r="P463" i="2"/>
  <c r="Q463" i="2" s="1"/>
  <c r="P351" i="2"/>
  <c r="Q351" i="2" s="1"/>
  <c r="P279" i="2"/>
  <c r="Q279" i="2" s="1"/>
  <c r="P255" i="2"/>
  <c r="Q255" i="2" s="1"/>
  <c r="P239" i="2"/>
  <c r="Q239" i="2" s="1"/>
  <c r="P156" i="2"/>
  <c r="Q156" i="2" s="1"/>
  <c r="P140" i="2"/>
  <c r="Q140" i="2" s="1"/>
  <c r="P124" i="2"/>
  <c r="Q124" i="2" s="1"/>
  <c r="P92" i="2"/>
  <c r="Q92" i="2" s="1"/>
  <c r="P76" i="2"/>
  <c r="Q76" i="2" s="1"/>
  <c r="P60" i="2"/>
  <c r="Q60" i="2" s="1"/>
  <c r="P44" i="2"/>
  <c r="Q44" i="2" s="1"/>
  <c r="P28" i="2"/>
  <c r="Q28" i="2" s="1"/>
  <c r="P12" i="2"/>
  <c r="Q12" i="2" s="1"/>
  <c r="P275" i="2"/>
  <c r="Q275" i="2" s="1"/>
  <c r="P251" i="2"/>
  <c r="Q251" i="2" s="1"/>
  <c r="P195" i="2"/>
  <c r="Q195" i="2" s="1"/>
  <c r="P179" i="2"/>
  <c r="Q179" i="2" s="1"/>
  <c r="P163" i="2"/>
  <c r="Q163" i="2" s="1"/>
  <c r="P139" i="2"/>
  <c r="Q139" i="2" s="1"/>
  <c r="P115" i="2"/>
  <c r="Q115" i="2" s="1"/>
  <c r="P91" i="2"/>
  <c r="Q91" i="2" s="1"/>
  <c r="P83" i="2"/>
  <c r="Q83" i="2" s="1"/>
  <c r="P51" i="2"/>
  <c r="Q51" i="2" s="1"/>
  <c r="P35" i="2"/>
  <c r="Q35" i="2" s="1"/>
  <c r="O953" i="2"/>
  <c r="P3" i="2"/>
  <c r="Q3" i="2" s="1"/>
  <c r="P172" i="2"/>
  <c r="Q172" i="2" s="1"/>
  <c r="S929" i="2"/>
  <c r="S151" i="2"/>
  <c r="S878" i="2"/>
  <c r="T878" i="2" s="1"/>
  <c r="S494" i="2"/>
  <c r="T494" i="2" s="1"/>
  <c r="S814" i="2"/>
  <c r="T814" i="2" s="1"/>
  <c r="P948" i="2"/>
  <c r="Q948" i="2" s="1"/>
  <c r="P924" i="2"/>
  <c r="Q924" i="2" s="1"/>
  <c r="P860" i="2"/>
  <c r="Q860" i="2" s="1"/>
  <c r="P732" i="2"/>
  <c r="Q732" i="2" s="1"/>
  <c r="P668" i="2"/>
  <c r="Q668" i="2" s="1"/>
  <c r="P588" i="2"/>
  <c r="Q588" i="2" s="1"/>
  <c r="P516" i="2"/>
  <c r="Q516" i="2" s="1"/>
  <c r="P356" i="2"/>
  <c r="Q356" i="2" s="1"/>
  <c r="P324" i="2"/>
  <c r="Q324" i="2" s="1"/>
  <c r="P292" i="2"/>
  <c r="Q292" i="2" s="1"/>
  <c r="P260" i="2"/>
  <c r="Q260" i="2" s="1"/>
  <c r="P228" i="2"/>
  <c r="Q228" i="2" s="1"/>
  <c r="P204" i="2"/>
  <c r="Q204" i="2" s="1"/>
  <c r="P180" i="2"/>
  <c r="Q180" i="2" s="1"/>
  <c r="P388" i="2"/>
  <c r="Q388" i="2" s="1"/>
  <c r="S475" i="2"/>
  <c r="T475" i="2" s="1"/>
  <c r="S350" i="2"/>
  <c r="T350" i="2" s="1"/>
  <c r="P939" i="2"/>
  <c r="Q939" i="2" s="1"/>
  <c r="P891" i="2"/>
  <c r="Q891" i="2" s="1"/>
  <c r="P875" i="2"/>
  <c r="Q875" i="2" s="1"/>
  <c r="P859" i="2"/>
  <c r="Q859" i="2" s="1"/>
  <c r="P843" i="2"/>
  <c r="Q843" i="2" s="1"/>
  <c r="P803" i="2"/>
  <c r="Q803" i="2" s="1"/>
  <c r="P771" i="2"/>
  <c r="Q771" i="2" s="1"/>
  <c r="P763" i="2"/>
  <c r="Q763" i="2" s="1"/>
  <c r="P747" i="2"/>
  <c r="Q747" i="2" s="1"/>
  <c r="P707" i="2"/>
  <c r="Q707" i="2" s="1"/>
  <c r="P699" i="2"/>
  <c r="Q699" i="2" s="1"/>
  <c r="P683" i="2"/>
  <c r="Q683" i="2" s="1"/>
  <c r="P667" i="2"/>
  <c r="Q667" i="2" s="1"/>
  <c r="P651" i="2"/>
  <c r="Q651" i="2" s="1"/>
  <c r="P619" i="2"/>
  <c r="Q619" i="2" s="1"/>
  <c r="P603" i="2"/>
  <c r="Q603" i="2" s="1"/>
  <c r="P587" i="2"/>
  <c r="Q587" i="2" s="1"/>
  <c r="P571" i="2"/>
  <c r="Q571" i="2" s="1"/>
  <c r="P555" i="2"/>
  <c r="Q555" i="2" s="1"/>
  <c r="P539" i="2"/>
  <c r="Q539" i="2" s="1"/>
  <c r="P531" i="2"/>
  <c r="Q531" i="2" s="1"/>
  <c r="P435" i="2"/>
  <c r="Q435" i="2" s="1"/>
  <c r="P419" i="2"/>
  <c r="Q419" i="2" s="1"/>
  <c r="P411" i="2"/>
  <c r="Q411" i="2" s="1"/>
  <c r="P395" i="2"/>
  <c r="Q395" i="2" s="1"/>
  <c r="P379" i="2"/>
  <c r="Q379" i="2" s="1"/>
  <c r="P355" i="2"/>
  <c r="Q355" i="2" s="1"/>
  <c r="P331" i="2"/>
  <c r="Q331" i="2" s="1"/>
  <c r="P315" i="2"/>
  <c r="Q315" i="2" s="1"/>
  <c r="P219" i="2"/>
  <c r="Q219" i="2" s="1"/>
  <c r="P203" i="2"/>
  <c r="Q203" i="2" s="1"/>
  <c r="P171" i="2"/>
  <c r="Q171" i="2" s="1"/>
  <c r="P123" i="2"/>
  <c r="Q123" i="2" s="1"/>
  <c r="P59" i="2"/>
  <c r="Q59" i="2" s="1"/>
  <c r="P27" i="2"/>
  <c r="Q27" i="2" s="1"/>
  <c r="P11" i="2"/>
  <c r="Q11" i="2" s="1"/>
  <c r="P852" i="2"/>
  <c r="Q852" i="2" s="1"/>
  <c r="P946" i="2"/>
  <c r="Q946" i="2" s="1"/>
  <c r="P938" i="2"/>
  <c r="Q938" i="2" s="1"/>
  <c r="P930" i="2"/>
  <c r="Q930" i="2" s="1"/>
  <c r="P922" i="2"/>
  <c r="Q922" i="2" s="1"/>
  <c r="P914" i="2"/>
  <c r="Q914" i="2" s="1"/>
  <c r="P906" i="2"/>
  <c r="Q906" i="2" s="1"/>
  <c r="P890" i="2"/>
  <c r="Q890" i="2" s="1"/>
  <c r="P882" i="2"/>
  <c r="Q882" i="2" s="1"/>
  <c r="P874" i="2"/>
  <c r="Q874" i="2" s="1"/>
  <c r="P866" i="2"/>
  <c r="Q866" i="2" s="1"/>
  <c r="P858" i="2"/>
  <c r="Q858" i="2" s="1"/>
  <c r="P850" i="2"/>
  <c r="Q850" i="2" s="1"/>
  <c r="P842" i="2"/>
  <c r="Q842" i="2" s="1"/>
  <c r="P834" i="2"/>
  <c r="Q834" i="2" s="1"/>
  <c r="P826" i="2"/>
  <c r="Q826" i="2" s="1"/>
  <c r="P818" i="2"/>
  <c r="Q818" i="2" s="1"/>
  <c r="P810" i="2"/>
  <c r="Q810" i="2" s="1"/>
  <c r="P802" i="2"/>
  <c r="Q802" i="2" s="1"/>
  <c r="P794" i="2"/>
  <c r="Q794" i="2" s="1"/>
  <c r="P786" i="2"/>
  <c r="Q786" i="2" s="1"/>
  <c r="P778" i="2"/>
  <c r="Q778" i="2" s="1"/>
  <c r="P770" i="2"/>
  <c r="Q770" i="2" s="1"/>
  <c r="P762" i="2"/>
  <c r="Q762" i="2" s="1"/>
  <c r="P754" i="2"/>
  <c r="Q754" i="2" s="1"/>
  <c r="P746" i="2"/>
  <c r="Q746" i="2" s="1"/>
  <c r="P738" i="2"/>
  <c r="Q738" i="2" s="1"/>
  <c r="P730" i="2"/>
  <c r="Q730" i="2" s="1"/>
  <c r="P722" i="2"/>
  <c r="Q722" i="2" s="1"/>
  <c r="P714" i="2"/>
  <c r="Q714" i="2" s="1"/>
  <c r="P706" i="2"/>
  <c r="Q706" i="2" s="1"/>
  <c r="P698" i="2"/>
  <c r="Q698" i="2" s="1"/>
  <c r="P690" i="2"/>
  <c r="Q690" i="2" s="1"/>
  <c r="P682" i="2"/>
  <c r="Q682" i="2" s="1"/>
  <c r="P674" i="2"/>
  <c r="Q674" i="2" s="1"/>
  <c r="P666" i="2"/>
  <c r="Q666" i="2" s="1"/>
  <c r="P658" i="2"/>
  <c r="Q658" i="2" s="1"/>
  <c r="P650" i="2"/>
  <c r="Q650" i="2" s="1"/>
  <c r="P642" i="2"/>
  <c r="Q642" i="2" s="1"/>
  <c r="P634" i="2"/>
  <c r="Q634" i="2" s="1"/>
  <c r="P626" i="2"/>
  <c r="Q626" i="2" s="1"/>
  <c r="P618" i="2"/>
  <c r="Q618" i="2" s="1"/>
  <c r="P610" i="2"/>
  <c r="Q610" i="2" s="1"/>
  <c r="P602" i="2"/>
  <c r="Q602" i="2" s="1"/>
  <c r="P594" i="2"/>
  <c r="Q594" i="2" s="1"/>
  <c r="P586" i="2"/>
  <c r="Q586" i="2" s="1"/>
  <c r="P578" i="2"/>
  <c r="Q578" i="2" s="1"/>
  <c r="P570" i="2"/>
  <c r="Q570" i="2" s="1"/>
  <c r="P562" i="2"/>
  <c r="Q562" i="2" s="1"/>
  <c r="P554" i="2"/>
  <c r="Q554" i="2" s="1"/>
  <c r="P546" i="2"/>
  <c r="Q546" i="2" s="1"/>
  <c r="P538" i="2"/>
  <c r="Q538" i="2" s="1"/>
  <c r="P530" i="2"/>
  <c r="Q530" i="2" s="1"/>
  <c r="P522" i="2"/>
  <c r="Q522" i="2" s="1"/>
  <c r="P514" i="2"/>
  <c r="Q514" i="2" s="1"/>
  <c r="P506" i="2"/>
  <c r="Q506" i="2" s="1"/>
  <c r="P498" i="2"/>
  <c r="Q498" i="2" s="1"/>
  <c r="P490" i="2"/>
  <c r="Q490" i="2" s="1"/>
  <c r="P482" i="2"/>
  <c r="Q482" i="2" s="1"/>
  <c r="P474" i="2"/>
  <c r="Q474" i="2" s="1"/>
  <c r="P466" i="2"/>
  <c r="Q466" i="2" s="1"/>
  <c r="P458" i="2"/>
  <c r="Q458" i="2" s="1"/>
  <c r="P450" i="2"/>
  <c r="Q450" i="2" s="1"/>
  <c r="P434" i="2"/>
  <c r="Q434" i="2" s="1"/>
  <c r="P418" i="2"/>
  <c r="Q418" i="2" s="1"/>
  <c r="P402" i="2"/>
  <c r="Q402" i="2" s="1"/>
  <c r="P394" i="2"/>
  <c r="Q394" i="2" s="1"/>
  <c r="P386" i="2"/>
  <c r="Q386" i="2" s="1"/>
  <c r="P370" i="2"/>
  <c r="Q370" i="2" s="1"/>
  <c r="P354" i="2"/>
  <c r="Q354" i="2" s="1"/>
  <c r="P346" i="2"/>
  <c r="Q346" i="2" s="1"/>
  <c r="P330" i="2"/>
  <c r="Q330" i="2" s="1"/>
  <c r="P322" i="2"/>
  <c r="Q322" i="2" s="1"/>
  <c r="P298" i="2"/>
  <c r="Q298" i="2" s="1"/>
  <c r="P282" i="2"/>
  <c r="Q282" i="2" s="1"/>
  <c r="P266" i="2"/>
  <c r="Q266" i="2" s="1"/>
  <c r="P258" i="2"/>
  <c r="Q258" i="2" s="1"/>
  <c r="P234" i="2"/>
  <c r="Q234" i="2" s="1"/>
  <c r="P226" i="2"/>
  <c r="Q226" i="2" s="1"/>
  <c r="P218" i="2"/>
  <c r="Q218" i="2" s="1"/>
  <c r="P202" i="2"/>
  <c r="Q202" i="2" s="1"/>
  <c r="P194" i="2"/>
  <c r="Q194" i="2" s="1"/>
  <c r="P186" i="2"/>
  <c r="Q186" i="2" s="1"/>
  <c r="P378" i="2"/>
  <c r="Q378" i="2" s="1"/>
  <c r="P259" i="2"/>
  <c r="Q259" i="2" s="1"/>
  <c r="P844" i="2"/>
  <c r="Q844" i="2" s="1"/>
  <c r="P812" i="2"/>
  <c r="Q812" i="2" s="1"/>
  <c r="P652" i="2"/>
  <c r="Q652" i="2" s="1"/>
  <c r="P628" i="2"/>
  <c r="Q628" i="2" s="1"/>
  <c r="P604" i="2"/>
  <c r="Q604" i="2" s="1"/>
  <c r="P564" i="2"/>
  <c r="Q564" i="2" s="1"/>
  <c r="P532" i="2"/>
  <c r="Q532" i="2" s="1"/>
  <c r="P508" i="2"/>
  <c r="Q508" i="2" s="1"/>
  <c r="P468" i="2"/>
  <c r="Q468" i="2" s="1"/>
  <c r="P332" i="2"/>
  <c r="Q332" i="2" s="1"/>
  <c r="P308" i="2"/>
  <c r="Q308" i="2" s="1"/>
  <c r="P276" i="2"/>
  <c r="Q276" i="2" s="1"/>
  <c r="P236" i="2"/>
  <c r="Q236" i="2" s="1"/>
  <c r="P947" i="2"/>
  <c r="Q947" i="2" s="1"/>
  <c r="P931" i="2"/>
  <c r="Q931" i="2" s="1"/>
  <c r="P923" i="2"/>
  <c r="Q923" i="2" s="1"/>
  <c r="P907" i="2"/>
  <c r="Q907" i="2" s="1"/>
  <c r="P867" i="2"/>
  <c r="Q867" i="2" s="1"/>
  <c r="P835" i="2"/>
  <c r="Q835" i="2" s="1"/>
  <c r="P827" i="2"/>
  <c r="Q827" i="2" s="1"/>
  <c r="P811" i="2"/>
  <c r="Q811" i="2" s="1"/>
  <c r="P795" i="2"/>
  <c r="Q795" i="2" s="1"/>
  <c r="P779" i="2"/>
  <c r="Q779" i="2" s="1"/>
  <c r="P739" i="2"/>
  <c r="Q739" i="2" s="1"/>
  <c r="P731" i="2"/>
  <c r="Q731" i="2" s="1"/>
  <c r="P715" i="2"/>
  <c r="Q715" i="2" s="1"/>
  <c r="P675" i="2"/>
  <c r="Q675" i="2" s="1"/>
  <c r="P659" i="2"/>
  <c r="Q659" i="2" s="1"/>
  <c r="P643" i="2"/>
  <c r="Q643" i="2" s="1"/>
  <c r="P635" i="2"/>
  <c r="Q635" i="2" s="1"/>
  <c r="P595" i="2"/>
  <c r="Q595" i="2" s="1"/>
  <c r="P579" i="2"/>
  <c r="Q579" i="2" s="1"/>
  <c r="P563" i="2"/>
  <c r="Q563" i="2" s="1"/>
  <c r="P547" i="2"/>
  <c r="Q547" i="2" s="1"/>
  <c r="P515" i="2"/>
  <c r="Q515" i="2" s="1"/>
  <c r="P499" i="2"/>
  <c r="Q499" i="2" s="1"/>
  <c r="P491" i="2"/>
  <c r="Q491" i="2" s="1"/>
  <c r="P459" i="2"/>
  <c r="Q459" i="2" s="1"/>
  <c r="P443" i="2"/>
  <c r="Q443" i="2" s="1"/>
  <c r="P427" i="2"/>
  <c r="Q427" i="2" s="1"/>
  <c r="P299" i="2"/>
  <c r="Q299" i="2" s="1"/>
  <c r="P283" i="2"/>
  <c r="Q283" i="2" s="1"/>
  <c r="P267" i="2"/>
  <c r="Q267" i="2" s="1"/>
  <c r="P235" i="2"/>
  <c r="Q235" i="2" s="1"/>
  <c r="P187" i="2"/>
  <c r="Q187" i="2" s="1"/>
  <c r="P155" i="2"/>
  <c r="Q155" i="2" s="1"/>
  <c r="P107" i="2"/>
  <c r="Q107" i="2" s="1"/>
  <c r="P75" i="2"/>
  <c r="Q75" i="2" s="1"/>
  <c r="P43" i="2"/>
  <c r="Q43" i="2" s="1"/>
  <c r="P724" i="2"/>
  <c r="Q724" i="2" s="1"/>
  <c r="P945" i="2"/>
  <c r="Q945" i="2" s="1"/>
  <c r="P937" i="2"/>
  <c r="Q937" i="2" s="1"/>
  <c r="P921" i="2"/>
  <c r="Q921" i="2" s="1"/>
  <c r="P913" i="2"/>
  <c r="Q913" i="2" s="1"/>
  <c r="P905" i="2"/>
  <c r="Q905" i="2" s="1"/>
  <c r="P897" i="2"/>
  <c r="Q897" i="2" s="1"/>
  <c r="P889" i="2"/>
  <c r="Q889" i="2" s="1"/>
  <c r="P881" i="2"/>
  <c r="Q881" i="2" s="1"/>
  <c r="P873" i="2"/>
  <c r="Q873" i="2" s="1"/>
  <c r="P865" i="2"/>
  <c r="Q865" i="2" s="1"/>
  <c r="P857" i="2"/>
  <c r="Q857" i="2" s="1"/>
  <c r="P849" i="2"/>
  <c r="Q849" i="2" s="1"/>
  <c r="P841" i="2"/>
  <c r="Q841" i="2" s="1"/>
  <c r="P833" i="2"/>
  <c r="Q833" i="2" s="1"/>
  <c r="P825" i="2"/>
  <c r="Q825" i="2" s="1"/>
  <c r="P817" i="2"/>
  <c r="Q817" i="2" s="1"/>
  <c r="P809" i="2"/>
  <c r="Q809" i="2" s="1"/>
  <c r="P801" i="2"/>
  <c r="Q801" i="2" s="1"/>
  <c r="P793" i="2"/>
  <c r="Q793" i="2" s="1"/>
  <c r="P785" i="2"/>
  <c r="Q785" i="2" s="1"/>
  <c r="P777" i="2"/>
  <c r="Q777" i="2" s="1"/>
  <c r="P769" i="2"/>
  <c r="Q769" i="2" s="1"/>
  <c r="P761" i="2"/>
  <c r="Q761" i="2" s="1"/>
  <c r="P753" i="2"/>
  <c r="Q753" i="2" s="1"/>
  <c r="P745" i="2"/>
  <c r="Q745" i="2" s="1"/>
  <c r="P737" i="2"/>
  <c r="Q737" i="2" s="1"/>
  <c r="P729" i="2"/>
  <c r="Q729" i="2" s="1"/>
  <c r="P721" i="2"/>
  <c r="Q721" i="2" s="1"/>
  <c r="P713" i="2"/>
  <c r="Q713" i="2" s="1"/>
  <c r="P705" i="2"/>
  <c r="Q705" i="2" s="1"/>
  <c r="P697" i="2"/>
  <c r="Q697" i="2" s="1"/>
  <c r="P689" i="2"/>
  <c r="Q689" i="2" s="1"/>
  <c r="P681" i="2"/>
  <c r="Q681" i="2" s="1"/>
  <c r="P673" i="2"/>
  <c r="Q673" i="2" s="1"/>
  <c r="P665" i="2"/>
  <c r="Q665" i="2" s="1"/>
  <c r="P657" i="2"/>
  <c r="Q657" i="2" s="1"/>
  <c r="P649" i="2"/>
  <c r="Q649" i="2" s="1"/>
  <c r="P641" i="2"/>
  <c r="Q641" i="2" s="1"/>
  <c r="P633" i="2"/>
  <c r="Q633" i="2" s="1"/>
  <c r="P625" i="2"/>
  <c r="Q625" i="2" s="1"/>
  <c r="P617" i="2"/>
  <c r="Q617" i="2" s="1"/>
  <c r="P609" i="2"/>
  <c r="Q609" i="2" s="1"/>
  <c r="P601" i="2"/>
  <c r="Q601" i="2" s="1"/>
  <c r="P593" i="2"/>
  <c r="Q593" i="2" s="1"/>
  <c r="P585" i="2"/>
  <c r="Q585" i="2" s="1"/>
  <c r="P577" i="2"/>
  <c r="Q577" i="2" s="1"/>
  <c r="P569" i="2"/>
  <c r="Q569" i="2" s="1"/>
  <c r="P561" i="2"/>
  <c r="Q561" i="2" s="1"/>
  <c r="P553" i="2"/>
  <c r="Q553" i="2" s="1"/>
  <c r="P545" i="2"/>
  <c r="Q545" i="2" s="1"/>
  <c r="P537" i="2"/>
  <c r="Q537" i="2" s="1"/>
  <c r="P529" i="2"/>
  <c r="Q529" i="2" s="1"/>
  <c r="P521" i="2"/>
  <c r="Q521" i="2" s="1"/>
  <c r="P505" i="2"/>
  <c r="Q505" i="2" s="1"/>
  <c r="P497" i="2"/>
  <c r="Q497" i="2" s="1"/>
  <c r="P489" i="2"/>
  <c r="Q489" i="2" s="1"/>
  <c r="P481" i="2"/>
  <c r="Q481" i="2" s="1"/>
  <c r="P473" i="2"/>
  <c r="Q473" i="2" s="1"/>
  <c r="P465" i="2"/>
  <c r="Q465" i="2" s="1"/>
  <c r="P457" i="2"/>
  <c r="Q457" i="2" s="1"/>
  <c r="P433" i="2"/>
  <c r="Q433" i="2" s="1"/>
  <c r="P425" i="2"/>
  <c r="Q425" i="2" s="1"/>
  <c r="P409" i="2"/>
  <c r="Q409" i="2" s="1"/>
  <c r="P401" i="2"/>
  <c r="Q401" i="2" s="1"/>
  <c r="P393" i="2"/>
  <c r="Q393" i="2" s="1"/>
  <c r="P385" i="2"/>
  <c r="Q385" i="2" s="1"/>
  <c r="P361" i="2"/>
  <c r="Q361" i="2" s="1"/>
  <c r="P345" i="2"/>
  <c r="Q345" i="2" s="1"/>
  <c r="P337" i="2"/>
  <c r="Q337" i="2" s="1"/>
  <c r="P329" i="2"/>
  <c r="Q329" i="2" s="1"/>
  <c r="P321" i="2"/>
  <c r="Q321" i="2" s="1"/>
  <c r="P313" i="2"/>
  <c r="Q313" i="2" s="1"/>
  <c r="P305" i="2"/>
  <c r="Q305" i="2" s="1"/>
  <c r="P297" i="2"/>
  <c r="Q297" i="2" s="1"/>
  <c r="P289" i="2"/>
  <c r="Q289" i="2" s="1"/>
  <c r="P281" i="2"/>
  <c r="Q281" i="2" s="1"/>
  <c r="P273" i="2"/>
  <c r="Q273" i="2" s="1"/>
  <c r="P265" i="2"/>
  <c r="Q265" i="2" s="1"/>
  <c r="P257" i="2"/>
  <c r="Q257" i="2" s="1"/>
  <c r="P249" i="2"/>
  <c r="Q249" i="2" s="1"/>
  <c r="P241" i="2"/>
  <c r="Q241" i="2" s="1"/>
  <c r="P233" i="2"/>
  <c r="Q233" i="2" s="1"/>
  <c r="P225" i="2"/>
  <c r="Q225" i="2" s="1"/>
  <c r="P217" i="2"/>
  <c r="Q217" i="2" s="1"/>
  <c r="P209" i="2"/>
  <c r="Q209" i="2" s="1"/>
  <c r="P201" i="2"/>
  <c r="Q201" i="2" s="1"/>
  <c r="P193" i="2"/>
  <c r="Q193" i="2" s="1"/>
  <c r="P185" i="2"/>
  <c r="Q185" i="2" s="1"/>
  <c r="P177" i="2"/>
  <c r="Q177" i="2" s="1"/>
  <c r="P169" i="2"/>
  <c r="Q169" i="2" s="1"/>
  <c r="P161" i="2"/>
  <c r="Q161" i="2" s="1"/>
  <c r="P153" i="2"/>
  <c r="Q153" i="2" s="1"/>
  <c r="P145" i="2"/>
  <c r="Q145" i="2" s="1"/>
  <c r="P137" i="2"/>
  <c r="Q137" i="2" s="1"/>
  <c r="P129" i="2"/>
  <c r="Q129" i="2" s="1"/>
  <c r="P121" i="2"/>
  <c r="Q121" i="2" s="1"/>
  <c r="P113" i="2"/>
  <c r="Q113" i="2" s="1"/>
  <c r="P105" i="2"/>
  <c r="Q105" i="2" s="1"/>
  <c r="P97" i="2"/>
  <c r="Q97" i="2" s="1"/>
  <c r="P89" i="2"/>
  <c r="Q89" i="2" s="1"/>
  <c r="P81" i="2"/>
  <c r="Q81" i="2" s="1"/>
  <c r="P73" i="2"/>
  <c r="Q73" i="2" s="1"/>
  <c r="P65" i="2"/>
  <c r="Q65" i="2" s="1"/>
  <c r="P57" i="2"/>
  <c r="Q57" i="2" s="1"/>
  <c r="P49" i="2"/>
  <c r="Q49" i="2" s="1"/>
  <c r="P41" i="2"/>
  <c r="Q41" i="2" s="1"/>
  <c r="P33" i="2"/>
  <c r="Q33" i="2" s="1"/>
  <c r="P25" i="2"/>
  <c r="Q25" i="2" s="1"/>
  <c r="P17" i="2"/>
  <c r="Q17" i="2" s="1"/>
  <c r="P9" i="2"/>
  <c r="Q9" i="2" s="1"/>
  <c r="P868" i="2"/>
  <c r="Q868" i="2" s="1"/>
  <c r="P740" i="2"/>
  <c r="Q740" i="2" s="1"/>
  <c r="P612" i="2"/>
  <c r="Q612" i="2" s="1"/>
  <c r="P417" i="2"/>
  <c r="Q417" i="2" s="1"/>
  <c r="P364" i="2"/>
  <c r="Q364" i="2" s="1"/>
  <c r="P307" i="2"/>
  <c r="Q307" i="2" s="1"/>
  <c r="P243" i="2"/>
  <c r="Q243" i="2" s="1"/>
  <c r="P147" i="2"/>
  <c r="Q147" i="2" s="1"/>
  <c r="S377" i="2"/>
  <c r="P404" i="2"/>
  <c r="Q404" i="2" s="1"/>
  <c r="P380" i="2"/>
  <c r="Q380" i="2" s="1"/>
  <c r="P348" i="2"/>
  <c r="Q348" i="2" s="1"/>
  <c r="P316" i="2"/>
  <c r="Q316" i="2" s="1"/>
  <c r="P268" i="2"/>
  <c r="Q268" i="2" s="1"/>
  <c r="P244" i="2"/>
  <c r="Q244" i="2" s="1"/>
  <c r="P220" i="2"/>
  <c r="Q220" i="2" s="1"/>
  <c r="P188" i="2"/>
  <c r="Q188" i="2" s="1"/>
  <c r="P896" i="2"/>
  <c r="Q896" i="2" s="1"/>
  <c r="P880" i="2"/>
  <c r="Q880" i="2" s="1"/>
  <c r="P856" i="2"/>
  <c r="Q856" i="2" s="1"/>
  <c r="P848" i="2"/>
  <c r="Q848" i="2" s="1"/>
  <c r="P832" i="2"/>
  <c r="Q832" i="2" s="1"/>
  <c r="P816" i="2"/>
  <c r="Q816" i="2" s="1"/>
  <c r="P784" i="2"/>
  <c r="Q784" i="2" s="1"/>
  <c r="P704" i="2"/>
  <c r="Q704" i="2" s="1"/>
  <c r="P688" i="2"/>
  <c r="Q688" i="2" s="1"/>
  <c r="P640" i="2"/>
  <c r="Q640" i="2" s="1"/>
  <c r="P592" i="2"/>
  <c r="Q592" i="2" s="1"/>
  <c r="P560" i="2"/>
  <c r="Q560" i="2" s="1"/>
  <c r="P892" i="2"/>
  <c r="Q892" i="2" s="1"/>
  <c r="P661" i="2"/>
  <c r="Q661" i="2" s="1"/>
  <c r="P363" i="2"/>
  <c r="Q363" i="2" s="1"/>
  <c r="P951" i="2"/>
  <c r="Q951" i="2" s="1"/>
  <c r="P871" i="2"/>
  <c r="Q871" i="2" s="1"/>
  <c r="P807" i="2"/>
  <c r="Q807" i="2" s="1"/>
  <c r="P767" i="2"/>
  <c r="Q767" i="2" s="1"/>
  <c r="P759" i="2"/>
  <c r="Q759" i="2" s="1"/>
  <c r="P695" i="2"/>
  <c r="Q695" i="2" s="1"/>
  <c r="P631" i="2"/>
  <c r="Q631" i="2" s="1"/>
  <c r="P551" i="2"/>
  <c r="Q551" i="2" s="1"/>
  <c r="P519" i="2"/>
  <c r="Q519" i="2" s="1"/>
  <c r="P503" i="2"/>
  <c r="Q503" i="2" s="1"/>
  <c r="P487" i="2"/>
  <c r="Q487" i="2" s="1"/>
  <c r="P455" i="2"/>
  <c r="Q455" i="2" s="1"/>
  <c r="P447" i="2"/>
  <c r="Q447" i="2" s="1"/>
  <c r="P439" i="2"/>
  <c r="Q439" i="2" s="1"/>
  <c r="P431" i="2"/>
  <c r="Q431" i="2" s="1"/>
  <c r="P415" i="2"/>
  <c r="Q415" i="2" s="1"/>
  <c r="P407" i="2"/>
  <c r="Q407" i="2" s="1"/>
  <c r="P399" i="2"/>
  <c r="Q399" i="2" s="1"/>
  <c r="P391" i="2"/>
  <c r="Q391" i="2" s="1"/>
  <c r="P383" i="2"/>
  <c r="Q383" i="2" s="1"/>
  <c r="P375" i="2"/>
  <c r="Q375" i="2" s="1"/>
  <c r="P359" i="2"/>
  <c r="Q359" i="2" s="1"/>
  <c r="P343" i="2"/>
  <c r="Q343" i="2" s="1"/>
  <c r="P335" i="2"/>
  <c r="Q335" i="2" s="1"/>
  <c r="P327" i="2"/>
  <c r="Q327" i="2" s="1"/>
  <c r="P319" i="2"/>
  <c r="Q319" i="2" s="1"/>
  <c r="P311" i="2"/>
  <c r="Q311" i="2" s="1"/>
  <c r="P303" i="2"/>
  <c r="Q303" i="2" s="1"/>
  <c r="P295" i="2"/>
  <c r="Q295" i="2" s="1"/>
  <c r="P287" i="2"/>
  <c r="Q287" i="2" s="1"/>
  <c r="P788" i="2"/>
  <c r="Q788" i="2" s="1"/>
  <c r="P760" i="2"/>
  <c r="Q760" i="2" s="1"/>
  <c r="P735" i="2"/>
  <c r="Q735" i="2" s="1"/>
  <c r="P607" i="2"/>
  <c r="Q607" i="2" s="1"/>
  <c r="P412" i="2"/>
  <c r="Q412" i="2" s="1"/>
  <c r="P67" i="2"/>
  <c r="Q67" i="2" s="1"/>
  <c r="S369" i="2"/>
  <c r="P620" i="2"/>
  <c r="Q620" i="2" s="1"/>
  <c r="P500" i="2"/>
  <c r="Q500" i="2" s="1"/>
  <c r="P484" i="2"/>
  <c r="Q484" i="2" s="1"/>
  <c r="P460" i="2"/>
  <c r="Q460" i="2" s="1"/>
  <c r="P444" i="2"/>
  <c r="Q444" i="2" s="1"/>
  <c r="P420" i="2"/>
  <c r="Q420" i="2" s="1"/>
  <c r="P396" i="2"/>
  <c r="Q396" i="2" s="1"/>
  <c r="P372" i="2"/>
  <c r="Q372" i="2" s="1"/>
  <c r="P340" i="2"/>
  <c r="Q340" i="2" s="1"/>
  <c r="P284" i="2"/>
  <c r="Q284" i="2" s="1"/>
  <c r="P252" i="2"/>
  <c r="Q252" i="2" s="1"/>
  <c r="P212" i="2"/>
  <c r="Q212" i="2" s="1"/>
  <c r="P700" i="2"/>
  <c r="Q700" i="2" s="1"/>
  <c r="P944" i="2"/>
  <c r="Q944" i="2" s="1"/>
  <c r="P920" i="2"/>
  <c r="Q920" i="2" s="1"/>
  <c r="P912" i="2"/>
  <c r="Q912" i="2" s="1"/>
  <c r="P792" i="2"/>
  <c r="Q792" i="2" s="1"/>
  <c r="P768" i="2"/>
  <c r="Q768" i="2" s="1"/>
  <c r="P752" i="2"/>
  <c r="Q752" i="2" s="1"/>
  <c r="P728" i="2"/>
  <c r="Q728" i="2" s="1"/>
  <c r="P720" i="2"/>
  <c r="Q720" i="2" s="1"/>
  <c r="P656" i="2"/>
  <c r="Q656" i="2" s="1"/>
  <c r="P600" i="2"/>
  <c r="Q600" i="2" s="1"/>
  <c r="P576" i="2"/>
  <c r="Q576" i="2" s="1"/>
  <c r="P864" i="2"/>
  <c r="Q864" i="2" s="1"/>
  <c r="P764" i="2"/>
  <c r="Q764" i="2" s="1"/>
  <c r="P736" i="2"/>
  <c r="Q736" i="2" s="1"/>
  <c r="P935" i="2"/>
  <c r="Q935" i="2" s="1"/>
  <c r="P919" i="2"/>
  <c r="Q919" i="2" s="1"/>
  <c r="P895" i="2"/>
  <c r="Q895" i="2" s="1"/>
  <c r="P887" i="2"/>
  <c r="Q887" i="2" s="1"/>
  <c r="P855" i="2"/>
  <c r="Q855" i="2" s="1"/>
  <c r="P831" i="2"/>
  <c r="Q831" i="2" s="1"/>
  <c r="P823" i="2"/>
  <c r="Q823" i="2" s="1"/>
  <c r="P791" i="2"/>
  <c r="Q791" i="2" s="1"/>
  <c r="P743" i="2"/>
  <c r="Q743" i="2" s="1"/>
  <c r="P727" i="2"/>
  <c r="Q727" i="2" s="1"/>
  <c r="P703" i="2"/>
  <c r="Q703" i="2" s="1"/>
  <c r="P679" i="2"/>
  <c r="Q679" i="2" s="1"/>
  <c r="P663" i="2"/>
  <c r="Q663" i="2" s="1"/>
  <c r="P639" i="2"/>
  <c r="Q639" i="2" s="1"/>
  <c r="P615" i="2"/>
  <c r="Q615" i="2" s="1"/>
  <c r="P599" i="2"/>
  <c r="Q599" i="2" s="1"/>
  <c r="P575" i="2"/>
  <c r="Q575" i="2" s="1"/>
  <c r="P567" i="2"/>
  <c r="Q567" i="2" s="1"/>
  <c r="P934" i="2"/>
  <c r="Q934" i="2" s="1"/>
  <c r="P926" i="2"/>
  <c r="Q926" i="2" s="1"/>
  <c r="P870" i="2"/>
  <c r="Q870" i="2" s="1"/>
  <c r="P862" i="2"/>
  <c r="Q862" i="2" s="1"/>
  <c r="P830" i="2"/>
  <c r="Q830" i="2" s="1"/>
  <c r="P806" i="2"/>
  <c r="Q806" i="2" s="1"/>
  <c r="P798" i="2"/>
  <c r="Q798" i="2" s="1"/>
  <c r="P766" i="2"/>
  <c r="Q766" i="2" s="1"/>
  <c r="P742" i="2"/>
  <c r="Q742" i="2" s="1"/>
  <c r="P734" i="2"/>
  <c r="Q734" i="2" s="1"/>
  <c r="P702" i="2"/>
  <c r="Q702" i="2" s="1"/>
  <c r="P678" i="2"/>
  <c r="Q678" i="2" s="1"/>
  <c r="P670" i="2"/>
  <c r="Q670" i="2" s="1"/>
  <c r="P614" i="2"/>
  <c r="Q614" i="2" s="1"/>
  <c r="P606" i="2"/>
  <c r="Q606" i="2" s="1"/>
  <c r="P936" i="2"/>
  <c r="Q936" i="2" s="1"/>
  <c r="P911" i="2"/>
  <c r="Q911" i="2" s="1"/>
  <c r="P886" i="2"/>
  <c r="Q886" i="2" s="1"/>
  <c r="P808" i="2"/>
  <c r="Q808" i="2" s="1"/>
  <c r="P783" i="2"/>
  <c r="Q783" i="2" s="1"/>
  <c r="P758" i="2"/>
  <c r="Q758" i="2" s="1"/>
  <c r="P680" i="2"/>
  <c r="Q680" i="2" s="1"/>
  <c r="P655" i="2"/>
  <c r="Q655" i="2" s="1"/>
  <c r="P630" i="2"/>
  <c r="Q630" i="2" s="1"/>
  <c r="P552" i="2"/>
  <c r="Q552" i="2" s="1"/>
  <c r="P520" i="2"/>
  <c r="Q520" i="2" s="1"/>
  <c r="P488" i="2"/>
  <c r="Q488" i="2" s="1"/>
  <c r="P403" i="2"/>
  <c r="Q403" i="2" s="1"/>
  <c r="P353" i="2"/>
  <c r="Q353" i="2" s="1"/>
  <c r="P291" i="2"/>
  <c r="Q291" i="2" s="1"/>
  <c r="P227" i="2"/>
  <c r="Q227" i="2" s="1"/>
  <c r="P99" i="2"/>
  <c r="Q99" i="2" s="1"/>
  <c r="P876" i="2"/>
  <c r="Q876" i="2" s="1"/>
  <c r="P796" i="2"/>
  <c r="Q796" i="2" s="1"/>
  <c r="P780" i="2"/>
  <c r="Q780" i="2" s="1"/>
  <c r="P748" i="2"/>
  <c r="Q748" i="2" s="1"/>
  <c r="P716" i="2"/>
  <c r="Q716" i="2" s="1"/>
  <c r="P684" i="2"/>
  <c r="Q684" i="2" s="1"/>
  <c r="P556" i="2"/>
  <c r="Q556" i="2" s="1"/>
  <c r="P452" i="2"/>
  <c r="Q452" i="2" s="1"/>
  <c r="P949" i="2"/>
  <c r="Q949" i="2" s="1"/>
  <c r="P933" i="2"/>
  <c r="Q933" i="2" s="1"/>
  <c r="P901" i="2"/>
  <c r="Q901" i="2" s="1"/>
  <c r="P885" i="2"/>
  <c r="Q885" i="2" s="1"/>
  <c r="P869" i="2"/>
  <c r="Q869" i="2" s="1"/>
  <c r="P845" i="2"/>
  <c r="Q845" i="2" s="1"/>
  <c r="P837" i="2"/>
  <c r="Q837" i="2" s="1"/>
  <c r="P821" i="2"/>
  <c r="Q821" i="2" s="1"/>
  <c r="P805" i="2"/>
  <c r="Q805" i="2" s="1"/>
  <c r="P781" i="2"/>
  <c r="Q781" i="2" s="1"/>
  <c r="P773" i="2"/>
  <c r="Q773" i="2" s="1"/>
  <c r="P757" i="2"/>
  <c r="Q757" i="2" s="1"/>
  <c r="P741" i="2"/>
  <c r="Q741" i="2" s="1"/>
  <c r="P717" i="2"/>
  <c r="Q717" i="2" s="1"/>
  <c r="P709" i="2"/>
  <c r="Q709" i="2" s="1"/>
  <c r="P693" i="2"/>
  <c r="Q693" i="2" s="1"/>
  <c r="P677" i="2"/>
  <c r="Q677" i="2" s="1"/>
  <c r="P653" i="2"/>
  <c r="Q653" i="2" s="1"/>
  <c r="P645" i="2"/>
  <c r="Q645" i="2" s="1"/>
  <c r="P613" i="2"/>
  <c r="Q613" i="2" s="1"/>
  <c r="P589" i="2"/>
  <c r="Q589" i="2" s="1"/>
  <c r="P565" i="2"/>
  <c r="Q565" i="2" s="1"/>
  <c r="P541" i="2"/>
  <c r="Q541" i="2" s="1"/>
  <c r="P533" i="2"/>
  <c r="Q533" i="2" s="1"/>
  <c r="P517" i="2"/>
  <c r="Q517" i="2" s="1"/>
  <c r="P509" i="2"/>
  <c r="Q509" i="2" s="1"/>
  <c r="P493" i="2"/>
  <c r="Q493" i="2" s="1"/>
  <c r="P485" i="2"/>
  <c r="Q485" i="2" s="1"/>
  <c r="P469" i="2"/>
  <c r="Q469" i="2" s="1"/>
  <c r="P421" i="2"/>
  <c r="Q421" i="2" s="1"/>
  <c r="P397" i="2"/>
  <c r="Q397" i="2" s="1"/>
  <c r="P381" i="2"/>
  <c r="Q381" i="2" s="1"/>
  <c r="P373" i="2"/>
  <c r="Q373" i="2" s="1"/>
  <c r="P365" i="2"/>
  <c r="Q365" i="2" s="1"/>
  <c r="P357" i="2"/>
  <c r="Q357" i="2" s="1"/>
  <c r="P349" i="2"/>
  <c r="Q349" i="2" s="1"/>
  <c r="P341" i="2"/>
  <c r="Q341" i="2" s="1"/>
  <c r="P325" i="2"/>
  <c r="Q325" i="2" s="1"/>
  <c r="P317" i="2"/>
  <c r="Q317" i="2" s="1"/>
  <c r="P293" i="2"/>
  <c r="Q293" i="2" s="1"/>
  <c r="P285" i="2"/>
  <c r="Q285" i="2" s="1"/>
  <c r="P277" i="2"/>
  <c r="Q277" i="2" s="1"/>
  <c r="P261" i="2"/>
  <c r="Q261" i="2" s="1"/>
  <c r="P253" i="2"/>
  <c r="Q253" i="2" s="1"/>
  <c r="P245" i="2"/>
  <c r="Q245" i="2" s="1"/>
  <c r="P229" i="2"/>
  <c r="Q229" i="2" s="1"/>
  <c r="P221" i="2"/>
  <c r="Q221" i="2" s="1"/>
  <c r="P213" i="2"/>
  <c r="Q213" i="2" s="1"/>
  <c r="P197" i="2"/>
  <c r="Q197" i="2" s="1"/>
  <c r="P932" i="2"/>
  <c r="Q932" i="2" s="1"/>
  <c r="P904" i="2"/>
  <c r="Q904" i="2" s="1"/>
  <c r="P829" i="2"/>
  <c r="Q829" i="2" s="1"/>
  <c r="P776" i="2"/>
  <c r="Q776" i="2" s="1"/>
  <c r="P701" i="2"/>
  <c r="Q701" i="2" s="1"/>
  <c r="P648" i="2"/>
  <c r="Q648" i="2" s="1"/>
  <c r="P573" i="2"/>
  <c r="Q573" i="2" s="1"/>
  <c r="P512" i="2"/>
  <c r="Q512" i="2" s="1"/>
  <c r="P480" i="2"/>
  <c r="Q480" i="2" s="1"/>
  <c r="P442" i="2"/>
  <c r="Q442" i="2" s="1"/>
  <c r="P389" i="2"/>
  <c r="Q389" i="2" s="1"/>
  <c r="P339" i="2"/>
  <c r="Q339" i="2" s="1"/>
  <c r="P211" i="2"/>
  <c r="Q211" i="2" s="1"/>
  <c r="P131" i="2"/>
  <c r="Q131" i="2" s="1"/>
  <c r="P19" i="2"/>
  <c r="Q19" i="2" s="1"/>
  <c r="P154" i="2"/>
  <c r="Q154" i="2" s="1"/>
  <c r="P138" i="2"/>
  <c r="Q138" i="2" s="1"/>
  <c r="P106" i="2"/>
  <c r="Q106" i="2" s="1"/>
  <c r="P74" i="2"/>
  <c r="Q74" i="2" s="1"/>
  <c r="P42" i="2"/>
  <c r="Q42" i="2" s="1"/>
  <c r="P26" i="2"/>
  <c r="Q26" i="2" s="1"/>
  <c r="S908" i="2"/>
  <c r="P464" i="2"/>
  <c r="Q464" i="2" s="1"/>
  <c r="P456" i="2"/>
  <c r="Q456" i="2" s="1"/>
  <c r="P448" i="2"/>
  <c r="Q448" i="2" s="1"/>
  <c r="P440" i="2"/>
  <c r="Q440" i="2" s="1"/>
  <c r="P432" i="2"/>
  <c r="Q432" i="2" s="1"/>
  <c r="P424" i="2"/>
  <c r="Q424" i="2" s="1"/>
  <c r="P416" i="2"/>
  <c r="Q416" i="2" s="1"/>
  <c r="P408" i="2"/>
  <c r="Q408" i="2" s="1"/>
  <c r="P400" i="2"/>
  <c r="Q400" i="2" s="1"/>
  <c r="P392" i="2"/>
  <c r="Q392" i="2" s="1"/>
  <c r="P384" i="2"/>
  <c r="Q384" i="2" s="1"/>
  <c r="P376" i="2"/>
  <c r="Q376" i="2" s="1"/>
  <c r="P368" i="2"/>
  <c r="Q368" i="2" s="1"/>
  <c r="P360" i="2"/>
  <c r="Q360" i="2" s="1"/>
  <c r="P352" i="2"/>
  <c r="Q352" i="2" s="1"/>
  <c r="P344" i="2"/>
  <c r="Q344" i="2" s="1"/>
  <c r="P320" i="2"/>
  <c r="Q320" i="2" s="1"/>
  <c r="P312" i="2"/>
  <c r="Q312" i="2" s="1"/>
  <c r="P304" i="2"/>
  <c r="Q304" i="2" s="1"/>
  <c r="P296" i="2"/>
  <c r="Q296" i="2" s="1"/>
  <c r="P288" i="2"/>
  <c r="Q288" i="2" s="1"/>
  <c r="P280" i="2"/>
  <c r="Q280" i="2" s="1"/>
  <c r="P272" i="2"/>
  <c r="Q272" i="2" s="1"/>
  <c r="P264" i="2"/>
  <c r="Q264" i="2" s="1"/>
  <c r="P240" i="2"/>
  <c r="Q240" i="2" s="1"/>
  <c r="P232" i="2"/>
  <c r="Q232" i="2" s="1"/>
  <c r="P224" i="2"/>
  <c r="Q224" i="2" s="1"/>
  <c r="P216" i="2"/>
  <c r="Q216" i="2" s="1"/>
  <c r="P192" i="2"/>
  <c r="Q192" i="2" s="1"/>
  <c r="P184" i="2"/>
  <c r="Q184" i="2" s="1"/>
  <c r="P176" i="2"/>
  <c r="Q176" i="2" s="1"/>
  <c r="P168" i="2"/>
  <c r="Q168" i="2" s="1"/>
  <c r="P160" i="2"/>
  <c r="Q160" i="2" s="1"/>
  <c r="P136" i="2"/>
  <c r="Q136" i="2" s="1"/>
  <c r="P128" i="2"/>
  <c r="Q128" i="2" s="1"/>
  <c r="P112" i="2"/>
  <c r="Q112" i="2" s="1"/>
  <c r="P88" i="2"/>
  <c r="Q88" i="2" s="1"/>
  <c r="P80" i="2"/>
  <c r="Q80" i="2" s="1"/>
  <c r="P72" i="2"/>
  <c r="Q72" i="2" s="1"/>
  <c r="P56" i="2"/>
  <c r="Q56" i="2" s="1"/>
  <c r="P48" i="2"/>
  <c r="Q48" i="2" s="1"/>
  <c r="P40" i="2"/>
  <c r="Q40" i="2" s="1"/>
  <c r="P24" i="2"/>
  <c r="Q24" i="2" s="1"/>
  <c r="P8" i="2"/>
  <c r="Q8" i="2" s="1"/>
  <c r="P162" i="2"/>
  <c r="Q162" i="2" s="1"/>
  <c r="P130" i="2"/>
  <c r="Q130" i="2" s="1"/>
  <c r="P98" i="2"/>
  <c r="Q98" i="2" s="1"/>
  <c r="P66" i="2"/>
  <c r="Q66" i="2" s="1"/>
  <c r="P34" i="2"/>
  <c r="Q34" i="2" s="1"/>
  <c r="Q2" i="2"/>
  <c r="P271" i="2"/>
  <c r="Q271" i="2" s="1"/>
  <c r="P263" i="2"/>
  <c r="Q263" i="2" s="1"/>
  <c r="P247" i="2"/>
  <c r="Q247" i="2" s="1"/>
  <c r="P231" i="2"/>
  <c r="Q231" i="2" s="1"/>
  <c r="P223" i="2"/>
  <c r="Q223" i="2" s="1"/>
  <c r="P215" i="2"/>
  <c r="Q215" i="2" s="1"/>
  <c r="P199" i="2"/>
  <c r="Q199" i="2" s="1"/>
  <c r="P191" i="2"/>
  <c r="Q191" i="2" s="1"/>
  <c r="P175" i="2"/>
  <c r="Q175" i="2" s="1"/>
  <c r="P167" i="2"/>
  <c r="Q167" i="2" s="1"/>
  <c r="P159" i="2"/>
  <c r="Q159" i="2" s="1"/>
  <c r="P143" i="2"/>
  <c r="Q143" i="2" s="1"/>
  <c r="P135" i="2"/>
  <c r="Q135" i="2" s="1"/>
  <c r="P127" i="2"/>
  <c r="Q127" i="2" s="1"/>
  <c r="P119" i="2"/>
  <c r="Q119" i="2" s="1"/>
  <c r="P111" i="2"/>
  <c r="Q111" i="2" s="1"/>
  <c r="P103" i="2"/>
  <c r="Q103" i="2" s="1"/>
  <c r="P95" i="2"/>
  <c r="Q95" i="2" s="1"/>
  <c r="P87" i="2"/>
  <c r="Q87" i="2" s="1"/>
  <c r="P79" i="2"/>
  <c r="Q79" i="2" s="1"/>
  <c r="P71" i="2"/>
  <c r="Q71" i="2" s="1"/>
  <c r="P63" i="2"/>
  <c r="Q63" i="2" s="1"/>
  <c r="P55" i="2"/>
  <c r="Q55" i="2" s="1"/>
  <c r="P47" i="2"/>
  <c r="Q47" i="2" s="1"/>
  <c r="P39" i="2"/>
  <c r="Q39" i="2" s="1"/>
  <c r="P23" i="2"/>
  <c r="Q23" i="2" s="1"/>
  <c r="P15" i="2"/>
  <c r="Q15" i="2" s="1"/>
  <c r="P7" i="2"/>
  <c r="Q7" i="2" s="1"/>
  <c r="P534" i="2"/>
  <c r="Q534" i="2" s="1"/>
  <c r="S894" i="2"/>
  <c r="S436" i="2"/>
  <c r="P438" i="2"/>
  <c r="Q438" i="2" s="1"/>
  <c r="P414" i="2"/>
  <c r="Q414" i="2" s="1"/>
  <c r="P382" i="2"/>
  <c r="Q382" i="2" s="1"/>
  <c r="P374" i="2"/>
  <c r="Q374" i="2" s="1"/>
  <c r="P366" i="2"/>
  <c r="Q366" i="2" s="1"/>
  <c r="P342" i="2"/>
  <c r="Q342" i="2" s="1"/>
  <c r="P334" i="2"/>
  <c r="Q334" i="2" s="1"/>
  <c r="P326" i="2"/>
  <c r="Q326" i="2" s="1"/>
  <c r="P318" i="2"/>
  <c r="Q318" i="2" s="1"/>
  <c r="P310" i="2"/>
  <c r="Q310" i="2" s="1"/>
  <c r="P302" i="2"/>
  <c r="Q302" i="2" s="1"/>
  <c r="P294" i="2"/>
  <c r="Q294" i="2" s="1"/>
  <c r="P286" i="2"/>
  <c r="Q286" i="2" s="1"/>
  <c r="P278" i="2"/>
  <c r="Q278" i="2" s="1"/>
  <c r="P270" i="2"/>
  <c r="Q270" i="2" s="1"/>
  <c r="P254" i="2"/>
  <c r="Q254" i="2" s="1"/>
  <c r="P246" i="2"/>
  <c r="Q246" i="2" s="1"/>
  <c r="P238" i="2"/>
  <c r="Q238" i="2" s="1"/>
  <c r="P230" i="2"/>
  <c r="Q230" i="2" s="1"/>
  <c r="P222" i="2"/>
  <c r="Q222" i="2" s="1"/>
  <c r="P214" i="2"/>
  <c r="Q214" i="2" s="1"/>
  <c r="P206" i="2"/>
  <c r="Q206" i="2" s="1"/>
  <c r="P198" i="2"/>
  <c r="Q198" i="2" s="1"/>
  <c r="P190" i="2"/>
  <c r="Q190" i="2" s="1"/>
  <c r="P182" i="2"/>
  <c r="Q182" i="2" s="1"/>
  <c r="P174" i="2"/>
  <c r="Q174" i="2" s="1"/>
  <c r="P574" i="2"/>
  <c r="Q574" i="2" s="1"/>
  <c r="R953" i="2"/>
  <c r="S347" i="2"/>
  <c r="S501" i="2"/>
  <c r="P166" i="2"/>
  <c r="Q166" i="2" s="1"/>
  <c r="P158" i="2"/>
  <c r="Q158" i="2" s="1"/>
  <c r="P150" i="2"/>
  <c r="Q150" i="2" s="1"/>
  <c r="P142" i="2"/>
  <c r="Q142" i="2" s="1"/>
  <c r="P134" i="2"/>
  <c r="Q134" i="2" s="1"/>
  <c r="P126" i="2"/>
  <c r="Q126" i="2" s="1"/>
  <c r="P118" i="2"/>
  <c r="Q118" i="2" s="1"/>
  <c r="P110" i="2"/>
  <c r="Q110" i="2" s="1"/>
  <c r="P102" i="2"/>
  <c r="Q102" i="2" s="1"/>
  <c r="P94" i="2"/>
  <c r="Q94" i="2" s="1"/>
  <c r="P86" i="2"/>
  <c r="Q86" i="2" s="1"/>
  <c r="P78" i="2"/>
  <c r="Q78" i="2" s="1"/>
  <c r="P70" i="2"/>
  <c r="Q70" i="2" s="1"/>
  <c r="P62" i="2"/>
  <c r="Q62" i="2" s="1"/>
  <c r="P54" i="2"/>
  <c r="Q54" i="2" s="1"/>
  <c r="P46" i="2"/>
  <c r="Q46" i="2" s="1"/>
  <c r="P38" i="2"/>
  <c r="Q38" i="2" s="1"/>
  <c r="P30" i="2"/>
  <c r="Q30" i="2" s="1"/>
  <c r="P22" i="2"/>
  <c r="Q22" i="2" s="1"/>
  <c r="P14" i="2"/>
  <c r="Q14" i="2" s="1"/>
  <c r="P6" i="2"/>
  <c r="Q6" i="2" s="1"/>
  <c r="S454" i="2"/>
  <c r="P181" i="2"/>
  <c r="Q181" i="2" s="1"/>
  <c r="P165" i="2"/>
  <c r="Q165" i="2" s="1"/>
  <c r="P149" i="2"/>
  <c r="Q149" i="2" s="1"/>
  <c r="P133" i="2"/>
  <c r="Q133" i="2" s="1"/>
  <c r="P117" i="2"/>
  <c r="Q117" i="2" s="1"/>
  <c r="P101" i="2"/>
  <c r="Q101" i="2" s="1"/>
  <c r="P85" i="2"/>
  <c r="Q85" i="2" s="1"/>
  <c r="P69" i="2"/>
  <c r="Q69" i="2" s="1"/>
  <c r="P53" i="2"/>
  <c r="Q53" i="2" s="1"/>
  <c r="P37" i="2"/>
  <c r="Q37" i="2" s="1"/>
  <c r="P5" i="2"/>
  <c r="Q5" i="2" s="1"/>
  <c r="S636" i="2"/>
  <c r="P164" i="2"/>
  <c r="Q164" i="2" s="1"/>
  <c r="P148" i="2"/>
  <c r="Q148" i="2" s="1"/>
  <c r="P132" i="2"/>
  <c r="Q132" i="2" s="1"/>
  <c r="P116" i="2"/>
  <c r="Q116" i="2" s="1"/>
  <c r="P100" i="2"/>
  <c r="Q100" i="2" s="1"/>
  <c r="P84" i="2"/>
  <c r="Q84" i="2" s="1"/>
  <c r="P68" i="2"/>
  <c r="Q68" i="2" s="1"/>
  <c r="P52" i="2"/>
  <c r="Q52" i="2" s="1"/>
  <c r="P36" i="2"/>
  <c r="Q36" i="2" s="1"/>
  <c r="P20" i="2"/>
  <c r="Q20" i="2" s="1"/>
  <c r="S483" i="2"/>
  <c r="S437" i="2"/>
  <c r="S398" i="2"/>
  <c r="S898" i="2"/>
  <c r="S426" i="2"/>
  <c r="S410" i="2"/>
  <c r="S367" i="2"/>
  <c r="S104" i="2"/>
  <c r="S513" i="2"/>
  <c r="S449" i="2"/>
  <c r="S248" i="2"/>
  <c r="S10" i="2"/>
  <c r="S664" i="2"/>
  <c r="S624" i="2"/>
  <c r="S608" i="2"/>
  <c r="S544" i="2"/>
  <c r="S535" i="2"/>
  <c r="S471" i="2"/>
  <c r="S423" i="2"/>
  <c r="S144" i="2"/>
  <c r="S300" i="2"/>
  <c r="S207" i="2"/>
  <c r="S31" i="2"/>
  <c r="S262" i="2"/>
  <c r="S183" i="2"/>
  <c r="S309" i="2"/>
  <c r="S301" i="2"/>
  <c r="S29" i="2"/>
  <c r="S21" i="2"/>
  <c r="S196" i="2"/>
  <c r="S108" i="2"/>
  <c r="S4" i="2"/>
  <c r="S290" i="2" l="1"/>
  <c r="T290" i="2" s="1"/>
  <c r="S846" i="2"/>
  <c r="T846" i="2" s="1"/>
  <c r="S430" i="2"/>
  <c r="T430" i="2" s="1"/>
  <c r="S718" i="2"/>
  <c r="T718" i="2" s="1"/>
  <c r="S200" i="2"/>
  <c r="T200" i="2" s="1"/>
  <c r="S942" i="2"/>
  <c r="T942" i="2" s="1"/>
  <c r="S279" i="2"/>
  <c r="T279" i="2" s="1"/>
  <c r="S549" i="2"/>
  <c r="T549" i="2" s="1"/>
  <c r="S782" i="2"/>
  <c r="T782" i="2" s="1"/>
  <c r="S172" i="2"/>
  <c r="T172" i="2" s="1"/>
  <c r="Q953" i="2"/>
  <c r="A6" i="4" s="1"/>
  <c r="S3" i="2"/>
  <c r="T3" i="2" s="1"/>
  <c r="S472" i="2"/>
  <c r="T472" i="2" s="1"/>
  <c r="P953" i="2"/>
  <c r="S100" i="2"/>
  <c r="T100" i="2" s="1"/>
  <c r="S859" i="2"/>
  <c r="T859" i="2" s="1"/>
  <c r="S381" i="2"/>
  <c r="T381" i="2" s="1"/>
  <c r="S452" i="2"/>
  <c r="T452" i="2" s="1"/>
  <c r="S780" i="2"/>
  <c r="T780" i="2" s="1"/>
  <c r="S227" i="2"/>
  <c r="T227" i="2" s="1"/>
  <c r="S655" i="2"/>
  <c r="T655" i="2" s="1"/>
  <c r="S703" i="2"/>
  <c r="T703" i="2" s="1"/>
  <c r="S736" i="2"/>
  <c r="T736" i="2" s="1"/>
  <c r="S500" i="2"/>
  <c r="T500" i="2" s="1"/>
  <c r="S343" i="2"/>
  <c r="T343" i="2" s="1"/>
  <c r="S807" i="2"/>
  <c r="T807" i="2" s="1"/>
  <c r="S880" i="2"/>
  <c r="T880" i="2" s="1"/>
  <c r="S244" i="2"/>
  <c r="T244" i="2" s="1"/>
  <c r="S307" i="2"/>
  <c r="T307" i="2" s="1"/>
  <c r="S57" i="2"/>
  <c r="T57" i="2" s="1"/>
  <c r="S185" i="2"/>
  <c r="T185" i="2" s="1"/>
  <c r="S225" i="2"/>
  <c r="T225" i="2" s="1"/>
  <c r="S457" i="2"/>
  <c r="T457" i="2" s="1"/>
  <c r="S721" i="2"/>
  <c r="T721" i="2" s="1"/>
  <c r="S769" i="2"/>
  <c r="T769" i="2" s="1"/>
  <c r="S833" i="2"/>
  <c r="T833" i="2" s="1"/>
  <c r="S107" i="2"/>
  <c r="T107" i="2" s="1"/>
  <c r="S267" i="2"/>
  <c r="T267" i="2" s="1"/>
  <c r="S508" i="2"/>
  <c r="T508" i="2" s="1"/>
  <c r="S402" i="2"/>
  <c r="T402" i="2" s="1"/>
  <c r="S618" i="2"/>
  <c r="T618" i="2" s="1"/>
  <c r="S842" i="2"/>
  <c r="T842" i="2" s="1"/>
  <c r="S219" i="2"/>
  <c r="T219" i="2" s="1"/>
  <c r="S411" i="2"/>
  <c r="T411" i="2" s="1"/>
  <c r="S555" i="2"/>
  <c r="T555" i="2" s="1"/>
  <c r="S651" i="2"/>
  <c r="T651" i="2" s="1"/>
  <c r="S948" i="2"/>
  <c r="T948" i="2" s="1"/>
  <c r="S432" i="2"/>
  <c r="T432" i="2" s="1"/>
  <c r="S791" i="2"/>
  <c r="T791" i="2" s="1"/>
  <c r="S116" i="2"/>
  <c r="T116" i="2" s="1"/>
  <c r="S160" i="2"/>
  <c r="T160" i="2" s="1"/>
  <c r="S829" i="2"/>
  <c r="T829" i="2" s="1"/>
  <c r="S764" i="2"/>
  <c r="T764" i="2" s="1"/>
  <c r="S434" i="2"/>
  <c r="T434" i="2" s="1"/>
  <c r="S554" i="2"/>
  <c r="T554" i="2" s="1"/>
  <c r="S810" i="2"/>
  <c r="T810" i="2" s="1"/>
  <c r="S946" i="2"/>
  <c r="T946" i="2" s="1"/>
  <c r="S331" i="2"/>
  <c r="T331" i="2" s="1"/>
  <c r="S763" i="2"/>
  <c r="T763" i="2" s="1"/>
  <c r="S516" i="2"/>
  <c r="T516" i="2" s="1"/>
  <c r="S101" i="2"/>
  <c r="T101" i="2" s="1"/>
  <c r="S71" i="2"/>
  <c r="T71" i="2" s="1"/>
  <c r="S320" i="2"/>
  <c r="T320" i="2" s="1"/>
  <c r="S701" i="2"/>
  <c r="T701" i="2" s="1"/>
  <c r="S469" i="2"/>
  <c r="T469" i="2" s="1"/>
  <c r="S936" i="2"/>
  <c r="T936" i="2" s="1"/>
  <c r="S895" i="2"/>
  <c r="T895" i="2" s="1"/>
  <c r="S767" i="2"/>
  <c r="T767" i="2" s="1"/>
  <c r="S177" i="2"/>
  <c r="T177" i="2" s="1"/>
  <c r="S825" i="2"/>
  <c r="T825" i="2" s="1"/>
  <c r="S427" i="2"/>
  <c r="T427" i="2" s="1"/>
  <c r="S652" i="2"/>
  <c r="T652" i="2" s="1"/>
  <c r="S330" i="2"/>
  <c r="T330" i="2" s="1"/>
  <c r="S930" i="2"/>
  <c r="T930" i="2" s="1"/>
  <c r="S117" i="2"/>
  <c r="T117" i="2" s="1"/>
  <c r="S79" i="2"/>
  <c r="T79" i="2" s="1"/>
  <c r="S613" i="2"/>
  <c r="T613" i="2" s="1"/>
  <c r="S132" i="2"/>
  <c r="T132" i="2" s="1"/>
  <c r="S150" i="2"/>
  <c r="T150" i="2" s="1"/>
  <c r="S98" i="2"/>
  <c r="T98" i="2" s="1"/>
  <c r="S224" i="2"/>
  <c r="T224" i="2" s="1"/>
  <c r="S556" i="2"/>
  <c r="T556" i="2" s="1"/>
  <c r="S670" i="2"/>
  <c r="T670" i="2" s="1"/>
  <c r="S728" i="2"/>
  <c r="T728" i="2" s="1"/>
  <c r="S372" i="2"/>
  <c r="T372" i="2" s="1"/>
  <c r="S145" i="2"/>
  <c r="T145" i="2" s="1"/>
  <c r="S841" i="2"/>
  <c r="T841" i="2" s="1"/>
  <c r="S218" i="2"/>
  <c r="T218" i="2" s="1"/>
  <c r="S346" i="2"/>
  <c r="T346" i="2" s="1"/>
  <c r="S315" i="2"/>
  <c r="T315" i="2" s="1"/>
  <c r="S5" i="2"/>
  <c r="T5" i="2" s="1"/>
  <c r="S230" i="2"/>
  <c r="T230" i="2" s="1"/>
  <c r="S143" i="2"/>
  <c r="T143" i="2" s="1"/>
  <c r="S400" i="2"/>
  <c r="T400" i="2" s="1"/>
  <c r="S285" i="2"/>
  <c r="T285" i="2" s="1"/>
  <c r="S845" i="2"/>
  <c r="T845" i="2" s="1"/>
  <c r="S870" i="2"/>
  <c r="T870" i="2" s="1"/>
  <c r="S935" i="2"/>
  <c r="T935" i="2" s="1"/>
  <c r="S396" i="2"/>
  <c r="T396" i="2" s="1"/>
  <c r="S688" i="2"/>
  <c r="T688" i="2" s="1"/>
  <c r="S273" i="2"/>
  <c r="T273" i="2" s="1"/>
  <c r="S785" i="2"/>
  <c r="T785" i="2" s="1"/>
  <c r="S226" i="2"/>
  <c r="T226" i="2" s="1"/>
  <c r="S36" i="2"/>
  <c r="T36" i="2" s="1"/>
  <c r="S62" i="2"/>
  <c r="T62" i="2" s="1"/>
  <c r="S166" i="2"/>
  <c r="T166" i="2" s="1"/>
  <c r="S198" i="2"/>
  <c r="T198" i="2" s="1"/>
  <c r="S326" i="2"/>
  <c r="T326" i="2" s="1"/>
  <c r="S414" i="2"/>
  <c r="T414" i="2" s="1"/>
  <c r="S47" i="2"/>
  <c r="T47" i="2" s="1"/>
  <c r="S95" i="2"/>
  <c r="T95" i="2" s="1"/>
  <c r="S223" i="2"/>
  <c r="T223" i="2" s="1"/>
  <c r="S162" i="2"/>
  <c r="T162" i="2" s="1"/>
  <c r="S296" i="2"/>
  <c r="T296" i="2" s="1"/>
  <c r="S456" i="2"/>
  <c r="T456" i="2" s="1"/>
  <c r="S74" i="2"/>
  <c r="T74" i="2" s="1"/>
  <c r="S154" i="2"/>
  <c r="T154" i="2" s="1"/>
  <c r="S480" i="2"/>
  <c r="T480" i="2" s="1"/>
  <c r="S932" i="2"/>
  <c r="T932" i="2" s="1"/>
  <c r="S349" i="2"/>
  <c r="T349" i="2" s="1"/>
  <c r="S509" i="2"/>
  <c r="T509" i="2" s="1"/>
  <c r="S876" i="2"/>
  <c r="T876" i="2" s="1"/>
  <c r="S783" i="2"/>
  <c r="T783" i="2" s="1"/>
  <c r="S606" i="2"/>
  <c r="T606" i="2" s="1"/>
  <c r="S639" i="2"/>
  <c r="T639" i="2" s="1"/>
  <c r="S768" i="2"/>
  <c r="T768" i="2" s="1"/>
  <c r="S607" i="2"/>
  <c r="T607" i="2" s="1"/>
  <c r="S311" i="2"/>
  <c r="T311" i="2" s="1"/>
  <c r="S375" i="2"/>
  <c r="T375" i="2" s="1"/>
  <c r="S695" i="2"/>
  <c r="T695" i="2" s="1"/>
  <c r="S871" i="2"/>
  <c r="T871" i="2" s="1"/>
  <c r="S113" i="2"/>
  <c r="T113" i="2" s="1"/>
  <c r="S201" i="2"/>
  <c r="T201" i="2" s="1"/>
  <c r="S409" i="2"/>
  <c r="T409" i="2" s="1"/>
  <c r="S625" i="2"/>
  <c r="T625" i="2" s="1"/>
  <c r="S793" i="2"/>
  <c r="T793" i="2" s="1"/>
  <c r="S857" i="2"/>
  <c r="T857" i="2" s="1"/>
  <c r="S913" i="2"/>
  <c r="T913" i="2" s="1"/>
  <c r="S724" i="2"/>
  <c r="T724" i="2" s="1"/>
  <c r="S795" i="2"/>
  <c r="T795" i="2" s="1"/>
  <c r="S234" i="2"/>
  <c r="T234" i="2" s="1"/>
  <c r="S522" i="2"/>
  <c r="T522" i="2" s="1"/>
  <c r="S778" i="2"/>
  <c r="T778" i="2" s="1"/>
  <c r="S858" i="2"/>
  <c r="T858" i="2" s="1"/>
  <c r="S852" i="2"/>
  <c r="T852" i="2" s="1"/>
  <c r="S123" i="2"/>
  <c r="T123" i="2" s="1"/>
  <c r="S587" i="2"/>
  <c r="T587" i="2" s="1"/>
  <c r="S683" i="2"/>
  <c r="T683" i="2" s="1"/>
  <c r="S771" i="2"/>
  <c r="T771" i="2" s="1"/>
  <c r="S228" i="2"/>
  <c r="T228" i="2" s="1"/>
  <c r="S588" i="2"/>
  <c r="T588" i="2" s="1"/>
  <c r="S38" i="2"/>
  <c r="T38" i="2" s="1"/>
  <c r="S191" i="2"/>
  <c r="T191" i="2" s="1"/>
  <c r="S211" i="2"/>
  <c r="T211" i="2" s="1"/>
  <c r="S373" i="2"/>
  <c r="T373" i="2" s="1"/>
  <c r="S99" i="2"/>
  <c r="T99" i="2" s="1"/>
  <c r="S599" i="2"/>
  <c r="T599" i="2" s="1"/>
  <c r="S484" i="2"/>
  <c r="T484" i="2" s="1"/>
  <c r="S243" i="2"/>
  <c r="T243" i="2" s="1"/>
  <c r="S489" i="2"/>
  <c r="T489" i="2" s="1"/>
  <c r="S889" i="2"/>
  <c r="T889" i="2" s="1"/>
  <c r="S635" i="2"/>
  <c r="T635" i="2" s="1"/>
  <c r="S266" i="2"/>
  <c r="T266" i="2" s="1"/>
  <c r="S395" i="2"/>
  <c r="T395" i="2" s="1"/>
  <c r="S94" i="2"/>
  <c r="T94" i="2" s="1"/>
  <c r="S127" i="2"/>
  <c r="T127" i="2" s="1"/>
  <c r="S102" i="2"/>
  <c r="T102" i="2" s="1"/>
  <c r="S135" i="2"/>
  <c r="T135" i="2" s="1"/>
  <c r="S392" i="2"/>
  <c r="T392" i="2" s="1"/>
  <c r="S291" i="2"/>
  <c r="T291" i="2" s="1"/>
  <c r="S798" i="2"/>
  <c r="T798" i="2" s="1"/>
  <c r="S700" i="2"/>
  <c r="T700" i="2" s="1"/>
  <c r="S896" i="2"/>
  <c r="T896" i="2" s="1"/>
  <c r="S233" i="2"/>
  <c r="T233" i="2" s="1"/>
  <c r="S777" i="2"/>
  <c r="T777" i="2" s="1"/>
  <c r="S259" i="2"/>
  <c r="T259" i="2" s="1"/>
  <c r="S418" i="2"/>
  <c r="T418" i="2" s="1"/>
  <c r="S356" i="2"/>
  <c r="T356" i="2" s="1"/>
  <c r="S148" i="2"/>
  <c r="T148" i="2" s="1"/>
  <c r="S318" i="2"/>
  <c r="T318" i="2" s="1"/>
  <c r="S215" i="2"/>
  <c r="T215" i="2" s="1"/>
  <c r="S352" i="2"/>
  <c r="T352" i="2" s="1"/>
  <c r="S904" i="2"/>
  <c r="T904" i="2" s="1"/>
  <c r="S493" i="2"/>
  <c r="T493" i="2" s="1"/>
  <c r="S678" i="2"/>
  <c r="T678" i="2" s="1"/>
  <c r="S831" i="2"/>
  <c r="T831" i="2" s="1"/>
  <c r="S752" i="2"/>
  <c r="T752" i="2" s="1"/>
  <c r="S412" i="2"/>
  <c r="T412" i="2" s="1"/>
  <c r="S417" i="2"/>
  <c r="T417" i="2" s="1"/>
  <c r="S905" i="2"/>
  <c r="T905" i="2" s="1"/>
  <c r="S378" i="2"/>
  <c r="T378" i="2" s="1"/>
  <c r="S53" i="2"/>
  <c r="T53" i="2" s="1"/>
  <c r="S70" i="2"/>
  <c r="T70" i="2" s="1"/>
  <c r="S118" i="2"/>
  <c r="T118" i="2" s="1"/>
  <c r="S574" i="2"/>
  <c r="T574" i="2" s="1"/>
  <c r="S286" i="2"/>
  <c r="T286" i="2" s="1"/>
  <c r="S438" i="2"/>
  <c r="T438" i="2" s="1"/>
  <c r="S534" i="2"/>
  <c r="T534" i="2" s="1"/>
  <c r="S103" i="2"/>
  <c r="T103" i="2" s="1"/>
  <c r="S231" i="2"/>
  <c r="T231" i="2" s="1"/>
  <c r="S56" i="2"/>
  <c r="T56" i="2" s="1"/>
  <c r="S464" i="2"/>
  <c r="T464" i="2" s="1"/>
  <c r="S512" i="2"/>
  <c r="T512" i="2" s="1"/>
  <c r="S197" i="2"/>
  <c r="T197" i="2" s="1"/>
  <c r="S357" i="2"/>
  <c r="T357" i="2" s="1"/>
  <c r="S421" i="2"/>
  <c r="T421" i="2" s="1"/>
  <c r="S517" i="2"/>
  <c r="T517" i="2" s="1"/>
  <c r="S757" i="2"/>
  <c r="T757" i="2" s="1"/>
  <c r="S488" i="2"/>
  <c r="T488" i="2" s="1"/>
  <c r="S808" i="2"/>
  <c r="T808" i="2" s="1"/>
  <c r="S614" i="2"/>
  <c r="T614" i="2" s="1"/>
  <c r="S567" i="2"/>
  <c r="T567" i="2" s="1"/>
  <c r="S663" i="2"/>
  <c r="T663" i="2" s="1"/>
  <c r="S855" i="2"/>
  <c r="T855" i="2" s="1"/>
  <c r="S212" i="2"/>
  <c r="T212" i="2" s="1"/>
  <c r="S735" i="2"/>
  <c r="T735" i="2" s="1"/>
  <c r="S431" i="2"/>
  <c r="T431" i="2" s="1"/>
  <c r="S661" i="2"/>
  <c r="T661" i="2" s="1"/>
  <c r="S121" i="2"/>
  <c r="T121" i="2" s="1"/>
  <c r="S361" i="2"/>
  <c r="T361" i="2" s="1"/>
  <c r="S425" i="2"/>
  <c r="T425" i="2" s="1"/>
  <c r="S593" i="2"/>
  <c r="T593" i="2" s="1"/>
  <c r="S801" i="2"/>
  <c r="T801" i="2" s="1"/>
  <c r="S865" i="2"/>
  <c r="T865" i="2" s="1"/>
  <c r="S921" i="2"/>
  <c r="T921" i="2" s="1"/>
  <c r="S43" i="2"/>
  <c r="T43" i="2" s="1"/>
  <c r="S811" i="2"/>
  <c r="T811" i="2" s="1"/>
  <c r="S490" i="2"/>
  <c r="T490" i="2" s="1"/>
  <c r="S746" i="2"/>
  <c r="T746" i="2" s="1"/>
  <c r="S914" i="2"/>
  <c r="T914" i="2" s="1"/>
  <c r="S171" i="2"/>
  <c r="T171" i="2" s="1"/>
  <c r="S803" i="2"/>
  <c r="T803" i="2" s="1"/>
  <c r="S939" i="2"/>
  <c r="T939" i="2" s="1"/>
  <c r="S668" i="2"/>
  <c r="T668" i="2" s="1"/>
  <c r="S376" i="2"/>
  <c r="T376" i="2" s="1"/>
  <c r="S261" i="2"/>
  <c r="T261" i="2" s="1"/>
  <c r="S717" i="2"/>
  <c r="T717" i="2" s="1"/>
  <c r="S576" i="2"/>
  <c r="T576" i="2" s="1"/>
  <c r="S399" i="2"/>
  <c r="T399" i="2" s="1"/>
  <c r="S49" i="2"/>
  <c r="T49" i="2" s="1"/>
  <c r="S235" i="2"/>
  <c r="T235" i="2" s="1"/>
  <c r="S731" i="2"/>
  <c r="T731" i="2" s="1"/>
  <c r="S650" i="2"/>
  <c r="T650" i="2" s="1"/>
  <c r="S366" i="2"/>
  <c r="T366" i="2" s="1"/>
  <c r="S384" i="2"/>
  <c r="T384" i="2" s="1"/>
  <c r="S270" i="2"/>
  <c r="T270" i="2" s="1"/>
  <c r="S271" i="2"/>
  <c r="T271" i="2" s="1"/>
  <c r="S277" i="2"/>
  <c r="T277" i="2" s="1"/>
  <c r="S796" i="2"/>
  <c r="T796" i="2" s="1"/>
  <c r="S919" i="2"/>
  <c r="T919" i="2" s="1"/>
  <c r="S67" i="2"/>
  <c r="T67" i="2" s="1"/>
  <c r="S268" i="2"/>
  <c r="T268" i="2" s="1"/>
  <c r="S689" i="2"/>
  <c r="T689" i="2" s="1"/>
  <c r="S532" i="2"/>
  <c r="T532" i="2" s="1"/>
  <c r="S586" i="2"/>
  <c r="T586" i="2" s="1"/>
  <c r="S419" i="2"/>
  <c r="T419" i="2" s="1"/>
  <c r="S149" i="2"/>
  <c r="T149" i="2" s="1"/>
  <c r="S158" i="2"/>
  <c r="T158" i="2" s="1"/>
  <c r="S130" i="2"/>
  <c r="T130" i="2" s="1"/>
  <c r="S448" i="2"/>
  <c r="T448" i="2" s="1"/>
  <c r="S397" i="2"/>
  <c r="T397" i="2" s="1"/>
  <c r="S353" i="2"/>
  <c r="T353" i="2" s="1"/>
  <c r="S727" i="2"/>
  <c r="T727" i="2" s="1"/>
  <c r="S912" i="2"/>
  <c r="T912" i="2" s="1"/>
  <c r="S303" i="2"/>
  <c r="T303" i="2" s="1"/>
  <c r="S153" i="2"/>
  <c r="T153" i="2" s="1"/>
  <c r="S657" i="2"/>
  <c r="T657" i="2" s="1"/>
  <c r="S459" i="2"/>
  <c r="T459" i="2" s="1"/>
  <c r="S354" i="2"/>
  <c r="T354" i="2" s="1"/>
  <c r="S22" i="2"/>
  <c r="T22" i="2" s="1"/>
  <c r="S68" i="2"/>
  <c r="T68" i="2" s="1"/>
  <c r="S126" i="2"/>
  <c r="T126" i="2" s="1"/>
  <c r="S294" i="2"/>
  <c r="T294" i="2" s="1"/>
  <c r="S7" i="2"/>
  <c r="T7" i="2" s="1"/>
  <c r="S111" i="2"/>
  <c r="T111" i="2" s="1"/>
  <c r="S167" i="2"/>
  <c r="T167" i="2" s="1"/>
  <c r="S72" i="2"/>
  <c r="T72" i="2" s="1"/>
  <c r="S264" i="2"/>
  <c r="T264" i="2" s="1"/>
  <c r="S416" i="2"/>
  <c r="T416" i="2" s="1"/>
  <c r="S19" i="2"/>
  <c r="T19" i="2" s="1"/>
  <c r="S573" i="2"/>
  <c r="T573" i="2" s="1"/>
  <c r="S869" i="2"/>
  <c r="T869" i="2" s="1"/>
  <c r="S716" i="2"/>
  <c r="T716" i="2" s="1"/>
  <c r="S575" i="2"/>
  <c r="T575" i="2" s="1"/>
  <c r="S656" i="2"/>
  <c r="T656" i="2" s="1"/>
  <c r="S792" i="2"/>
  <c r="T792" i="2" s="1"/>
  <c r="S252" i="2"/>
  <c r="T252" i="2" s="1"/>
  <c r="S444" i="2"/>
  <c r="T444" i="2" s="1"/>
  <c r="S760" i="2"/>
  <c r="T760" i="2" s="1"/>
  <c r="S439" i="2"/>
  <c r="T439" i="2" s="1"/>
  <c r="S892" i="2"/>
  <c r="T892" i="2" s="1"/>
  <c r="S868" i="2"/>
  <c r="T868" i="2" s="1"/>
  <c r="S81" i="2"/>
  <c r="T81" i="2" s="1"/>
  <c r="S289" i="2"/>
  <c r="T289" i="2" s="1"/>
  <c r="S561" i="2"/>
  <c r="T561" i="2" s="1"/>
  <c r="S809" i="2"/>
  <c r="T809" i="2" s="1"/>
  <c r="S873" i="2"/>
  <c r="T873" i="2" s="1"/>
  <c r="S187" i="2"/>
  <c r="T187" i="2" s="1"/>
  <c r="S499" i="2"/>
  <c r="T499" i="2" s="1"/>
  <c r="S827" i="2"/>
  <c r="T827" i="2" s="1"/>
  <c r="S332" i="2"/>
  <c r="T332" i="2" s="1"/>
  <c r="S194" i="2"/>
  <c r="T194" i="2" s="1"/>
  <c r="S458" i="2"/>
  <c r="T458" i="2" s="1"/>
  <c r="S714" i="2"/>
  <c r="T714" i="2" s="1"/>
  <c r="S826" i="2"/>
  <c r="T826" i="2" s="1"/>
  <c r="S732" i="2"/>
  <c r="T732" i="2" s="1"/>
  <c r="S86" i="2"/>
  <c r="T86" i="2" s="1"/>
  <c r="S34" i="2"/>
  <c r="T34" i="2" s="1"/>
  <c r="S325" i="2"/>
  <c r="T325" i="2" s="1"/>
  <c r="S885" i="2"/>
  <c r="T885" i="2" s="1"/>
  <c r="S934" i="2"/>
  <c r="T934" i="2" s="1"/>
  <c r="S335" i="2"/>
  <c r="T335" i="2" s="1"/>
  <c r="S856" i="2"/>
  <c r="T856" i="2" s="1"/>
  <c r="S761" i="2"/>
  <c r="T761" i="2" s="1"/>
  <c r="S945" i="2"/>
  <c r="T945" i="2" s="1"/>
  <c r="S947" i="2"/>
  <c r="T947" i="2" s="1"/>
  <c r="S394" i="2"/>
  <c r="T394" i="2" s="1"/>
  <c r="S924" i="2"/>
  <c r="T924" i="2" s="1"/>
  <c r="S23" i="2"/>
  <c r="T23" i="2" s="1"/>
  <c r="S339" i="2"/>
  <c r="T339" i="2" s="1"/>
  <c r="S374" i="2"/>
  <c r="T374" i="2" s="1"/>
  <c r="S168" i="2"/>
  <c r="T168" i="2" s="1"/>
  <c r="S901" i="2"/>
  <c r="T901" i="2" s="1"/>
  <c r="S680" i="2"/>
  <c r="T680" i="2" s="1"/>
  <c r="S823" i="2"/>
  <c r="T823" i="2" s="1"/>
  <c r="S295" i="2"/>
  <c r="T295" i="2" s="1"/>
  <c r="S364" i="2"/>
  <c r="T364" i="2" s="1"/>
  <c r="S729" i="2"/>
  <c r="T729" i="2" s="1"/>
  <c r="S283" i="2"/>
  <c r="T283" i="2" s="1"/>
  <c r="S282" i="2"/>
  <c r="T282" i="2" s="1"/>
  <c r="S890" i="2"/>
  <c r="T890" i="2" s="1"/>
  <c r="S54" i="2"/>
  <c r="T54" i="2" s="1"/>
  <c r="S382" i="2"/>
  <c r="T382" i="2" s="1"/>
  <c r="S232" i="2"/>
  <c r="T232" i="2" s="1"/>
  <c r="S442" i="2"/>
  <c r="T442" i="2" s="1"/>
  <c r="S741" i="2"/>
  <c r="T741" i="2" s="1"/>
  <c r="S806" i="2"/>
  <c r="T806" i="2" s="1"/>
  <c r="S864" i="2"/>
  <c r="T864" i="2" s="1"/>
  <c r="S620" i="2"/>
  <c r="T620" i="2" s="1"/>
  <c r="S849" i="2"/>
  <c r="T849" i="2" s="1"/>
  <c r="S779" i="2"/>
  <c r="T779" i="2" s="1"/>
  <c r="S181" i="2"/>
  <c r="T181" i="2" s="1"/>
  <c r="S85" i="2"/>
  <c r="T85" i="2" s="1"/>
  <c r="S134" i="2"/>
  <c r="T134" i="2" s="1"/>
  <c r="S63" i="2"/>
  <c r="T63" i="2" s="1"/>
  <c r="S175" i="2"/>
  <c r="T175" i="2" s="1"/>
  <c r="S192" i="2"/>
  <c r="T192" i="2" s="1"/>
  <c r="S272" i="2"/>
  <c r="T272" i="2" s="1"/>
  <c r="S312" i="2"/>
  <c r="T312" i="2" s="1"/>
  <c r="S424" i="2"/>
  <c r="T424" i="2" s="1"/>
  <c r="S131" i="2"/>
  <c r="T131" i="2" s="1"/>
  <c r="S213" i="2"/>
  <c r="T213" i="2" s="1"/>
  <c r="S253" i="2"/>
  <c r="T253" i="2" s="1"/>
  <c r="S773" i="2"/>
  <c r="T773" i="2" s="1"/>
  <c r="S552" i="2"/>
  <c r="T552" i="2" s="1"/>
  <c r="S911" i="2"/>
  <c r="T911" i="2" s="1"/>
  <c r="S926" i="2"/>
  <c r="T926" i="2" s="1"/>
  <c r="S887" i="2"/>
  <c r="T887" i="2" s="1"/>
  <c r="S284" i="2"/>
  <c r="T284" i="2" s="1"/>
  <c r="S460" i="2"/>
  <c r="T460" i="2" s="1"/>
  <c r="S788" i="2"/>
  <c r="T788" i="2" s="1"/>
  <c r="S327" i="2"/>
  <c r="T327" i="2" s="1"/>
  <c r="S391" i="2"/>
  <c r="T391" i="2" s="1"/>
  <c r="S848" i="2"/>
  <c r="T848" i="2" s="1"/>
  <c r="S147" i="2"/>
  <c r="T147" i="2" s="1"/>
  <c r="S9" i="2"/>
  <c r="T9" i="2" s="1"/>
  <c r="S89" i="2"/>
  <c r="T89" i="2" s="1"/>
  <c r="S529" i="2"/>
  <c r="T529" i="2" s="1"/>
  <c r="S753" i="2"/>
  <c r="T753" i="2" s="1"/>
  <c r="S817" i="2"/>
  <c r="T817" i="2" s="1"/>
  <c r="S881" i="2"/>
  <c r="T881" i="2" s="1"/>
  <c r="S75" i="2"/>
  <c r="T75" i="2" s="1"/>
  <c r="S515" i="2"/>
  <c r="T515" i="2" s="1"/>
  <c r="S715" i="2"/>
  <c r="T715" i="2" s="1"/>
  <c r="S931" i="2"/>
  <c r="T931" i="2" s="1"/>
  <c r="S628" i="2"/>
  <c r="T628" i="2" s="1"/>
  <c r="S386" i="2"/>
  <c r="T386" i="2" s="1"/>
  <c r="S682" i="2"/>
  <c r="T682" i="2" s="1"/>
  <c r="S874" i="2"/>
  <c r="T874" i="2" s="1"/>
  <c r="S388" i="2"/>
  <c r="T388" i="2" s="1"/>
  <c r="S292" i="2"/>
  <c r="T292" i="2" s="1"/>
  <c r="S860" i="2"/>
  <c r="T860" i="2" s="1"/>
  <c r="S156" i="2"/>
  <c r="T156" i="2" s="1"/>
  <c r="S222" i="2"/>
  <c r="T222" i="2" s="1"/>
  <c r="S48" i="2"/>
  <c r="T48" i="2" s="1"/>
  <c r="S288" i="2"/>
  <c r="T288" i="2" s="1"/>
  <c r="S66" i="2"/>
  <c r="T66" i="2" s="1"/>
  <c r="S229" i="2"/>
  <c r="T229" i="2" s="1"/>
  <c r="S677" i="2"/>
  <c r="T677" i="2" s="1"/>
  <c r="S462" i="2"/>
  <c r="T462" i="2" s="1"/>
  <c r="S492" i="2"/>
  <c r="T492" i="2" s="1"/>
  <c r="S580" i="2"/>
  <c r="T580" i="2" s="1"/>
  <c r="S415" i="2"/>
  <c r="T415" i="2" s="1"/>
  <c r="S629" i="2"/>
  <c r="T629" i="2" s="1"/>
  <c r="S915" i="2"/>
  <c r="T915" i="2" s="1"/>
  <c r="S129" i="2"/>
  <c r="T129" i="2" s="1"/>
  <c r="S51" i="2"/>
  <c r="T51" i="2" s="1"/>
  <c r="S563" i="2"/>
  <c r="T563" i="2" s="1"/>
  <c r="S660" i="2"/>
  <c r="T660" i="2" s="1"/>
  <c r="S186" i="2"/>
  <c r="T186" i="2" s="1"/>
  <c r="S546" i="2"/>
  <c r="T546" i="2" s="1"/>
  <c r="S706" i="2"/>
  <c r="T706" i="2" s="1"/>
  <c r="S834" i="2"/>
  <c r="T834" i="2" s="1"/>
  <c r="S11" i="2"/>
  <c r="T11" i="2" s="1"/>
  <c r="S531" i="2"/>
  <c r="T531" i="2" s="1"/>
  <c r="S28" i="2"/>
  <c r="T28" i="2" s="1"/>
  <c r="S109" i="2"/>
  <c r="T109" i="2" s="1"/>
  <c r="S302" i="2"/>
  <c r="T302" i="2" s="1"/>
  <c r="S685" i="2"/>
  <c r="T685" i="2" s="1"/>
  <c r="S630" i="2"/>
  <c r="T630" i="2" s="1"/>
  <c r="S581" i="2"/>
  <c r="T581" i="2" s="1"/>
  <c r="S627" i="2"/>
  <c r="T627" i="2" s="1"/>
  <c r="S380" i="2"/>
  <c r="T380" i="2" s="1"/>
  <c r="S105" i="2"/>
  <c r="T105" i="2" s="1"/>
  <c r="S297" i="2"/>
  <c r="T297" i="2" s="1"/>
  <c r="S274" i="2"/>
  <c r="T274" i="2" s="1"/>
  <c r="S539" i="2"/>
  <c r="T539" i="2" s="1"/>
  <c r="S526" i="2"/>
  <c r="T526" i="2" s="1"/>
  <c r="S390" i="2"/>
  <c r="T390" i="2" s="1"/>
  <c r="S170" i="2"/>
  <c r="T170" i="2" s="1"/>
  <c r="S64" i="2"/>
  <c r="T64" i="2" s="1"/>
  <c r="S205" i="2"/>
  <c r="T205" i="2" s="1"/>
  <c r="S733" i="2"/>
  <c r="T733" i="2" s="1"/>
  <c r="S861" i="2"/>
  <c r="T861" i="2" s="1"/>
  <c r="S510" i="2"/>
  <c r="T510" i="2" s="1"/>
  <c r="S646" i="2"/>
  <c r="T646" i="2" s="1"/>
  <c r="S766" i="2"/>
  <c r="T766" i="2" s="1"/>
  <c r="S822" i="2"/>
  <c r="T822" i="2" s="1"/>
  <c r="S950" i="2"/>
  <c r="T950" i="2" s="1"/>
  <c r="S591" i="2"/>
  <c r="T591" i="2" s="1"/>
  <c r="S719" i="2"/>
  <c r="T719" i="2" s="1"/>
  <c r="S528" i="2"/>
  <c r="T528" i="2" s="1"/>
  <c r="S632" i="2"/>
  <c r="T632" i="2" s="1"/>
  <c r="S572" i="2"/>
  <c r="T572" i="2" s="1"/>
  <c r="S676" i="2"/>
  <c r="T676" i="2" s="1"/>
  <c r="S671" i="2"/>
  <c r="T671" i="2" s="1"/>
  <c r="S879" i="2"/>
  <c r="T879" i="2" s="1"/>
  <c r="S672" i="2"/>
  <c r="T672" i="2" s="1"/>
  <c r="S548" i="2"/>
  <c r="T548" i="2" s="1"/>
  <c r="S579" i="2"/>
  <c r="T579" i="2" s="1"/>
  <c r="S659" i="2"/>
  <c r="T659" i="2" s="1"/>
  <c r="S739" i="2"/>
  <c r="T739" i="2" s="1"/>
  <c r="S923" i="2"/>
  <c r="T923" i="2" s="1"/>
  <c r="S275" i="2"/>
  <c r="T275" i="2" s="1"/>
  <c r="S756" i="2"/>
  <c r="T756" i="2" s="1"/>
  <c r="S351" i="2"/>
  <c r="T351" i="2" s="1"/>
  <c r="S317" i="2"/>
  <c r="T317" i="2" s="1"/>
  <c r="S621" i="2"/>
  <c r="T621" i="2" s="1"/>
  <c r="S893" i="2"/>
  <c r="T893" i="2" s="1"/>
  <c r="S775" i="2"/>
  <c r="T775" i="2" s="1"/>
  <c r="S720" i="2"/>
  <c r="T720" i="2" s="1"/>
  <c r="S455" i="2"/>
  <c r="T455" i="2" s="1"/>
  <c r="S832" i="2"/>
  <c r="T832" i="2" s="1"/>
  <c r="S314" i="2"/>
  <c r="T314" i="2" s="1"/>
  <c r="S97" i="2"/>
  <c r="T97" i="2" s="1"/>
  <c r="S363" i="2"/>
  <c r="T363" i="2" s="1"/>
  <c r="S907" i="2"/>
  <c r="T907" i="2" s="1"/>
  <c r="S450" i="2"/>
  <c r="T450" i="2" s="1"/>
  <c r="S610" i="2"/>
  <c r="T610" i="2" s="1"/>
  <c r="S770" i="2"/>
  <c r="T770" i="2" s="1"/>
  <c r="S938" i="2"/>
  <c r="T938" i="2" s="1"/>
  <c r="S843" i="2"/>
  <c r="T843" i="2" s="1"/>
  <c r="S324" i="2"/>
  <c r="T324" i="2" s="1"/>
  <c r="S328" i="2"/>
  <c r="T328" i="2" s="1"/>
  <c r="S138" i="2"/>
  <c r="T138" i="2" s="1"/>
  <c r="S237" i="2"/>
  <c r="T237" i="2" s="1"/>
  <c r="S725" i="2"/>
  <c r="T725" i="2" s="1"/>
  <c r="S758" i="2"/>
  <c r="T758" i="2" s="1"/>
  <c r="S527" i="2"/>
  <c r="T527" i="2" s="1"/>
  <c r="S648" i="2"/>
  <c r="T648" i="2" s="1"/>
  <c r="S169" i="2"/>
  <c r="T169" i="2" s="1"/>
  <c r="S329" i="2"/>
  <c r="T329" i="2" s="1"/>
  <c r="S163" i="2"/>
  <c r="T163" i="2" s="1"/>
  <c r="S370" i="2"/>
  <c r="T370" i="2" s="1"/>
  <c r="S27" i="2"/>
  <c r="T27" i="2" s="1"/>
  <c r="S603" i="2"/>
  <c r="T603" i="2" s="1"/>
  <c r="S740" i="2"/>
  <c r="T740" i="2" s="1"/>
  <c r="S44" i="2"/>
  <c r="T44" i="2" s="1"/>
  <c r="S61" i="2"/>
  <c r="T61" i="2" s="1"/>
  <c r="S125" i="2"/>
  <c r="T125" i="2" s="1"/>
  <c r="S189" i="2"/>
  <c r="T189" i="2" s="1"/>
  <c r="S14" i="2"/>
  <c r="T14" i="2" s="1"/>
  <c r="S46" i="2"/>
  <c r="T46" i="2" s="1"/>
  <c r="S78" i="2"/>
  <c r="T78" i="2" s="1"/>
  <c r="S110" i="2"/>
  <c r="T110" i="2" s="1"/>
  <c r="S142" i="2"/>
  <c r="T142" i="2" s="1"/>
  <c r="S542" i="2"/>
  <c r="T542" i="2" s="1"/>
  <c r="S15" i="2"/>
  <c r="T15" i="2" s="1"/>
  <c r="S55" i="2"/>
  <c r="T55" i="2" s="1"/>
  <c r="S87" i="2"/>
  <c r="T87" i="2" s="1"/>
  <c r="S119" i="2"/>
  <c r="T119" i="2" s="1"/>
  <c r="S159" i="2"/>
  <c r="T159" i="2" s="1"/>
  <c r="S199" i="2"/>
  <c r="T199" i="2" s="1"/>
  <c r="S247" i="2"/>
  <c r="T247" i="2" s="1"/>
  <c r="S2" i="2"/>
  <c r="T2" i="2" s="1"/>
  <c r="S8" i="2"/>
  <c r="T8" i="2" s="1"/>
  <c r="S112" i="2"/>
  <c r="T112" i="2" s="1"/>
  <c r="S216" i="2"/>
  <c r="T216" i="2" s="1"/>
  <c r="S344" i="2"/>
  <c r="T344" i="2" s="1"/>
  <c r="S408" i="2"/>
  <c r="T408" i="2" s="1"/>
  <c r="S440" i="2"/>
  <c r="T440" i="2" s="1"/>
  <c r="S122" i="2"/>
  <c r="T122" i="2" s="1"/>
  <c r="S26" i="2"/>
  <c r="T26" i="2" s="1"/>
  <c r="S82" i="2"/>
  <c r="T82" i="2" s="1"/>
  <c r="S146" i="2"/>
  <c r="T146" i="2" s="1"/>
  <c r="S476" i="2"/>
  <c r="T476" i="2" s="1"/>
  <c r="S245" i="2"/>
  <c r="T245" i="2" s="1"/>
  <c r="S333" i="2"/>
  <c r="T333" i="2" s="1"/>
  <c r="S365" i="2"/>
  <c r="T365" i="2" s="1"/>
  <c r="S413" i="2"/>
  <c r="T413" i="2" s="1"/>
  <c r="S485" i="2"/>
  <c r="T485" i="2" s="1"/>
  <c r="S533" i="2"/>
  <c r="T533" i="2" s="1"/>
  <c r="S589" i="2"/>
  <c r="T589" i="2" s="1"/>
  <c r="S645" i="2"/>
  <c r="T645" i="2" s="1"/>
  <c r="S693" i="2"/>
  <c r="T693" i="2" s="1"/>
  <c r="S781" i="2"/>
  <c r="T781" i="2" s="1"/>
  <c r="S821" i="2"/>
  <c r="T821" i="2" s="1"/>
  <c r="S917" i="2"/>
  <c r="T917" i="2" s="1"/>
  <c r="S748" i="2"/>
  <c r="T748" i="2" s="1"/>
  <c r="S662" i="2"/>
  <c r="T662" i="2" s="1"/>
  <c r="S710" i="2"/>
  <c r="T710" i="2" s="1"/>
  <c r="S830" i="2"/>
  <c r="T830" i="2" s="1"/>
  <c r="S886" i="2"/>
  <c r="T886" i="2" s="1"/>
  <c r="S479" i="2"/>
  <c r="T479" i="2" s="1"/>
  <c r="S799" i="2"/>
  <c r="T799" i="2" s="1"/>
  <c r="S863" i="2"/>
  <c r="T863" i="2" s="1"/>
  <c r="S920" i="2"/>
  <c r="T920" i="2" s="1"/>
  <c r="S340" i="2"/>
  <c r="T340" i="2" s="1"/>
  <c r="S804" i="2"/>
  <c r="T804" i="2" s="1"/>
  <c r="S287" i="2"/>
  <c r="T287" i="2" s="1"/>
  <c r="S319" i="2"/>
  <c r="T319" i="2" s="1"/>
  <c r="S359" i="2"/>
  <c r="T359" i="2" s="1"/>
  <c r="S487" i="2"/>
  <c r="T487" i="2" s="1"/>
  <c r="S551" i="2"/>
  <c r="T551" i="2" s="1"/>
  <c r="S560" i="2"/>
  <c r="T560" i="2" s="1"/>
  <c r="S784" i="2"/>
  <c r="T784" i="2" s="1"/>
  <c r="S928" i="2"/>
  <c r="T928" i="2" s="1"/>
  <c r="S404" i="2"/>
  <c r="T404" i="2" s="1"/>
  <c r="S540" i="2"/>
  <c r="T540" i="2" s="1"/>
  <c r="S17" i="2"/>
  <c r="T17" i="2" s="1"/>
  <c r="S209" i="2"/>
  <c r="T209" i="2" s="1"/>
  <c r="S241" i="2"/>
  <c r="T241" i="2" s="1"/>
  <c r="S305" i="2"/>
  <c r="T305" i="2" s="1"/>
  <c r="S337" i="2"/>
  <c r="T337" i="2" s="1"/>
  <c r="S385" i="2"/>
  <c r="T385" i="2" s="1"/>
  <c r="S465" i="2"/>
  <c r="T465" i="2" s="1"/>
  <c r="S497" i="2"/>
  <c r="T497" i="2" s="1"/>
  <c r="S537" i="2"/>
  <c r="T537" i="2" s="1"/>
  <c r="S569" i="2"/>
  <c r="T569" i="2" s="1"/>
  <c r="S601" i="2"/>
  <c r="T601" i="2" s="1"/>
  <c r="S633" i="2"/>
  <c r="T633" i="2" s="1"/>
  <c r="S665" i="2"/>
  <c r="T665" i="2" s="1"/>
  <c r="S697" i="2"/>
  <c r="T697" i="2" s="1"/>
  <c r="S836" i="2"/>
  <c r="T836" i="2" s="1"/>
  <c r="S83" i="2"/>
  <c r="T83" i="2" s="1"/>
  <c r="S820" i="2"/>
  <c r="T820" i="2" s="1"/>
  <c r="S338" i="2"/>
  <c r="T338" i="2" s="1"/>
  <c r="S91" i="2"/>
  <c r="T91" i="2" s="1"/>
  <c r="S708" i="2"/>
  <c r="T708" i="2" s="1"/>
  <c r="S35" i="2"/>
  <c r="T35" i="2" s="1"/>
  <c r="S941" i="2"/>
  <c r="T941" i="2" s="1"/>
  <c r="S84" i="2"/>
  <c r="T84" i="2" s="1"/>
  <c r="S6" i="2"/>
  <c r="T6" i="2" s="1"/>
  <c r="S255" i="2"/>
  <c r="T255" i="2" s="1"/>
  <c r="S486" i="2"/>
  <c r="T486" i="2" s="1"/>
  <c r="S88" i="2"/>
  <c r="T88" i="2" s="1"/>
  <c r="S368" i="2"/>
  <c r="T368" i="2" s="1"/>
  <c r="S389" i="2"/>
  <c r="T389" i="2" s="1"/>
  <c r="S765" i="2"/>
  <c r="T765" i="2" s="1"/>
  <c r="S828" i="2"/>
  <c r="T828" i="2" s="1"/>
  <c r="S694" i="2"/>
  <c r="T694" i="2" s="1"/>
  <c r="S504" i="2"/>
  <c r="T504" i="2" s="1"/>
  <c r="S420" i="2"/>
  <c r="T420" i="2" s="1"/>
  <c r="S631" i="2"/>
  <c r="T631" i="2" s="1"/>
  <c r="S744" i="2"/>
  <c r="T744" i="2" s="1"/>
  <c r="S193" i="2"/>
  <c r="T193" i="2" s="1"/>
  <c r="S155" i="2"/>
  <c r="T155" i="2" s="1"/>
  <c r="S643" i="2"/>
  <c r="T643" i="2" s="1"/>
  <c r="S308" i="2"/>
  <c r="T308" i="2" s="1"/>
  <c r="S322" i="2"/>
  <c r="T322" i="2" s="1"/>
  <c r="S514" i="2"/>
  <c r="T514" i="2" s="1"/>
  <c r="S674" i="2"/>
  <c r="T674" i="2" s="1"/>
  <c r="S866" i="2"/>
  <c r="T866" i="2" s="1"/>
  <c r="S203" i="2"/>
  <c r="T203" i="2" s="1"/>
  <c r="S92" i="2"/>
  <c r="T92" i="2" s="1"/>
  <c r="S173" i="2"/>
  <c r="T173" i="2" s="1"/>
  <c r="S358" i="2"/>
  <c r="T358" i="2" s="1"/>
  <c r="S637" i="2"/>
  <c r="T637" i="2" s="1"/>
  <c r="S813" i="2"/>
  <c r="T813" i="2" s="1"/>
  <c r="S702" i="2"/>
  <c r="T702" i="2" s="1"/>
  <c r="S463" i="2"/>
  <c r="T463" i="2" s="1"/>
  <c r="S536" i="2"/>
  <c r="T536" i="2" s="1"/>
  <c r="S52" i="2"/>
  <c r="T52" i="2" s="1"/>
  <c r="S69" i="2"/>
  <c r="T69" i="2" s="1"/>
  <c r="S238" i="2"/>
  <c r="T238" i="2" s="1"/>
  <c r="S342" i="2"/>
  <c r="T342" i="2" s="1"/>
  <c r="S558" i="2"/>
  <c r="T558" i="2" s="1"/>
  <c r="S263" i="2"/>
  <c r="T263" i="2" s="1"/>
  <c r="S304" i="2"/>
  <c r="T304" i="2" s="1"/>
  <c r="S239" i="2"/>
  <c r="T239" i="2" s="1"/>
  <c r="S523" i="2"/>
  <c r="T523" i="2" s="1"/>
  <c r="S597" i="2"/>
  <c r="T597" i="2" s="1"/>
  <c r="S925" i="2"/>
  <c r="T925" i="2" s="1"/>
  <c r="S445" i="2"/>
  <c r="T445" i="2" s="1"/>
  <c r="S726" i="2"/>
  <c r="T726" i="2" s="1"/>
  <c r="S774" i="2"/>
  <c r="T774" i="2" s="1"/>
  <c r="S902" i="2"/>
  <c r="T902" i="2" s="1"/>
  <c r="S511" i="2"/>
  <c r="T511" i="2" s="1"/>
  <c r="S824" i="2"/>
  <c r="T824" i="2" s="1"/>
  <c r="S909" i="2"/>
  <c r="T909" i="2" s="1"/>
  <c r="S495" i="2"/>
  <c r="T495" i="2" s="1"/>
  <c r="S559" i="2"/>
  <c r="T559" i="2" s="1"/>
  <c r="S927" i="2"/>
  <c r="T927" i="2" s="1"/>
  <c r="S568" i="2"/>
  <c r="T568" i="2" s="1"/>
  <c r="S800" i="2"/>
  <c r="T800" i="2" s="1"/>
  <c r="S952" i="2"/>
  <c r="T952" i="2" s="1"/>
  <c r="S691" i="2"/>
  <c r="T691" i="2" s="1"/>
  <c r="S195" i="2"/>
  <c r="T195" i="2" s="1"/>
  <c r="S299" i="2"/>
  <c r="T299" i="2" s="1"/>
  <c r="S443" i="2"/>
  <c r="T443" i="2" s="1"/>
  <c r="S595" i="2"/>
  <c r="T595" i="2" s="1"/>
  <c r="S675" i="2"/>
  <c r="T675" i="2" s="1"/>
  <c r="S835" i="2"/>
  <c r="T835" i="2" s="1"/>
  <c r="S236" i="2"/>
  <c r="T236" i="2" s="1"/>
  <c r="S564" i="2"/>
  <c r="T564" i="2" s="1"/>
  <c r="S812" i="2"/>
  <c r="T812" i="2" s="1"/>
  <c r="S884" i="2"/>
  <c r="T884" i="2" s="1"/>
  <c r="S202" i="2"/>
  <c r="T202" i="2" s="1"/>
  <c r="S242" i="2"/>
  <c r="T242" i="2" s="1"/>
  <c r="S298" i="2"/>
  <c r="T298" i="2" s="1"/>
  <c r="S466" i="2"/>
  <c r="T466" i="2" s="1"/>
  <c r="S498" i="2"/>
  <c r="T498" i="2" s="1"/>
  <c r="S530" i="2"/>
  <c r="T530" i="2" s="1"/>
  <c r="S562" i="2"/>
  <c r="T562" i="2" s="1"/>
  <c r="S594" i="2"/>
  <c r="T594" i="2" s="1"/>
  <c r="S626" i="2"/>
  <c r="T626" i="2" s="1"/>
  <c r="S658" i="2"/>
  <c r="T658" i="2" s="1"/>
  <c r="S690" i="2"/>
  <c r="T690" i="2" s="1"/>
  <c r="S722" i="2"/>
  <c r="T722" i="2" s="1"/>
  <c r="S754" i="2"/>
  <c r="T754" i="2" s="1"/>
  <c r="S786" i="2"/>
  <c r="T786" i="2" s="1"/>
  <c r="S818" i="2"/>
  <c r="T818" i="2" s="1"/>
  <c r="S850" i="2"/>
  <c r="T850" i="2" s="1"/>
  <c r="S882" i="2"/>
  <c r="T882" i="2" s="1"/>
  <c r="S922" i="2"/>
  <c r="T922" i="2" s="1"/>
  <c r="S772" i="2"/>
  <c r="T772" i="2" s="1"/>
  <c r="S59" i="2"/>
  <c r="T59" i="2" s="1"/>
  <c r="S355" i="2"/>
  <c r="T355" i="2" s="1"/>
  <c r="S619" i="2"/>
  <c r="T619" i="2" s="1"/>
  <c r="S699" i="2"/>
  <c r="T699" i="2" s="1"/>
  <c r="S875" i="2"/>
  <c r="T875" i="2" s="1"/>
  <c r="S260" i="2"/>
  <c r="T260" i="2" s="1"/>
  <c r="S165" i="2"/>
  <c r="T165" i="2" s="1"/>
  <c r="S256" i="2"/>
  <c r="T256" i="2" s="1"/>
  <c r="S240" i="2"/>
  <c r="T240" i="2" s="1"/>
  <c r="S742" i="2"/>
  <c r="T742" i="2" s="1"/>
  <c r="S334" i="2"/>
  <c r="T334" i="2" s="1"/>
  <c r="S120" i="2"/>
  <c r="T120" i="2" s="1"/>
  <c r="S853" i="2"/>
  <c r="T853" i="2" s="1"/>
  <c r="S137" i="2"/>
  <c r="T137" i="2" s="1"/>
  <c r="S206" i="2"/>
  <c r="T206" i="2" s="1"/>
  <c r="S77" i="2"/>
  <c r="T77" i="2" s="1"/>
  <c r="S24" i="2"/>
  <c r="T24" i="2" s="1"/>
  <c r="S128" i="2"/>
  <c r="T128" i="2" s="1"/>
  <c r="S176" i="2"/>
  <c r="T176" i="2" s="1"/>
  <c r="S446" i="2"/>
  <c r="T446" i="2" s="1"/>
  <c r="S723" i="2"/>
  <c r="T723" i="2" s="1"/>
  <c r="S341" i="2"/>
  <c r="T341" i="2" s="1"/>
  <c r="S541" i="2"/>
  <c r="T541" i="2" s="1"/>
  <c r="S605" i="2"/>
  <c r="T605" i="2" s="1"/>
  <c r="S653" i="2"/>
  <c r="T653" i="2" s="1"/>
  <c r="S749" i="2"/>
  <c r="T749" i="2" s="1"/>
  <c r="S789" i="2"/>
  <c r="T789" i="2" s="1"/>
  <c r="S877" i="2"/>
  <c r="T877" i="2" s="1"/>
  <c r="S596" i="2"/>
  <c r="T596" i="2" s="1"/>
  <c r="S477" i="2"/>
  <c r="T477" i="2" s="1"/>
  <c r="S790" i="2"/>
  <c r="T790" i="2" s="1"/>
  <c r="S838" i="2"/>
  <c r="T838" i="2" s="1"/>
  <c r="S918" i="2"/>
  <c r="T918" i="2" s="1"/>
  <c r="S543" i="2"/>
  <c r="T543" i="2" s="1"/>
  <c r="S943" i="2"/>
  <c r="T943" i="2" s="1"/>
  <c r="S840" i="2"/>
  <c r="T840" i="2" s="1"/>
  <c r="S644" i="2"/>
  <c r="T644" i="2" s="1"/>
  <c r="S583" i="2"/>
  <c r="T583" i="2" s="1"/>
  <c r="S711" i="2"/>
  <c r="T711" i="2" s="1"/>
  <c r="S428" i="2"/>
  <c r="T428" i="2" s="1"/>
  <c r="S755" i="2"/>
  <c r="T755" i="2" s="1"/>
  <c r="S393" i="2"/>
  <c r="T393" i="2" s="1"/>
  <c r="S473" i="2"/>
  <c r="T473" i="2" s="1"/>
  <c r="S505" i="2"/>
  <c r="T505" i="2" s="1"/>
  <c r="S545" i="2"/>
  <c r="T545" i="2" s="1"/>
  <c r="S577" i="2"/>
  <c r="T577" i="2" s="1"/>
  <c r="S609" i="2"/>
  <c r="T609" i="2" s="1"/>
  <c r="S641" i="2"/>
  <c r="T641" i="2" s="1"/>
  <c r="S673" i="2"/>
  <c r="T673" i="2" s="1"/>
  <c r="S705" i="2"/>
  <c r="T705" i="2" s="1"/>
  <c r="S737" i="2"/>
  <c r="T737" i="2" s="1"/>
  <c r="S897" i="2"/>
  <c r="T897" i="2" s="1"/>
  <c r="S937" i="2"/>
  <c r="T937" i="2" s="1"/>
  <c r="S387" i="2"/>
  <c r="T387" i="2" s="1"/>
  <c r="S210" i="2"/>
  <c r="T210" i="2" s="1"/>
  <c r="S940" i="2"/>
  <c r="T940" i="2" s="1"/>
  <c r="S379" i="2"/>
  <c r="T379" i="2" s="1"/>
  <c r="S435" i="2"/>
  <c r="T435" i="2" s="1"/>
  <c r="S571" i="2"/>
  <c r="T571" i="2" s="1"/>
  <c r="S707" i="2"/>
  <c r="T707" i="2" s="1"/>
  <c r="S20" i="2"/>
  <c r="T20" i="2" s="1"/>
  <c r="S37" i="2"/>
  <c r="T37" i="2" s="1"/>
  <c r="S254" i="2"/>
  <c r="T254" i="2" s="1"/>
  <c r="S16" i="2"/>
  <c r="T16" i="2" s="1"/>
  <c r="S899" i="2"/>
  <c r="T899" i="2" s="1"/>
  <c r="S805" i="2"/>
  <c r="T805" i="2" s="1"/>
  <c r="S862" i="2"/>
  <c r="T862" i="2" s="1"/>
  <c r="S839" i="2"/>
  <c r="T839" i="2" s="1"/>
  <c r="S600" i="2"/>
  <c r="T600" i="2" s="1"/>
  <c r="S519" i="2"/>
  <c r="T519" i="2" s="1"/>
  <c r="S520" i="2"/>
  <c r="T520" i="2" s="1"/>
  <c r="S220" i="2"/>
  <c r="T220" i="2" s="1"/>
  <c r="S33" i="2"/>
  <c r="T33" i="2" s="1"/>
  <c r="S161" i="2"/>
  <c r="T161" i="2" s="1"/>
  <c r="S321" i="2"/>
  <c r="T321" i="2" s="1"/>
  <c r="S491" i="2"/>
  <c r="T491" i="2" s="1"/>
  <c r="S482" i="2"/>
  <c r="T482" i="2" s="1"/>
  <c r="S642" i="2"/>
  <c r="T642" i="2" s="1"/>
  <c r="S802" i="2"/>
  <c r="T802" i="2" s="1"/>
  <c r="S507" i="2"/>
  <c r="T507" i="2" s="1"/>
  <c r="S667" i="2"/>
  <c r="T667" i="2" s="1"/>
  <c r="S204" i="2"/>
  <c r="T204" i="2" s="1"/>
  <c r="S612" i="2"/>
  <c r="T612" i="2" s="1"/>
  <c r="S164" i="2"/>
  <c r="T164" i="2" s="1"/>
  <c r="S502" i="2"/>
  <c r="T502" i="2" s="1"/>
  <c r="S18" i="2"/>
  <c r="T18" i="2" s="1"/>
  <c r="S478" i="2"/>
  <c r="T478" i="2" s="1"/>
  <c r="S647" i="2"/>
  <c r="T647" i="2" s="1"/>
  <c r="S41" i="2"/>
  <c r="T41" i="2" s="1"/>
  <c r="S174" i="2"/>
  <c r="T174" i="2" s="1"/>
  <c r="S310" i="2"/>
  <c r="T310" i="2" s="1"/>
  <c r="S140" i="2"/>
  <c r="T140" i="2" s="1"/>
  <c r="S152" i="2"/>
  <c r="T152" i="2" s="1"/>
  <c r="S182" i="2"/>
  <c r="T182" i="2" s="1"/>
  <c r="S214" i="2"/>
  <c r="T214" i="2" s="1"/>
  <c r="S246" i="2"/>
  <c r="T246" i="2" s="1"/>
  <c r="S590" i="2"/>
  <c r="T590" i="2" s="1"/>
  <c r="S40" i="2"/>
  <c r="T40" i="2" s="1"/>
  <c r="S80" i="2"/>
  <c r="T80" i="2" s="1"/>
  <c r="S136" i="2"/>
  <c r="T136" i="2" s="1"/>
  <c r="S184" i="2"/>
  <c r="T184" i="2" s="1"/>
  <c r="S280" i="2"/>
  <c r="T280" i="2" s="1"/>
  <c r="S360" i="2"/>
  <c r="T360" i="2" s="1"/>
  <c r="S518" i="2"/>
  <c r="T518" i="2" s="1"/>
  <c r="S42" i="2"/>
  <c r="T42" i="2" s="1"/>
  <c r="S106" i="2"/>
  <c r="T106" i="2" s="1"/>
  <c r="S787" i="2"/>
  <c r="T787" i="2" s="1"/>
  <c r="S221" i="2"/>
  <c r="T221" i="2" s="1"/>
  <c r="S293" i="2"/>
  <c r="T293" i="2" s="1"/>
  <c r="S453" i="2"/>
  <c r="T453" i="2" s="1"/>
  <c r="S557" i="2"/>
  <c r="T557" i="2" s="1"/>
  <c r="S669" i="2"/>
  <c r="T669" i="2" s="1"/>
  <c r="S709" i="2"/>
  <c r="T709" i="2" s="1"/>
  <c r="S797" i="2"/>
  <c r="T797" i="2" s="1"/>
  <c r="S837" i="2"/>
  <c r="T837" i="2" s="1"/>
  <c r="S933" i="2"/>
  <c r="T933" i="2" s="1"/>
  <c r="S524" i="2"/>
  <c r="T524" i="2" s="1"/>
  <c r="S734" i="2"/>
  <c r="T734" i="2" s="1"/>
  <c r="S854" i="2"/>
  <c r="T854" i="2" s="1"/>
  <c r="S615" i="2"/>
  <c r="T615" i="2" s="1"/>
  <c r="S679" i="2"/>
  <c r="T679" i="2" s="1"/>
  <c r="S743" i="2"/>
  <c r="T743" i="2" s="1"/>
  <c r="S251" i="2"/>
  <c r="T251" i="2" s="1"/>
  <c r="S584" i="2"/>
  <c r="T584" i="2" s="1"/>
  <c r="S696" i="2"/>
  <c r="T696" i="2" s="1"/>
  <c r="S872" i="2"/>
  <c r="T872" i="2" s="1"/>
  <c r="S944" i="2"/>
  <c r="T944" i="2" s="1"/>
  <c r="S407" i="2"/>
  <c r="T407" i="2" s="1"/>
  <c r="S447" i="2"/>
  <c r="T447" i="2" s="1"/>
  <c r="S503" i="2"/>
  <c r="T503" i="2" s="1"/>
  <c r="S815" i="2"/>
  <c r="T815" i="2" s="1"/>
  <c r="S951" i="2"/>
  <c r="T951" i="2" s="1"/>
  <c r="S592" i="2"/>
  <c r="T592" i="2" s="1"/>
  <c r="S704" i="2"/>
  <c r="T704" i="2" s="1"/>
  <c r="S816" i="2"/>
  <c r="T816" i="2" s="1"/>
  <c r="S188" i="2"/>
  <c r="T188" i="2" s="1"/>
  <c r="S316" i="2"/>
  <c r="T316" i="2" s="1"/>
  <c r="S819" i="2"/>
  <c r="T819" i="2" s="1"/>
  <c r="S25" i="2"/>
  <c r="T25" i="2" s="1"/>
  <c r="S217" i="2"/>
  <c r="T217" i="2" s="1"/>
  <c r="S249" i="2"/>
  <c r="T249" i="2" s="1"/>
  <c r="S281" i="2"/>
  <c r="T281" i="2" s="1"/>
  <c r="S313" i="2"/>
  <c r="T313" i="2" s="1"/>
  <c r="S345" i="2"/>
  <c r="T345" i="2" s="1"/>
  <c r="S433" i="2"/>
  <c r="T433" i="2" s="1"/>
  <c r="S115" i="2"/>
  <c r="T115" i="2" s="1"/>
  <c r="S323" i="2"/>
  <c r="T323" i="2" s="1"/>
  <c r="S547" i="2"/>
  <c r="T547" i="2" s="1"/>
  <c r="S867" i="2"/>
  <c r="T867" i="2" s="1"/>
  <c r="S276" i="2"/>
  <c r="T276" i="2" s="1"/>
  <c r="S468" i="2"/>
  <c r="T468" i="2" s="1"/>
  <c r="S604" i="2"/>
  <c r="T604" i="2" s="1"/>
  <c r="S844" i="2"/>
  <c r="T844" i="2" s="1"/>
  <c r="S429" i="2"/>
  <c r="T429" i="2" s="1"/>
  <c r="S258" i="2"/>
  <c r="T258" i="2" s="1"/>
  <c r="S306" i="2"/>
  <c r="T306" i="2" s="1"/>
  <c r="S474" i="2"/>
  <c r="T474" i="2" s="1"/>
  <c r="S506" i="2"/>
  <c r="T506" i="2" s="1"/>
  <c r="S538" i="2"/>
  <c r="T538" i="2" s="1"/>
  <c r="S570" i="2"/>
  <c r="T570" i="2" s="1"/>
  <c r="S602" i="2"/>
  <c r="T602" i="2" s="1"/>
  <c r="S634" i="2"/>
  <c r="T634" i="2" s="1"/>
  <c r="S666" i="2"/>
  <c r="T666" i="2" s="1"/>
  <c r="S698" i="2"/>
  <c r="T698" i="2" s="1"/>
  <c r="S730" i="2"/>
  <c r="T730" i="2" s="1"/>
  <c r="S762" i="2"/>
  <c r="T762" i="2" s="1"/>
  <c r="S794" i="2"/>
  <c r="T794" i="2" s="1"/>
  <c r="S179" i="2"/>
  <c r="T179" i="2" s="1"/>
  <c r="S891" i="2"/>
  <c r="T891" i="2" s="1"/>
  <c r="S180" i="2"/>
  <c r="T180" i="2" s="1"/>
  <c r="S190" i="2"/>
  <c r="T190" i="2" s="1"/>
  <c r="S269" i="2"/>
  <c r="T269" i="2" s="1"/>
  <c r="S565" i="2"/>
  <c r="T565" i="2" s="1"/>
  <c r="S949" i="2"/>
  <c r="T949" i="2" s="1"/>
  <c r="S622" i="2"/>
  <c r="T622" i="2" s="1"/>
  <c r="S903" i="2"/>
  <c r="T903" i="2" s="1"/>
  <c r="S776" i="2"/>
  <c r="T776" i="2" s="1"/>
  <c r="S139" i="2"/>
  <c r="T139" i="2" s="1"/>
  <c r="S383" i="2"/>
  <c r="T383" i="2" s="1"/>
  <c r="S759" i="2"/>
  <c r="T759" i="2" s="1"/>
  <c r="S640" i="2"/>
  <c r="T640" i="2" s="1"/>
  <c r="S348" i="2"/>
  <c r="T348" i="2" s="1"/>
  <c r="S65" i="2"/>
  <c r="T65" i="2" s="1"/>
  <c r="S257" i="2"/>
  <c r="T257" i="2" s="1"/>
  <c r="S638" i="2"/>
  <c r="T638" i="2" s="1"/>
  <c r="S362" i="2"/>
  <c r="T362" i="2" s="1"/>
  <c r="S578" i="2"/>
  <c r="T578" i="2" s="1"/>
  <c r="S738" i="2"/>
  <c r="T738" i="2" s="1"/>
  <c r="S906" i="2"/>
  <c r="T906" i="2" s="1"/>
  <c r="S747" i="2"/>
  <c r="T747" i="2" s="1"/>
  <c r="S45" i="2"/>
  <c r="T45" i="2" s="1"/>
  <c r="S616" i="2"/>
  <c r="T616" i="2" s="1"/>
  <c r="S73" i="2"/>
  <c r="T73" i="2" s="1"/>
  <c r="S265" i="2"/>
  <c r="T265" i="2" s="1"/>
  <c r="S403" i="2"/>
  <c r="T403" i="2" s="1"/>
  <c r="S692" i="2"/>
  <c r="T692" i="2" s="1"/>
  <c r="S124" i="2"/>
  <c r="T124" i="2" s="1"/>
  <c r="S133" i="2"/>
  <c r="T133" i="2" s="1"/>
  <c r="S278" i="2"/>
  <c r="T278" i="2" s="1"/>
  <c r="S60" i="2"/>
  <c r="T60" i="2" s="1"/>
  <c r="S141" i="2"/>
  <c r="T141" i="2" s="1"/>
  <c r="S12" i="2"/>
  <c r="T12" i="2" s="1"/>
  <c r="S76" i="2"/>
  <c r="T76" i="2" s="1"/>
  <c r="S13" i="2"/>
  <c r="T13" i="2" s="1"/>
  <c r="S93" i="2"/>
  <c r="T93" i="2" s="1"/>
  <c r="S157" i="2"/>
  <c r="T157" i="2" s="1"/>
  <c r="S30" i="2"/>
  <c r="T30" i="2" s="1"/>
  <c r="S208" i="2"/>
  <c r="T208" i="2" s="1"/>
  <c r="S470" i="2"/>
  <c r="T470" i="2" s="1"/>
  <c r="S58" i="2"/>
  <c r="T58" i="2" s="1"/>
  <c r="S39" i="2"/>
  <c r="T39" i="2" s="1"/>
  <c r="S50" i="2"/>
  <c r="T50" i="2" s="1"/>
  <c r="S114" i="2"/>
  <c r="T114" i="2" s="1"/>
  <c r="S178" i="2"/>
  <c r="T178" i="2" s="1"/>
  <c r="S851" i="2"/>
  <c r="T851" i="2" s="1"/>
  <c r="S461" i="2"/>
  <c r="T461" i="2" s="1"/>
  <c r="S684" i="2"/>
  <c r="T684" i="2" s="1"/>
  <c r="S623" i="2"/>
  <c r="T623" i="2" s="1"/>
  <c r="S687" i="2"/>
  <c r="T687" i="2" s="1"/>
  <c r="S751" i="2"/>
  <c r="T751" i="2" s="1"/>
  <c r="S451" i="2"/>
  <c r="T451" i="2" s="1"/>
  <c r="S888" i="2"/>
  <c r="T888" i="2" s="1"/>
  <c r="S916" i="2"/>
  <c r="T916" i="2" s="1"/>
  <c r="S525" i="2"/>
  <c r="T525" i="2" s="1"/>
  <c r="S847" i="2"/>
  <c r="T847" i="2" s="1"/>
  <c r="S371" i="2"/>
  <c r="T371" i="2" s="1"/>
  <c r="S496" i="2"/>
  <c r="T496" i="2" s="1"/>
  <c r="S712" i="2"/>
  <c r="T712" i="2" s="1"/>
  <c r="S883" i="2"/>
  <c r="T883" i="2" s="1"/>
  <c r="S401" i="2"/>
  <c r="T401" i="2" s="1"/>
  <c r="S441" i="2"/>
  <c r="T441" i="2" s="1"/>
  <c r="S481" i="2"/>
  <c r="T481" i="2" s="1"/>
  <c r="S521" i="2"/>
  <c r="T521" i="2" s="1"/>
  <c r="S553" i="2"/>
  <c r="T553" i="2" s="1"/>
  <c r="S585" i="2"/>
  <c r="T585" i="2" s="1"/>
  <c r="S617" i="2"/>
  <c r="T617" i="2" s="1"/>
  <c r="S649" i="2"/>
  <c r="T649" i="2" s="1"/>
  <c r="S681" i="2"/>
  <c r="T681" i="2" s="1"/>
  <c r="S713" i="2"/>
  <c r="T713" i="2" s="1"/>
  <c r="S745" i="2"/>
  <c r="T745" i="2" s="1"/>
  <c r="S900" i="2"/>
  <c r="T900" i="2" s="1"/>
  <c r="S467" i="2"/>
  <c r="T467" i="2" s="1"/>
  <c r="S953" i="2" l="1"/>
  <c r="F6" i="4" s="1"/>
  <c r="I6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DC7BAA-C481-4DEE-8CFD-77DFC4ECB831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F32DBDA-A1CB-4F81-ADFF-2AC5502043D5}" name="WorksheetConnection_Projeto_Analise_de_Vendas_no_Excel.xlsx!Tabela3" type="102" refreshedVersion="7" minRefreshableVersion="5">
    <extLst>
      <ext xmlns:x15="http://schemas.microsoft.com/office/spreadsheetml/2010/11/main" uri="{DE250136-89BD-433C-8126-D09CA5730AF9}">
        <x15:connection id="Tabela3">
          <x15:rangePr sourceName="_xlcn.WorksheetConnection_Projeto_Analise_de_Vendas_no_Excel.xlsxTabela31"/>
        </x15:connection>
      </ext>
    </extLst>
  </connection>
</connections>
</file>

<file path=xl/sharedStrings.xml><?xml version="1.0" encoding="utf-8"?>
<sst xmlns="http://schemas.openxmlformats.org/spreadsheetml/2006/main" count="7899" uniqueCount="1176">
  <si>
    <t>PROJETO DE ANÁLISE DE DADOS | VENDAS</t>
  </si>
  <si>
    <t>Treinamento prático no Excel • nível iniciante a intermediário • dados fictícios de 2025</t>
  </si>
  <si>
    <t>O CENÁRIO</t>
  </si>
  <si>
    <t>A Vitrine Viva é uma varejista fictícia com lojas e canais digitais. A liderança quer entender o que está impulsionando as vendas, onde a operação ganha margem e quais sinais de cancelamento ou devolução merecem atenção. Você recebeu um ano de registros de vendas e vai transformar esses dados em análises e recomendações.</t>
  </si>
  <si>
    <t>SUA MISSÃO</t>
  </si>
  <si>
    <t>Construir uma análise reproduzível no Excel e apresentar um painel que responda: como a empresa vendeu em 2025, quais produtos/canais/regiões sustentaram o lucro e que duas ações práticas você recomenda com base nos números?</t>
  </si>
  <si>
    <t>REGRAS E PREMISSAS</t>
  </si>
  <si>
    <t>1</t>
  </si>
  <si>
    <t>A base tem uma linha por venda. Os valores monetários são em reais (R$); o desconto é uma proporção do preço bruto.</t>
  </si>
  <si>
    <t>2</t>
  </si>
  <si>
    <t>Para receita, custo e lucro reconhecidos, conte apenas pedidos com Status_Pedido = Concluída. Canceladas e devolvidas ficam fora desses indicadores; analise os volumes delas à parte.</t>
  </si>
  <si>
    <t>3</t>
  </si>
  <si>
    <t>Receita Bruta = Quantidade × Preço Unitário. Desconto R$ = Receita Bruta × Desconto_pct. Receita Líquida reconhecida = Receita Bruta menos desconto para pedidos concluídos; caso contrário, zero.</t>
  </si>
  <si>
    <t>4</t>
  </si>
  <si>
    <t>Custo Total reconhecido = Quantidade × Custo Unitário para pedidos concluídos. Lucro Bruto = Receita Líquida − Custo Total. Margem Bruta = Lucro Bruto ÷ Receita Líquida; deixe sem valor quando não houver receita.</t>
  </si>
  <si>
    <t>5</t>
  </si>
  <si>
    <t>Há três inconsistências intencionais na base (variação de escrita/espaço e dado ausente). Encontre-as, padronize ou trate e registre sua decisão antes de comparar categorias.</t>
  </si>
  <si>
    <t>ROTEIRO DE TRABALHO</t>
  </si>
  <si>
    <t>Etapa</t>
  </si>
  <si>
    <t>Foco</t>
  </si>
  <si>
    <t>O que fazer</t>
  </si>
  <si>
    <t>Conhecer e preparar</t>
  </si>
  <si>
    <t>Explore a Base_Vendas, confira tipos e filtros, identifique as inconsistências e transforme os dados em Tabela do Excel (Ctrl+T).</t>
  </si>
  <si>
    <t>Calcular</t>
  </si>
  <si>
    <t>Preencha as seis colunas amarelas da base com as métricas derivadas. Confira as regras na seção acima e no Dicionario.</t>
  </si>
  <si>
    <t>Investigar e comunicar</t>
  </si>
  <si>
    <t>Use Tabelas Dinâmicas, fórmulas ou ambas. Monte gráficos no Meu_Painel e escreva conclusões com números, comparação e ação recomendada.</t>
  </si>
  <si>
    <t>PERGUNTAS PARA INVESTIGAR</t>
  </si>
  <si>
    <t>Quanto a empresa reconheceu de receita líquida e lucro bruto? Qual foi a margem bruta ponderada do ano?</t>
  </si>
  <si>
    <t>Quais foram os melhores e piores meses em receita líquida? O pico de novembro se mantém quando você olha lucro ou margem?</t>
  </si>
  <si>
    <t>Quais categorias e produtos mais contribuíram para receita e lucro? Há algum produto com boa receita e margem abaixo da média?</t>
  </si>
  <si>
    <t>Qual região e loja tiveram maior receita líquida? A liderança muda quando o critério é lucro ou margem?</t>
  </si>
  <si>
    <t>Como os canais se comparam em receita, margem e desconto médio? Que cuidado você precisa ter ao interpretar desconto?</t>
  </si>
  <si>
    <t>6</t>
  </si>
  <si>
    <t>Qual é a participação de pedidos cancelados e devolvidos no total? Esse comportamento varia por canal ou região?</t>
  </si>
  <si>
    <t>7</t>
  </si>
  <si>
    <t>Quem são os vendedores de destaque por receita e por lucro? A comparação é justa sem considerar volume de pedidos?</t>
  </si>
  <si>
    <t>8</t>
  </si>
  <si>
    <t>Que duas recomendações específicas você faria à liderança, apoiadas por indicadores do seu painel?</t>
  </si>
  <si>
    <t>O QUE ENTREGAR</t>
  </si>
  <si>
    <t>Item</t>
  </si>
  <si>
    <t>Pronto?</t>
  </si>
  <si>
    <t>Critério</t>
  </si>
  <si>
    <t>Descrição</t>
  </si>
  <si>
    <t>RUBRICA DE AUTOAVALIAÇÃO (0–2 PONTOS CADA)</t>
  </si>
  <si>
    <t>Base preparada</t>
  </si>
  <si>
    <t>☐</t>
  </si>
  <si>
    <t>Rastreável</t>
  </si>
  <si>
    <t>Tabela filtrável, tipos corretos e inconsistências tratadas/documentadas.</t>
  </si>
  <si>
    <t>0 = ausente ou incorreto</t>
  </si>
  <si>
    <t>Métricas</t>
  </si>
  <si>
    <t>Reproduzível</t>
  </si>
  <si>
    <t>Seis colunas calculadas e verificadas com algumas linhas manualmente.</t>
  </si>
  <si>
    <t>1 = feito, mas sem validação ou clareza</t>
  </si>
  <si>
    <t>Análises</t>
  </si>
  <si>
    <t>Comparável</t>
  </si>
  <si>
    <t>Tabelas Dinâmicas ou resumos para tempo, produto, região/loja, canal e status.</t>
  </si>
  <si>
    <t>2 = correto, conferível e bem comunicado</t>
  </si>
  <si>
    <t>Painel</t>
  </si>
  <si>
    <t>Claro</t>
  </si>
  <si>
    <t>KPIs essenciais e pelo menos três gráficos com título e unidades.</t>
  </si>
  <si>
    <t>Avalie: qualidade dos dados, fórmulas, análises, visual e recomendações.</t>
  </si>
  <si>
    <t>Conclusão</t>
  </si>
  <si>
    <t>Acionável</t>
  </si>
  <si>
    <t>Três descobertas quantitativas e duas recomendações ligadas à evidência.</t>
  </si>
  <si>
    <t>Total máximo: 10 pontos. Anote 1 melhoria para a próxima análise.</t>
  </si>
  <si>
    <t>DESAFIO EXTRA</t>
  </si>
  <si>
    <t>Crie uma segmentação por Loja e Canal no painel e investigue se o mês de maior receita também tem a melhor margem. Faça um gráfico de dispersão Receita Líquida × Desconto médio por canal (ou por produto) e explique o que os dados permitem concluir sem afirmar causalidade.</t>
  </si>
  <si>
    <t>ID_Venda</t>
  </si>
  <si>
    <t>Data</t>
  </si>
  <si>
    <t>Loja</t>
  </si>
  <si>
    <t>Região</t>
  </si>
  <si>
    <t>Canal</t>
  </si>
  <si>
    <t>Vendedor</t>
  </si>
  <si>
    <t>Categoria</t>
  </si>
  <si>
    <t>Produto</t>
  </si>
  <si>
    <t>Quantidade</t>
  </si>
  <si>
    <t>Preço_Unitário_R$</t>
  </si>
  <si>
    <t>Desconto_pct</t>
  </si>
  <si>
    <t>Custo_Unitário_R$</t>
  </si>
  <si>
    <t>Status_Pedido</t>
  </si>
  <si>
    <t>Receita_Bruta_R$</t>
  </si>
  <si>
    <t>Desconto_R$</t>
  </si>
  <si>
    <t>Receita_Líquida_R$</t>
  </si>
  <si>
    <t>Custo_Total_R$</t>
  </si>
  <si>
    <t>Lucro_Bruto_R$</t>
  </si>
  <si>
    <t>Margem_Bruta_pct</t>
  </si>
  <si>
    <t>VD-0017</t>
  </si>
  <si>
    <t>São Paulo Centro</t>
  </si>
  <si>
    <t>Sudeste</t>
  </si>
  <si>
    <t>Marketplace</t>
  </si>
  <si>
    <t>Bruno Lima</t>
  </si>
  <si>
    <t>Beleza</t>
  </si>
  <si>
    <t>Balança Smart</t>
  </si>
  <si>
    <t>Concluída</t>
  </si>
  <si>
    <t>VD-0041</t>
  </si>
  <si>
    <t>Belo Horizonte Savassi</t>
  </si>
  <si>
    <t>Loja Física</t>
  </si>
  <si>
    <t>Diego Alves</t>
  </si>
  <si>
    <t>Informática</t>
  </si>
  <si>
    <t>Teclado Mecânico</t>
  </si>
  <si>
    <t>VD-0047</t>
  </si>
  <si>
    <t>Curitiba Batel</t>
  </si>
  <si>
    <t>Sul</t>
  </si>
  <si>
    <t>Televendas</t>
  </si>
  <si>
    <t>Marcos Silva</t>
  </si>
  <si>
    <t>Casa</t>
  </si>
  <si>
    <t>Air Fryer 5L</t>
  </si>
  <si>
    <t>Cancelada</t>
  </si>
  <si>
    <t>VD-0011</t>
  </si>
  <si>
    <t>João Pedro</t>
  </si>
  <si>
    <t>Kit Lençol 4p</t>
  </si>
  <si>
    <t>VD-0043</t>
  </si>
  <si>
    <t>Recife Boa Viagem</t>
  </si>
  <si>
    <t>Nordeste</t>
  </si>
  <si>
    <t>Larissa Freitas</t>
  </si>
  <si>
    <t>Panela Pressão 6L</t>
  </si>
  <si>
    <t>VD-0065</t>
  </si>
  <si>
    <t>Salvador Barra</t>
  </si>
  <si>
    <t>Esporte</t>
  </si>
  <si>
    <t>Bike Urbana</t>
  </si>
  <si>
    <t>VD-0033</t>
  </si>
  <si>
    <t>E-commerce</t>
  </si>
  <si>
    <t>Elisa Rocha</t>
  </si>
  <si>
    <t>Acessórios</t>
  </si>
  <si>
    <t>Relógio Fit</t>
  </si>
  <si>
    <t>VD-0042</t>
  </si>
  <si>
    <t>Giovana Melo</t>
  </si>
  <si>
    <t>VD-0061</t>
  </si>
  <si>
    <t>Porto Alegre Moinhos</t>
  </si>
  <si>
    <t>Fone Wave</t>
  </si>
  <si>
    <t>VD-0013</t>
  </si>
  <si>
    <t>Rio de Janeiro Sul</t>
  </si>
  <si>
    <t>VD-0030</t>
  </si>
  <si>
    <t>Secador Pro</t>
  </si>
  <si>
    <t>VD-0051</t>
  </si>
  <si>
    <t>Brasília Asa Sul</t>
  </si>
  <si>
    <t>Centro-Oeste</t>
  </si>
  <si>
    <t>Colchonete Pro</t>
  </si>
  <si>
    <t>VD-0029</t>
  </si>
  <si>
    <t>Ana Costa</t>
  </si>
  <si>
    <t>Esteira Compacta</t>
  </si>
  <si>
    <t>VD-0059</t>
  </si>
  <si>
    <t>VD-0010</t>
  </si>
  <si>
    <t>Creme Facial</t>
  </si>
  <si>
    <t>VD-0018</t>
  </si>
  <si>
    <t>VD-0027</t>
  </si>
  <si>
    <t>VD-0034</t>
  </si>
  <si>
    <t>VD-0035</t>
  </si>
  <si>
    <t>VD-0020</t>
  </si>
  <si>
    <t>VD-0022</t>
  </si>
  <si>
    <t>Felipe Martins</t>
  </si>
  <si>
    <t>VD-0054</t>
  </si>
  <si>
    <t>VD-0064</t>
  </si>
  <si>
    <t>Camila Souza</t>
  </si>
  <si>
    <t>Halteres 10kg</t>
  </si>
  <si>
    <t>VD-0045</t>
  </si>
  <si>
    <t>VD-0053</t>
  </si>
  <si>
    <t>Mouse Pro</t>
  </si>
  <si>
    <t>VD-0066</t>
  </si>
  <si>
    <t>Isabela Reis</t>
  </si>
  <si>
    <t>VD-0005</t>
  </si>
  <si>
    <t>VD-0006</t>
  </si>
  <si>
    <t>Monitor 27 Ultra</t>
  </si>
  <si>
    <t>VD-0019</t>
  </si>
  <si>
    <t>VD-0031</t>
  </si>
  <si>
    <t>VD-0012</t>
  </si>
  <si>
    <t>VD-0001</t>
  </si>
  <si>
    <t>VD-0009</t>
  </si>
  <si>
    <t>VD-0060</t>
  </si>
  <si>
    <t>Tapete Sala</t>
  </si>
  <si>
    <t>VD-0007</t>
  </si>
  <si>
    <t>VD-0023</t>
  </si>
  <si>
    <t>Notebook Nova 14</t>
  </si>
  <si>
    <t>VD-0003</t>
  </si>
  <si>
    <t>VD-0052</t>
  </si>
  <si>
    <t>VD-0055</t>
  </si>
  <si>
    <t>Heitor Nunes</t>
  </si>
  <si>
    <t>VD-0058</t>
  </si>
  <si>
    <t>VD-0067</t>
  </si>
  <si>
    <t>VD-0004</t>
  </si>
  <si>
    <t>VD-0016</t>
  </si>
  <si>
    <t>VD-0037</t>
  </si>
  <si>
    <t>VD-0048</t>
  </si>
  <si>
    <t>Cadeira Escritório</t>
  </si>
  <si>
    <t>VD-0032</t>
  </si>
  <si>
    <t>VD-0002</t>
  </si>
  <si>
    <t>VD-0028</t>
  </si>
  <si>
    <t>VD-0049</t>
  </si>
  <si>
    <t>VD-0026</t>
  </si>
  <si>
    <t>VD-0036</t>
  </si>
  <si>
    <t>VD-0038</t>
  </si>
  <si>
    <t>VD-0040</t>
  </si>
  <si>
    <t>Óculos Sol</t>
  </si>
  <si>
    <t>VD-0056</t>
  </si>
  <si>
    <t>VD-0039</t>
  </si>
  <si>
    <t>VD-0044</t>
  </si>
  <si>
    <t>VD-0046</t>
  </si>
  <si>
    <t>VD-0063</t>
  </si>
  <si>
    <t>Mochila Urban</t>
  </si>
  <si>
    <t>VD-0062</t>
  </si>
  <si>
    <t>VD-0014</t>
  </si>
  <si>
    <t>VD-0015</t>
  </si>
  <si>
    <t>VD-0021</t>
  </si>
  <si>
    <t>VD-0025</t>
  </si>
  <si>
    <t>VD-0050</t>
  </si>
  <si>
    <t>VD-0024</t>
  </si>
  <si>
    <t>VD-0057</t>
  </si>
  <si>
    <t>VD-0068</t>
  </si>
  <si>
    <t>VD-0008</t>
  </si>
  <si>
    <t>VD-0075</t>
  </si>
  <si>
    <t>VD-0128</t>
  </si>
  <si>
    <t>VD-0087</t>
  </si>
  <si>
    <t>VD-0112</t>
  </si>
  <si>
    <t>VD-0131</t>
  </si>
  <si>
    <t>VD-0081</t>
  </si>
  <si>
    <t>VD-0118</t>
  </si>
  <si>
    <t>VD-0070</t>
  </si>
  <si>
    <t>VD-0100</t>
  </si>
  <si>
    <t>VD-0103</t>
  </si>
  <si>
    <t>VD-0082</t>
  </si>
  <si>
    <t>VD-0121</t>
  </si>
  <si>
    <t>VD-0125</t>
  </si>
  <si>
    <t>VD-0132</t>
  </si>
  <si>
    <t>VD-0089</t>
  </si>
  <si>
    <t>VD-0093</t>
  </si>
  <si>
    <t>VD-0115</t>
  </si>
  <si>
    <t>VD-0069</t>
  </si>
  <si>
    <t>VD-0102</t>
  </si>
  <si>
    <t>VD-0086</t>
  </si>
  <si>
    <t>VD-0072</t>
  </si>
  <si>
    <t>VD-0083</t>
  </si>
  <si>
    <t>VD-0090</t>
  </si>
  <si>
    <t>VD-0109</t>
  </si>
  <si>
    <t>VD-0129</t>
  </si>
  <si>
    <t>VD-0124</t>
  </si>
  <si>
    <t>VD-0085</t>
  </si>
  <si>
    <t>VD-0094</t>
  </si>
  <si>
    <t>VD-0117</t>
  </si>
  <si>
    <t>VD-0119</t>
  </si>
  <si>
    <t>VD-0130</t>
  </si>
  <si>
    <t>VD-0122</t>
  </si>
  <si>
    <t>VD-0127</t>
  </si>
  <si>
    <t>VD-0074</t>
  </si>
  <si>
    <t>VD-0078</t>
  </si>
  <si>
    <t>Devolvida</t>
  </si>
  <si>
    <t>VD-0101</t>
  </si>
  <si>
    <t>VD-0104</t>
  </si>
  <si>
    <t>VD-0106</t>
  </si>
  <si>
    <t>VD-0091</t>
  </si>
  <si>
    <t>VD-0108</t>
  </si>
  <si>
    <t>VD-0111</t>
  </si>
  <si>
    <t>VD-0113</t>
  </si>
  <si>
    <t>VD-0076</t>
  </si>
  <si>
    <t>VD-0097</t>
  </si>
  <si>
    <t>VD-0096</t>
  </si>
  <si>
    <t>VD-0077</t>
  </si>
  <si>
    <t>VD-0080</t>
  </si>
  <si>
    <t>VD-0084</t>
  </si>
  <si>
    <t>VD-0092</t>
  </si>
  <si>
    <t>VD-0079</t>
  </si>
  <si>
    <t>VD-0099</t>
  </si>
  <si>
    <t>VD-0110</t>
  </si>
  <si>
    <t>VD-0071</t>
  </si>
  <si>
    <t>VD-0107</t>
  </si>
  <si>
    <t>VD-0123</t>
  </si>
  <si>
    <t>VD-0088</t>
  </si>
  <si>
    <t>VD-0073</t>
  </si>
  <si>
    <t>VD-0095</t>
  </si>
  <si>
    <t>VD-0105</t>
  </si>
  <si>
    <t>VD-0116</t>
  </si>
  <si>
    <t>VD-0126</t>
  </si>
  <si>
    <t>VD-0098</t>
  </si>
  <si>
    <t>VD-0114</t>
  </si>
  <si>
    <t>VD-0120</t>
  </si>
  <si>
    <t>VD-0133</t>
  </si>
  <si>
    <t>VD-0136</t>
  </si>
  <si>
    <t>VD-0139</t>
  </si>
  <si>
    <t>VD-0151</t>
  </si>
  <si>
    <t>VD-0168</t>
  </si>
  <si>
    <t>VD-0169</t>
  </si>
  <si>
    <t>VD-0163</t>
  </si>
  <si>
    <t>VD-0155</t>
  </si>
  <si>
    <t>VD-0165</t>
  </si>
  <si>
    <t>VD-0176</t>
  </si>
  <si>
    <t>VD-0190</t>
  </si>
  <si>
    <t>VD-0199</t>
  </si>
  <si>
    <t>VD-0135</t>
  </si>
  <si>
    <t>VD-0166</t>
  </si>
  <si>
    <t>VD-0194</t>
  </si>
  <si>
    <t>VD-0186</t>
  </si>
  <si>
    <t>VD-0200</t>
  </si>
  <si>
    <t>VD-0164</t>
  </si>
  <si>
    <t>VD-0171</t>
  </si>
  <si>
    <t>VD-0175</t>
  </si>
  <si>
    <t>VD-0159</t>
  </si>
  <si>
    <t>VD-0172</t>
  </si>
  <si>
    <t>VD-0189</t>
  </si>
  <si>
    <t>VD-0146</t>
  </si>
  <si>
    <t>VD-0173</t>
  </si>
  <si>
    <t>VD-0188</t>
  </si>
  <si>
    <t>VD-0195</t>
  </si>
  <si>
    <t>VD-0144</t>
  </si>
  <si>
    <t>VD-0161</t>
  </si>
  <si>
    <t>VD-0183</t>
  </si>
  <si>
    <t>VD-0148</t>
  </si>
  <si>
    <t>VD-0150</t>
  </si>
  <si>
    <t>VD-0160</t>
  </si>
  <si>
    <t>VD-0193</t>
  </si>
  <si>
    <t>VD-0138</t>
  </si>
  <si>
    <t>VD-0149</t>
  </si>
  <si>
    <t>VD-0141</t>
  </si>
  <si>
    <t>VD-0142</t>
  </si>
  <si>
    <t>VD-0147</t>
  </si>
  <si>
    <t>VD-0152</t>
  </si>
  <si>
    <t>VD-0196</t>
  </si>
  <si>
    <t>VD-0178</t>
  </si>
  <si>
    <t>VD-0182</t>
  </si>
  <si>
    <t>VD-0197</t>
  </si>
  <si>
    <t>VD-0198</t>
  </si>
  <si>
    <t>VD-0156</t>
  </si>
  <si>
    <t>VD-0157</t>
  </si>
  <si>
    <t>VD-0192</t>
  </si>
  <si>
    <t>VD-0185</t>
  </si>
  <si>
    <t>VD-0191</t>
  </si>
  <si>
    <t>VD-0202</t>
  </si>
  <si>
    <t>VD-0134</t>
  </si>
  <si>
    <t>VD-0154</t>
  </si>
  <si>
    <t>VD-0167</t>
  </si>
  <si>
    <t>VD-0179</t>
  </si>
  <si>
    <t>VD-0180</t>
  </si>
  <si>
    <t>VD-0184</t>
  </si>
  <si>
    <t>VD-0145</t>
  </si>
  <si>
    <t>VD-0158</t>
  </si>
  <si>
    <t>VD-0162</t>
  </si>
  <si>
    <t>VD-0170</t>
  </si>
  <si>
    <t>VD-0187</t>
  </si>
  <si>
    <t>VD-0201</t>
  </si>
  <si>
    <t>VD-0143</t>
  </si>
  <si>
    <t>VD-0177</t>
  </si>
  <si>
    <t>VD-0137</t>
  </si>
  <si>
    <t>VD-0140</t>
  </si>
  <si>
    <t>VD-0181</t>
  </si>
  <si>
    <t>VD-0153</t>
  </si>
  <si>
    <t>VD-0174</t>
  </si>
  <si>
    <t>VD-0246</t>
  </si>
  <si>
    <t>VD-0262</t>
  </si>
  <si>
    <t>VD-0211</t>
  </si>
  <si>
    <t>VD-0233</t>
  </si>
  <si>
    <t>VD-0259</t>
  </si>
  <si>
    <t>VD-0238</t>
  </si>
  <si>
    <t>VD-0241</t>
  </si>
  <si>
    <t>VD-0260</t>
  </si>
  <si>
    <t>VD-0232</t>
  </si>
  <si>
    <t>VD-0257</t>
  </si>
  <si>
    <t>VD-0266</t>
  </si>
  <si>
    <t>VD-0207</t>
  </si>
  <si>
    <t>VD-0210</t>
  </si>
  <si>
    <t>VD-0214</t>
  </si>
  <si>
    <t>VD-0215</t>
  </si>
  <si>
    <t>VD-0245</t>
  </si>
  <si>
    <t>VD-0242</t>
  </si>
  <si>
    <t>VD-0247</t>
  </si>
  <si>
    <t>VD-0248</t>
  </si>
  <si>
    <t>VD-0224</t>
  </si>
  <si>
    <t>VD-0231</t>
  </si>
  <si>
    <t>VD-0226</t>
  </si>
  <si>
    <t>VD-0244</t>
  </si>
  <si>
    <t>VD-0272</t>
  </si>
  <si>
    <t>VD-0222</t>
  </si>
  <si>
    <t>VD-0230</t>
  </si>
  <si>
    <t>VD-0204</t>
  </si>
  <si>
    <t>VD-0205</t>
  </si>
  <si>
    <t>VD-0223</t>
  </si>
  <si>
    <t>VD-0268</t>
  </si>
  <si>
    <t>VD-0251</t>
  </si>
  <si>
    <t>VD-0237</t>
  </si>
  <si>
    <t>VD-0254</t>
  </si>
  <si>
    <t>VD-0203</t>
  </si>
  <si>
    <t>VD-0221</t>
  </si>
  <si>
    <t>VD-0234</t>
  </si>
  <si>
    <t>VD-0235</t>
  </si>
  <si>
    <t>VD-0255</t>
  </si>
  <si>
    <t>VD-0253</t>
  </si>
  <si>
    <t>VD-0258</t>
  </si>
  <si>
    <t>VD-0263</t>
  </si>
  <si>
    <t>VD-0206</t>
  </si>
  <si>
    <t>VD-0209</t>
  </si>
  <si>
    <t>VD-0216</t>
  </si>
  <si>
    <t>VD-0227</t>
  </si>
  <si>
    <t>VD-0270</t>
  </si>
  <si>
    <t>VD-0261</t>
  </si>
  <si>
    <t>VD-0218</t>
  </si>
  <si>
    <t>VD-0220</t>
  </si>
  <si>
    <t>VD-0236</t>
  </si>
  <si>
    <t>VD-0240</t>
  </si>
  <si>
    <t>VD-0243</t>
  </si>
  <si>
    <t>VD-0264</t>
  </si>
  <si>
    <t>VD-0229</t>
  </si>
  <si>
    <t>VD-0208</t>
  </si>
  <si>
    <t>VD-0267</t>
  </si>
  <si>
    <t>VD-0213</t>
  </si>
  <si>
    <t>VD-0269</t>
  </si>
  <si>
    <t>VD-0225</t>
  </si>
  <si>
    <t>VD-0228</t>
  </si>
  <si>
    <t>VD-0249</t>
  </si>
  <si>
    <t>VD-0256</t>
  </si>
  <si>
    <t>VD-0265</t>
  </si>
  <si>
    <t>VD-0219</t>
  </si>
  <si>
    <t>VD-0239</t>
  </si>
  <si>
    <t>VD-0250</t>
  </si>
  <si>
    <t>VD-0252</t>
  </si>
  <si>
    <t>VD-0212</t>
  </si>
  <si>
    <t>VD-0217</t>
  </si>
  <si>
    <t>VD-0271</t>
  </si>
  <si>
    <t>VD-0273</t>
  </si>
  <si>
    <t>VD-0278</t>
  </si>
  <si>
    <t>VD-0279</t>
  </si>
  <si>
    <t>VD-0329</t>
  </si>
  <si>
    <t>VD-0284</t>
  </si>
  <si>
    <t>VD-0313</t>
  </si>
  <si>
    <t>VD-0327</t>
  </si>
  <si>
    <t>VD-0332</t>
  </si>
  <si>
    <t>VD-0324</t>
  </si>
  <si>
    <t>VD-0328</t>
  </si>
  <si>
    <t>VD-0337</t>
  </si>
  <si>
    <t>VD-0346</t>
  </si>
  <si>
    <t>VD-0275</t>
  </si>
  <si>
    <t>VD-0307</t>
  </si>
  <si>
    <t>VD-0321</t>
  </si>
  <si>
    <t>VD-0326</t>
  </si>
  <si>
    <t>VD-0280</t>
  </si>
  <si>
    <t>VD-0303</t>
  </si>
  <si>
    <t>VD-0341</t>
  </si>
  <si>
    <t>VD-0286</t>
  </si>
  <si>
    <t>VD-0292</t>
  </si>
  <si>
    <t>VD-0340</t>
  </si>
  <si>
    <t>VD-0301</t>
  </si>
  <si>
    <t>VD-0276</t>
  </si>
  <si>
    <t>VD-0291</t>
  </si>
  <si>
    <t>VD-0314</t>
  </si>
  <si>
    <t>VD-0320</t>
  </si>
  <si>
    <t>VD-0339</t>
  </si>
  <si>
    <t>VD-0287</t>
  </si>
  <si>
    <t>VD-0295</t>
  </si>
  <si>
    <t>VD-0296</t>
  </si>
  <si>
    <t>VD-0298</t>
  </si>
  <si>
    <t>VD-0311</t>
  </si>
  <si>
    <t>VD-0282</t>
  </si>
  <si>
    <t>VD-0293</t>
  </si>
  <si>
    <t>VD-0299</t>
  </si>
  <si>
    <t>VD-0312</t>
  </si>
  <si>
    <t>VD-0304</t>
  </si>
  <si>
    <t>VD-0315</t>
  </si>
  <si>
    <t>VD-0317</t>
  </si>
  <si>
    <t>VD-0331</t>
  </si>
  <si>
    <t>VD-0335</t>
  </si>
  <si>
    <t>VD-0342</t>
  </si>
  <si>
    <t>VD-0289</t>
  </si>
  <si>
    <t>VD-0334</t>
  </si>
  <si>
    <t>VD-0336</t>
  </si>
  <si>
    <t>VD-0338</t>
  </si>
  <si>
    <t>VD-0288</t>
  </si>
  <si>
    <t>VD-0308</t>
  </si>
  <si>
    <t>VD-0310</t>
  </si>
  <si>
    <t>VD-0322</t>
  </si>
  <si>
    <t>VD-0325</t>
  </si>
  <si>
    <t>VD-0330</t>
  </si>
  <si>
    <t>VD-0345</t>
  </si>
  <si>
    <t>VD-0283</t>
  </si>
  <si>
    <t>VD-0290</t>
  </si>
  <si>
    <t>VD-0294</t>
  </si>
  <si>
    <t>VD-0281</t>
  </si>
  <si>
    <t>VD-0323</t>
  </si>
  <si>
    <t>VD-0274</t>
  </si>
  <si>
    <t>VD-0297</t>
  </si>
  <si>
    <t>VD-0309</t>
  </si>
  <si>
    <t>VD-0318</t>
  </si>
  <si>
    <t>VD-0347</t>
  </si>
  <si>
    <t>VD-0300</t>
  </si>
  <si>
    <t>VD-0344</t>
  </si>
  <si>
    <t>VD-0285</t>
  </si>
  <si>
    <t>VD-0277</t>
  </si>
  <si>
    <t>VD-0333</t>
  </si>
  <si>
    <t>VD-0343</t>
  </si>
  <si>
    <t>VD-0302</t>
  </si>
  <si>
    <t>VD-0306</t>
  </si>
  <si>
    <t>VD-0316</t>
  </si>
  <si>
    <t>VD-0305</t>
  </si>
  <si>
    <t>VD-0319</t>
  </si>
  <si>
    <t>VD-0373</t>
  </si>
  <si>
    <t>VD-0402</t>
  </si>
  <si>
    <t>VD-0403</t>
  </si>
  <si>
    <t>VD-0404</t>
  </si>
  <si>
    <t>VD-0420</t>
  </si>
  <si>
    <t>VD-0376</t>
  </si>
  <si>
    <t>VD-0385</t>
  </si>
  <si>
    <t>VD-0416</t>
  </si>
  <si>
    <t>VD-0388</t>
  </si>
  <si>
    <t>VD-0380</t>
  </si>
  <si>
    <t>VD-0411</t>
  </si>
  <si>
    <t>VD-0423</t>
  </si>
  <si>
    <t>VD-0349</t>
  </si>
  <si>
    <t>VD-0408</t>
  </si>
  <si>
    <t>VD-0348</t>
  </si>
  <si>
    <t>VD-0397</t>
  </si>
  <si>
    <t>VD-0360</t>
  </si>
  <si>
    <t>VD-0379</t>
  </si>
  <si>
    <t>VD-0355</t>
  </si>
  <si>
    <t>VD-0365</t>
  </si>
  <si>
    <t>VD-0366</t>
  </si>
  <si>
    <t>VD-0369</t>
  </si>
  <si>
    <t>VD-0409</t>
  </si>
  <si>
    <t>VD-0367</t>
  </si>
  <si>
    <t>VD-0371</t>
  </si>
  <si>
    <t>VD-0375</t>
  </si>
  <si>
    <t>VD-0393</t>
  </si>
  <si>
    <t>VD-0359</t>
  </si>
  <si>
    <t>VD-0382</t>
  </si>
  <si>
    <t>VD-0383</t>
  </si>
  <si>
    <t>VD-0394</t>
  </si>
  <si>
    <t>VD-0415</t>
  </si>
  <si>
    <t>VD-0352</t>
  </si>
  <si>
    <t>VD-0368</t>
  </si>
  <si>
    <t>VD-0401</t>
  </si>
  <si>
    <t>VD-0419</t>
  </si>
  <si>
    <t>VD-0351</t>
  </si>
  <si>
    <t>VD-0405</t>
  </si>
  <si>
    <t>VD-0362</t>
  </si>
  <si>
    <t>VD-0374</t>
  </si>
  <si>
    <t>VD-0381</t>
  </si>
  <si>
    <t>VD-0407</t>
  </si>
  <si>
    <t>VD-0357</t>
  </si>
  <si>
    <t>VD-0389</t>
  </si>
  <si>
    <t>VD-0392</t>
  </si>
  <si>
    <t>VD-0399</t>
  </si>
  <si>
    <t>VD-0406</t>
  </si>
  <si>
    <t>VD-0417</t>
  </si>
  <si>
    <t>VD-0358</t>
  </si>
  <si>
    <t>VD-0384</t>
  </si>
  <si>
    <t>VD-0387</t>
  </si>
  <si>
    <t>VD-0395</t>
  </si>
  <si>
    <t>VD-0413</t>
  </si>
  <si>
    <t>VD-0422</t>
  </si>
  <si>
    <t>VD-0353</t>
  </si>
  <si>
    <t>VD-0370</t>
  </si>
  <si>
    <t>VD-0356</t>
  </si>
  <si>
    <t>VD-0350</t>
  </si>
  <si>
    <t>VD-0363</t>
  </si>
  <si>
    <t>VD-0378</t>
  </si>
  <si>
    <t>VD-0361</t>
  </si>
  <si>
    <t>VD-0377</t>
  </si>
  <si>
    <t>VD-0364</t>
  </si>
  <si>
    <t>VD-0372</t>
  </si>
  <si>
    <t>VD-0400</t>
  </si>
  <si>
    <t>VD-0412</t>
  </si>
  <si>
    <t>VD-0354</t>
  </si>
  <si>
    <t>VD-0390</t>
  </si>
  <si>
    <t>VD-0410</t>
  </si>
  <si>
    <t>VD-0391</t>
  </si>
  <si>
    <t>VD-0396</t>
  </si>
  <si>
    <t>VD-0414</t>
  </si>
  <si>
    <t>VD-0418</t>
  </si>
  <si>
    <t>VD-0386</t>
  </si>
  <si>
    <t>VD-0398</t>
  </si>
  <si>
    <t>VD-0421</t>
  </si>
  <si>
    <t>VD-0432</t>
  </si>
  <si>
    <t>VD-0446</t>
  </si>
  <si>
    <t>VD-0424</t>
  </si>
  <si>
    <t>VD-0483</t>
  </si>
  <si>
    <t>VD-0451</t>
  </si>
  <si>
    <t>VD-0466</t>
  </si>
  <si>
    <t>VD-0478</t>
  </si>
  <si>
    <t>VD-0481</t>
  </si>
  <si>
    <t>VD-0494</t>
  </si>
  <si>
    <t>VD-0498</t>
  </si>
  <si>
    <t>VD-0442</t>
  </si>
  <si>
    <t>VD-0459</t>
  </si>
  <si>
    <t>VD-0482</t>
  </si>
  <si>
    <t>VD-0450</t>
  </si>
  <si>
    <t>VD-0457</t>
  </si>
  <si>
    <t>VD-0448</t>
  </si>
  <si>
    <t>VD-0479</t>
  </si>
  <si>
    <t>VD-0490</t>
  </si>
  <si>
    <t>VD-0501</t>
  </si>
  <si>
    <t>VD-0453</t>
  </si>
  <si>
    <t>VD-0455</t>
  </si>
  <si>
    <t>VD-0465</t>
  </si>
  <si>
    <t>VD-0426</t>
  </si>
  <si>
    <t>VD-0428</t>
  </si>
  <si>
    <t>VD-0427</t>
  </si>
  <si>
    <t>VD-0452</t>
  </si>
  <si>
    <t>VD-0460</t>
  </si>
  <si>
    <t>VD-0484</t>
  </si>
  <si>
    <t>VD-0435</t>
  </si>
  <si>
    <t>VD-0454</t>
  </si>
  <si>
    <t>VD-0470</t>
  </si>
  <si>
    <t>VD-0456</t>
  </si>
  <si>
    <t>VD-0474</t>
  </si>
  <si>
    <t>VD-0480</t>
  </si>
  <si>
    <t>VD-0440</t>
  </si>
  <si>
    <t>VD-0447</t>
  </si>
  <si>
    <t>VD-0467</t>
  </si>
  <si>
    <t>VD-0475</t>
  </si>
  <si>
    <t>VD-0443</t>
  </si>
  <si>
    <t>VD-0497</t>
  </si>
  <si>
    <t>VD-0431</t>
  </si>
  <si>
    <t>VD-0499</t>
  </si>
  <si>
    <t>VD-0438</t>
  </si>
  <si>
    <t>VD-0445</t>
  </si>
  <si>
    <t>VD-0461</t>
  </si>
  <si>
    <t>VD-0471</t>
  </si>
  <si>
    <t>VD-0472</t>
  </si>
  <si>
    <t>VD-0476</t>
  </si>
  <si>
    <t>VD-0469</t>
  </si>
  <si>
    <t>VD-0433</t>
  </si>
  <si>
    <t>VD-0437</t>
  </si>
  <si>
    <t>VD-0458</t>
  </si>
  <si>
    <t>VD-0430</t>
  </si>
  <si>
    <t>VD-0500</t>
  </si>
  <si>
    <t>VD-0496</t>
  </si>
  <si>
    <t>VD-0425</t>
  </si>
  <si>
    <t>VD-0488</t>
  </si>
  <si>
    <t>VD-0439</t>
  </si>
  <si>
    <t>VD-0463</t>
  </si>
  <si>
    <t>VD-0473</t>
  </si>
  <si>
    <t>VD-0477</t>
  </si>
  <si>
    <t>VD-0485</t>
  </si>
  <si>
    <t>VD-0495</t>
  </si>
  <si>
    <t>VD-0434</t>
  </si>
  <si>
    <t>VD-0468</t>
  </si>
  <si>
    <t>VD-0486</t>
  </si>
  <si>
    <t>VD-0487</t>
  </si>
  <si>
    <t>VD-0489</t>
  </si>
  <si>
    <t>VD-0492</t>
  </si>
  <si>
    <t>VD-0441</t>
  </si>
  <si>
    <t>VD-0444</t>
  </si>
  <si>
    <t>VD-0462</t>
  </si>
  <si>
    <t>VD-0491</t>
  </si>
  <si>
    <t>VD-0493</t>
  </si>
  <si>
    <t>VD-0429</t>
  </si>
  <si>
    <t>VD-0436</t>
  </si>
  <si>
    <t>VD-0449</t>
  </si>
  <si>
    <t>VD-0464</t>
  </si>
  <si>
    <t>VD-0505</t>
  </si>
  <si>
    <t>VD-0552</t>
  </si>
  <si>
    <t>VD-0513</t>
  </si>
  <si>
    <t>VD-0544</t>
  </si>
  <si>
    <t>VD-0563</t>
  </si>
  <si>
    <t>VD-0541</t>
  </si>
  <si>
    <t>VD-0542</t>
  </si>
  <si>
    <t>VD-0547</t>
  </si>
  <si>
    <t>VD-0503</t>
  </si>
  <si>
    <t>VD-0519</t>
  </si>
  <si>
    <t>VD-0557</t>
  </si>
  <si>
    <t>VD-0509</t>
  </si>
  <si>
    <t>VD-0533</t>
  </si>
  <si>
    <t>VD-0570</t>
  </si>
  <si>
    <t>VD-0569</t>
  </si>
  <si>
    <t>VD-0574</t>
  </si>
  <si>
    <t>VD-0556</t>
  </si>
  <si>
    <t>VD-0502</t>
  </si>
  <si>
    <t>VD-0565</t>
  </si>
  <si>
    <t>VD-0575</t>
  </si>
  <si>
    <t>VD-0521</t>
  </si>
  <si>
    <t>VD-0532</t>
  </si>
  <si>
    <t>VD-0535</t>
  </si>
  <si>
    <t>VD-0537</t>
  </si>
  <si>
    <t>VD-0553</t>
  </si>
  <si>
    <t>VD-0559</t>
  </si>
  <si>
    <t>VD-0561</t>
  </si>
  <si>
    <t>VD-0572</t>
  </si>
  <si>
    <t>VD-0523</t>
  </si>
  <si>
    <t>VD-0525</t>
  </si>
  <si>
    <t>VD-0548</t>
  </si>
  <si>
    <t>VD-0558</t>
  </si>
  <si>
    <t>VD-0549</t>
  </si>
  <si>
    <t>VD-0550</t>
  </si>
  <si>
    <t>VD-0520</t>
  </si>
  <si>
    <t>VD-0551</t>
  </si>
  <si>
    <t>VD-0515</t>
  </si>
  <si>
    <t>VD-0539</t>
  </si>
  <si>
    <t>VD-0554</t>
  </si>
  <si>
    <t>VD-0524</t>
  </si>
  <si>
    <t>VD-0507</t>
  </si>
  <si>
    <t>VD-0528</t>
  </si>
  <si>
    <t>VD-0540</t>
  </si>
  <si>
    <t>VD-0543</t>
  </si>
  <si>
    <t>VD-0566</t>
  </si>
  <si>
    <t>VD-0568</t>
  </si>
  <si>
    <t>VD-0545</t>
  </si>
  <si>
    <t>VD-0506</t>
  </si>
  <si>
    <t>VD-0538</t>
  </si>
  <si>
    <t>VD-0527</t>
  </si>
  <si>
    <t>VD-0546</t>
  </si>
  <si>
    <t>VD-0573</t>
  </si>
  <si>
    <t>VD-0511</t>
  </si>
  <si>
    <t>VD-0529</t>
  </si>
  <si>
    <t>VD-0536</t>
  </si>
  <si>
    <t>VD-0555</t>
  </si>
  <si>
    <t>VD-0560</t>
  </si>
  <si>
    <t>VD-0514</t>
  </si>
  <si>
    <t>VD-0522</t>
  </si>
  <si>
    <t>VD-0526</t>
  </si>
  <si>
    <t>VD-0530</t>
  </si>
  <si>
    <t>VD-0516</t>
  </si>
  <si>
    <t>VD-0517</t>
  </si>
  <si>
    <t>VD-0531</t>
  </si>
  <si>
    <t>VD-0504</t>
  </si>
  <si>
    <t>VD-0518</t>
  </si>
  <si>
    <t>VD-0567</t>
  </si>
  <si>
    <t>VD-0512</t>
  </si>
  <si>
    <t>VD-0571</t>
  </si>
  <si>
    <t>VD-0508</t>
  </si>
  <si>
    <t>VD-0510</t>
  </si>
  <si>
    <t>VD-0534</t>
  </si>
  <si>
    <t>VD-0562</t>
  </si>
  <si>
    <t>VD-0564</t>
  </si>
  <si>
    <t>VD-0578</t>
  </si>
  <si>
    <t>VD-0583</t>
  </si>
  <si>
    <t>VD-0633</t>
  </si>
  <si>
    <t>VD-0635</t>
  </si>
  <si>
    <t>VD-0594</t>
  </si>
  <si>
    <t>VD-0632</t>
  </si>
  <si>
    <t>VD-0638</t>
  </si>
  <si>
    <t>VD-0645</t>
  </si>
  <si>
    <t>VD-0585</t>
  </si>
  <si>
    <t>VD-0611</t>
  </si>
  <si>
    <t>VD-0621</t>
  </si>
  <si>
    <t>VD-0586</t>
  </si>
  <si>
    <t>VD-0629</t>
  </si>
  <si>
    <t>VD-0630</t>
  </si>
  <si>
    <t>VD-0597</t>
  </si>
  <si>
    <t>VD-0615</t>
  </si>
  <si>
    <t>VD-0617</t>
  </si>
  <si>
    <t>VD-0576</t>
  </si>
  <si>
    <t>VD-0589</t>
  </si>
  <si>
    <t>VD-0604</t>
  </si>
  <si>
    <t>VD-0605</t>
  </si>
  <si>
    <t>VD-0613</t>
  </si>
  <si>
    <t>VD-0641</t>
  </si>
  <si>
    <t>VD-0647</t>
  </si>
  <si>
    <t>VD-0580</t>
  </si>
  <si>
    <t>VD-0581</t>
  </si>
  <si>
    <t>VD-0582</t>
  </si>
  <si>
    <t>VD-0596</t>
  </si>
  <si>
    <t>VD-0631</t>
  </si>
  <si>
    <t>VD-0643</t>
  </si>
  <si>
    <t>VD-0644</t>
  </si>
  <si>
    <t>VD-0601</t>
  </si>
  <si>
    <t>VD-0595</t>
  </si>
  <si>
    <t>VD-0600</t>
  </si>
  <si>
    <t>VD-0628</t>
  </si>
  <si>
    <t>VD-0650</t>
  </si>
  <si>
    <t>VD-0588</t>
  </si>
  <si>
    <t>VD-0612</t>
  </si>
  <si>
    <t>VD-0616</t>
  </si>
  <si>
    <t>VD-0639</t>
  </si>
  <si>
    <t>VD-0599</t>
  </si>
  <si>
    <t>VD-0606</t>
  </si>
  <si>
    <t>VD-0610</t>
  </si>
  <si>
    <t>VD-0614</t>
  </si>
  <si>
    <t>VD-0648</t>
  </si>
  <si>
    <t>VD-0577</t>
  </si>
  <si>
    <t>VD-0603</t>
  </si>
  <si>
    <t>VD-0607</t>
  </si>
  <si>
    <t>VD-0584</t>
  </si>
  <si>
    <t>VD-0618</t>
  </si>
  <si>
    <t>VD-0587</t>
  </si>
  <si>
    <t>VD-0652</t>
  </si>
  <si>
    <t>VD-0593</t>
  </si>
  <si>
    <t>VD-0620</t>
  </si>
  <si>
    <t>VD-0579</t>
  </si>
  <si>
    <t>VD-0608</t>
  </si>
  <si>
    <t>VD-0602</t>
  </si>
  <si>
    <t>VD-0627</t>
  </si>
  <si>
    <t>VD-0651</t>
  </si>
  <si>
    <t>VD-0590</t>
  </si>
  <si>
    <t>VD-0623</t>
  </si>
  <si>
    <t>VD-0625</t>
  </si>
  <si>
    <t>VD-0598</t>
  </si>
  <si>
    <t>VD-0609</t>
  </si>
  <si>
    <t>VD-0624</t>
  </si>
  <si>
    <t>VD-0637</t>
  </si>
  <si>
    <t>VD-0640</t>
  </si>
  <si>
    <t>VD-0646</t>
  </si>
  <si>
    <t>VD-0653</t>
  </si>
  <si>
    <t>VD-0591</t>
  </si>
  <si>
    <t>VD-0636</t>
  </si>
  <si>
    <t>VD-0642</t>
  </si>
  <si>
    <t>VD-0626</t>
  </si>
  <si>
    <t>VD-0649</t>
  </si>
  <si>
    <t>VD-0592</t>
  </si>
  <si>
    <t>VD-0619</t>
  </si>
  <si>
    <t>VD-0622</t>
  </si>
  <si>
    <t>VD-0634</t>
  </si>
  <si>
    <t>VD-0721</t>
  </si>
  <si>
    <t>VD-0680</t>
  </si>
  <si>
    <t>VD-0686</t>
  </si>
  <si>
    <t>VD-0690</t>
  </si>
  <si>
    <t>VD-0723</t>
  </si>
  <si>
    <t>VD-0682</t>
  </si>
  <si>
    <t>VD-0730</t>
  </si>
  <si>
    <t>VD-0675</t>
  </si>
  <si>
    <t>VD-0681</t>
  </si>
  <si>
    <t>VD-0707</t>
  </si>
  <si>
    <t>VD-0720</t>
  </si>
  <si>
    <t>VD-0734</t>
  </si>
  <si>
    <t>VD-0712</t>
  </si>
  <si>
    <t>VD-0717</t>
  </si>
  <si>
    <t>VD-0662</t>
  </si>
  <si>
    <t>VD-0664</t>
  </si>
  <si>
    <t>VD-0665</t>
  </si>
  <si>
    <t>VD-0674</t>
  </si>
  <si>
    <t>VD-0724</t>
  </si>
  <si>
    <t>VD-0731</t>
  </si>
  <si>
    <t>VD-0669</t>
  </si>
  <si>
    <t>VD-0689</t>
  </si>
  <si>
    <t>VD-0655</t>
  </si>
  <si>
    <t>VD-0699</t>
  </si>
  <si>
    <t>VD-0719</t>
  </si>
  <si>
    <t>VD-0715</t>
  </si>
  <si>
    <t>VD-0716</t>
  </si>
  <si>
    <t>VD-0684</t>
  </si>
  <si>
    <t>VD-0702</t>
  </si>
  <si>
    <t>VD-0729</t>
  </si>
  <si>
    <t>VD-0673</t>
  </si>
  <si>
    <t>VD-0693</t>
  </si>
  <si>
    <t>VD-0701</t>
  </si>
  <si>
    <t>VD-0703</t>
  </si>
  <si>
    <t>VD-0705</t>
  </si>
  <si>
    <t>VD-0709</t>
  </si>
  <si>
    <t>VD-0713</t>
  </si>
  <si>
    <t>VD-0668</t>
  </si>
  <si>
    <t>VD-0714</t>
  </si>
  <si>
    <t>VD-0667</t>
  </si>
  <si>
    <t>VD-0657</t>
  </si>
  <si>
    <t>VD-0658</t>
  </si>
  <si>
    <t>VD-0661</t>
  </si>
  <si>
    <t>VD-0677</t>
  </si>
  <si>
    <t>VD-0691</t>
  </si>
  <si>
    <t>VD-0736</t>
  </si>
  <si>
    <t>VD-0663</t>
  </si>
  <si>
    <t>VD-0706</t>
  </si>
  <si>
    <t>VD-0672</t>
  </si>
  <si>
    <t>VD-0683</t>
  </si>
  <si>
    <t>VD-0700</t>
  </si>
  <si>
    <t>VD-0732</t>
  </si>
  <si>
    <t>VD-0671</t>
  </si>
  <si>
    <t>VD-0678</t>
  </si>
  <si>
    <t>VD-0694</t>
  </si>
  <si>
    <t>VD-0722</t>
  </si>
  <si>
    <t>VD-0733</t>
  </si>
  <si>
    <t>VD-0654</t>
  </si>
  <si>
    <t>VD-0656</t>
  </si>
  <si>
    <t>VD-0659</t>
  </si>
  <si>
    <t>VD-0695</t>
  </si>
  <si>
    <t>VD-0685</t>
  </si>
  <si>
    <t>VD-0687</t>
  </si>
  <si>
    <t>VD-0704</t>
  </si>
  <si>
    <t>VD-0710</t>
  </si>
  <si>
    <t>VD-0728</t>
  </si>
  <si>
    <t>VD-0735</t>
  </si>
  <si>
    <t>VD-0670</t>
  </si>
  <si>
    <t>VD-0679</t>
  </si>
  <si>
    <t>VD-0698</t>
  </si>
  <si>
    <t>VD-0711</t>
  </si>
  <si>
    <t>VD-0726</t>
  </si>
  <si>
    <t>VD-0727</t>
  </si>
  <si>
    <t>VD-0676</t>
  </si>
  <si>
    <t>VD-0697</t>
  </si>
  <si>
    <t>VD-0666</t>
  </si>
  <si>
    <t>VD-0688</t>
  </si>
  <si>
    <t>VD-0692</t>
  </si>
  <si>
    <t>VD-0696</t>
  </si>
  <si>
    <t>VD-0708</t>
  </si>
  <si>
    <t>VD-0718</t>
  </si>
  <si>
    <t>VD-0725</t>
  </si>
  <si>
    <t>VD-0660</t>
  </si>
  <si>
    <t>VD-0737</t>
  </si>
  <si>
    <t>VD-0803</t>
  </si>
  <si>
    <t>VD-0832</t>
  </si>
  <si>
    <t>VD-0740</t>
  </si>
  <si>
    <t>VD-0753</t>
  </si>
  <si>
    <t>VD-0778</t>
  </si>
  <si>
    <t>VD-0835</t>
  </si>
  <si>
    <t>VD-0747</t>
  </si>
  <si>
    <t>VD-0754</t>
  </si>
  <si>
    <t>VD-0780</t>
  </si>
  <si>
    <t>VD-0842</t>
  </si>
  <si>
    <t>VD-0843</t>
  </si>
  <si>
    <t>VD-0738</t>
  </si>
  <si>
    <t>VD-0755</t>
  </si>
  <si>
    <t>VD-0758</t>
  </si>
  <si>
    <t>VD-0762</t>
  </si>
  <si>
    <t>VD-0806</t>
  </si>
  <si>
    <t>VD-0833</t>
  </si>
  <si>
    <t>VD-0841</t>
  </si>
  <si>
    <t>VD-0741</t>
  </si>
  <si>
    <t>VD-0744</t>
  </si>
  <si>
    <t>VD-0770</t>
  </si>
  <si>
    <t>VD-0800</t>
  </si>
  <si>
    <t>VD-0801</t>
  </si>
  <si>
    <t>VD-0830</t>
  </si>
  <si>
    <t>VD-0836</t>
  </si>
  <si>
    <t>VD-0743</t>
  </si>
  <si>
    <t>VD-0766</t>
  </si>
  <si>
    <t>VD-0822</t>
  </si>
  <si>
    <t>VD-0844</t>
  </si>
  <si>
    <t>VD-0845</t>
  </si>
  <si>
    <t>VD-0764</t>
  </si>
  <si>
    <t>VD-0786</t>
  </si>
  <si>
    <t>VD-0808</t>
  </si>
  <si>
    <t>VD-0781</t>
  </si>
  <si>
    <t>VD-0782</t>
  </si>
  <si>
    <t>VD-0792</t>
  </si>
  <si>
    <t>VD-0739</t>
  </si>
  <si>
    <t>VD-0748</t>
  </si>
  <si>
    <t>VD-0775</t>
  </si>
  <si>
    <t>VD-0777</t>
  </si>
  <si>
    <t>VD-0839</t>
  </si>
  <si>
    <t>VD-0849</t>
  </si>
  <si>
    <t>VD-0824</t>
  </si>
  <si>
    <t>VD-0848</t>
  </si>
  <si>
    <t>VD-0774</t>
  </si>
  <si>
    <t>VD-0799</t>
  </si>
  <si>
    <t>VD-0823</t>
  </si>
  <si>
    <t>VD-0825</t>
  </si>
  <si>
    <t>VD-0769</t>
  </si>
  <si>
    <t>VD-0829</t>
  </si>
  <si>
    <t>VD-0834</t>
  </si>
  <si>
    <t>VD-0838</t>
  </si>
  <si>
    <t>VD-0846</t>
  </si>
  <si>
    <t>VD-0756</t>
  </si>
  <si>
    <t>VD-0759</t>
  </si>
  <si>
    <t>VD-0813</t>
  </si>
  <si>
    <t>VD-0742</t>
  </si>
  <si>
    <t>VD-0761</t>
  </si>
  <si>
    <t>VD-0793</t>
  </si>
  <si>
    <t>VD-0811</t>
  </si>
  <si>
    <t>VD-0826</t>
  </si>
  <si>
    <t>VD-0831</t>
  </si>
  <si>
    <t>VD-0837</t>
  </si>
  <si>
    <t>VD-0847</t>
  </si>
  <si>
    <t>VD-0776</t>
  </si>
  <si>
    <t>VD-0779</t>
  </si>
  <si>
    <t>VD-0784</t>
  </si>
  <si>
    <t>VD-0819</t>
  </si>
  <si>
    <t>VD-0820</t>
  </si>
  <si>
    <t>VD-0745</t>
  </si>
  <si>
    <t>VD-0760</t>
  </si>
  <si>
    <t>VD-0773</t>
  </si>
  <si>
    <t>VD-0790</t>
  </si>
  <si>
    <t>VD-0791</t>
  </si>
  <si>
    <t>VD-0797</t>
  </si>
  <si>
    <t>VD-0798</t>
  </si>
  <si>
    <t>VD-0810</t>
  </si>
  <si>
    <t>VD-0812</t>
  </si>
  <si>
    <t>VD-0746</t>
  </si>
  <si>
    <t>VD-0795</t>
  </si>
  <si>
    <t>VD-0804</t>
  </si>
  <si>
    <t>VD-0816</t>
  </si>
  <si>
    <t>VD-0818</t>
  </si>
  <si>
    <t>VD-0750</t>
  </si>
  <si>
    <t>VD-0796</t>
  </si>
  <si>
    <t>VD-0817</t>
  </si>
  <si>
    <t>VD-0763</t>
  </si>
  <si>
    <t>VD-0767</t>
  </si>
  <si>
    <t>VD-0772</t>
  </si>
  <si>
    <t>VD-0785</t>
  </si>
  <si>
    <t>VD-0809</t>
  </si>
  <si>
    <t>VD-0787</t>
  </si>
  <si>
    <t>VD-0788</t>
  </si>
  <si>
    <t>VD-0789</t>
  </si>
  <si>
    <t>VD-0805</t>
  </si>
  <si>
    <t>VD-0814</t>
  </si>
  <si>
    <t>VD-0794</t>
  </si>
  <si>
    <t>VD-0749</t>
  </si>
  <si>
    <t>VD-0757</t>
  </si>
  <si>
    <t>VD-0802</t>
  </si>
  <si>
    <t>VD-0815</t>
  </si>
  <si>
    <t>VD-0751</t>
  </si>
  <si>
    <t>VD-0752</t>
  </si>
  <si>
    <t>VD-0807</t>
  </si>
  <si>
    <t>VD-0765</t>
  </si>
  <si>
    <t>VD-0783</t>
  </si>
  <si>
    <t>VD-0821</t>
  </si>
  <si>
    <t>VD-0827</t>
  </si>
  <si>
    <t>VD-0840</t>
  </si>
  <si>
    <t>VD-0768</t>
  </si>
  <si>
    <t>VD-0771</t>
  </si>
  <si>
    <t>VD-0828</t>
  </si>
  <si>
    <t>VD-0854</t>
  </si>
  <si>
    <t>VD-0892</t>
  </si>
  <si>
    <t>VD-0893</t>
  </si>
  <si>
    <t>VD-0898</t>
  </si>
  <si>
    <t>VD-0899</t>
  </si>
  <si>
    <t>VD-0904</t>
  </si>
  <si>
    <t>VD-0945</t>
  </si>
  <si>
    <t>VD-0866</t>
  </si>
  <si>
    <t>VD-0901</t>
  </si>
  <si>
    <t>VD-0903</t>
  </si>
  <si>
    <t>VD-0908</t>
  </si>
  <si>
    <t>VD-0850</t>
  </si>
  <si>
    <t>VD-0881</t>
  </si>
  <si>
    <t>VD-0910</t>
  </si>
  <si>
    <t>VD-0940</t>
  </si>
  <si>
    <t>VD-0857</t>
  </si>
  <si>
    <t>VD-0865</t>
  </si>
  <si>
    <t>VD-0911</t>
  </si>
  <si>
    <t>VD-0919</t>
  </si>
  <si>
    <t>VD-0925</t>
  </si>
  <si>
    <t>VD-0877</t>
  </si>
  <si>
    <t>VD-0889</t>
  </si>
  <si>
    <t>VD-0926</t>
  </si>
  <si>
    <t>VD-0900</t>
  </si>
  <si>
    <t>VD-0909</t>
  </si>
  <si>
    <t>VD-0928</t>
  </si>
  <si>
    <t>VD-0938</t>
  </si>
  <si>
    <t>VD-0912</t>
  </si>
  <si>
    <t>VD-0949</t>
  </si>
  <si>
    <t>VD-0856</t>
  </si>
  <si>
    <t>VD-0873</t>
  </si>
  <si>
    <t>VD-0884</t>
  </si>
  <si>
    <t>VD-0894</t>
  </si>
  <si>
    <t>VD-0934</t>
  </si>
  <si>
    <t>VD-0859</t>
  </si>
  <si>
    <t>VD-0914</t>
  </si>
  <si>
    <t>VD-0920</t>
  </si>
  <si>
    <t>VD-0867</t>
  </si>
  <si>
    <t>VD-0886</t>
  </si>
  <si>
    <t>VD-0907</t>
  </si>
  <si>
    <t>VD-0947</t>
  </si>
  <si>
    <t>VD-0855</t>
  </si>
  <si>
    <t>VD-0863</t>
  </si>
  <si>
    <t>VD-0869</t>
  </si>
  <si>
    <t>VD-0878</t>
  </si>
  <si>
    <t>VD-0879</t>
  </si>
  <si>
    <t>VD-0883</t>
  </si>
  <si>
    <t>VD-0887</t>
  </si>
  <si>
    <t>VD-0895</t>
  </si>
  <si>
    <t>VD-0948</t>
  </si>
  <si>
    <t>VD-0868</t>
  </si>
  <si>
    <t>VD-0902</t>
  </si>
  <si>
    <t>VD-0918</t>
  </si>
  <si>
    <t>VD-0874</t>
  </si>
  <si>
    <t>VD-0897</t>
  </si>
  <si>
    <t>VD-0950</t>
  </si>
  <si>
    <t>VD-0864</t>
  </si>
  <si>
    <t>VD-0876</t>
  </si>
  <si>
    <t>VD-0882</t>
  </si>
  <si>
    <t>VD-0921</t>
  </si>
  <si>
    <t>VD-0932</t>
  </si>
  <si>
    <t>VD-0944</t>
  </si>
  <si>
    <t>VD-0930</t>
  </si>
  <si>
    <t>VD-0941</t>
  </si>
  <si>
    <t>VD-0942</t>
  </si>
  <si>
    <t>VD-0943</t>
  </si>
  <si>
    <t>VD-0896</t>
  </si>
  <si>
    <t>VD-0922</t>
  </si>
  <si>
    <t>VD-0927</t>
  </si>
  <si>
    <t>VD-0939</t>
  </si>
  <si>
    <t>VD-0916</t>
  </si>
  <si>
    <t>VD-0937</t>
  </si>
  <si>
    <t>VD-0870</t>
  </si>
  <si>
    <t>VD-0880</t>
  </si>
  <si>
    <t>VD-0923</t>
  </si>
  <si>
    <t>VD-0852</t>
  </si>
  <si>
    <t>VD-0875</t>
  </si>
  <si>
    <t>VD-0906</t>
  </si>
  <si>
    <t>VD-0872</t>
  </si>
  <si>
    <t>VD-0929</t>
  </si>
  <si>
    <t>VD-0860</t>
  </si>
  <si>
    <t>VD-0936</t>
  </si>
  <si>
    <t>VD-0861</t>
  </si>
  <si>
    <t>VD-0891</t>
  </si>
  <si>
    <t>VD-0905</t>
  </si>
  <si>
    <t>VD-0885</t>
  </si>
  <si>
    <t>VD-0851</t>
  </si>
  <si>
    <t>VD-0858</t>
  </si>
  <si>
    <t>VD-0917</t>
  </si>
  <si>
    <t>VD-0935</t>
  </si>
  <si>
    <t>VD-0853</t>
  </si>
  <si>
    <t>VD-0862</t>
  </si>
  <si>
    <t>VD-0871</t>
  </si>
  <si>
    <t>VD-0890</t>
  </si>
  <si>
    <t>VD-0913</t>
  </si>
  <si>
    <t>VD-0915</t>
  </si>
  <si>
    <t>VD-0946</t>
  </si>
  <si>
    <t>VD-0951</t>
  </si>
  <si>
    <t>VD-0888</t>
  </si>
  <si>
    <t>VD-0924</t>
  </si>
  <si>
    <t>VD-0931</t>
  </si>
  <si>
    <t>VD-0933</t>
  </si>
  <si>
    <t>DICIONÁRIO DE DADOS</t>
  </si>
  <si>
    <t>Os campos N:S estão vazios para você praticar as fórmulas no Excel.</t>
  </si>
  <si>
    <t>Campo</t>
  </si>
  <si>
    <t>O que significa</t>
  </si>
  <si>
    <t>Tipo</t>
  </si>
  <si>
    <t>Uso / regra</t>
  </si>
  <si>
    <t>Identificador único do registro de venda.</t>
  </si>
  <si>
    <t>Texto</t>
  </si>
  <si>
    <t>Uma linha por venda; use para contagem distinta/conferência.</t>
  </si>
  <si>
    <t>Data em que a venda foi registrada.</t>
  </si>
  <si>
    <t>Período de janeiro a dezembro de 2025.</t>
  </si>
  <si>
    <t>Unidade ou origem comercial associada ao pedido.</t>
  </si>
  <si>
    <t>Oito lojas fictícias.</t>
  </si>
  <si>
    <t>Região geográfica da loja.</t>
  </si>
  <si>
    <t>Centro-Oeste, Nordeste, Sudeste ou Sul; padronize espaços/grafia.</t>
  </si>
  <si>
    <t>Canal de origem da venda.</t>
  </si>
  <si>
    <t>Loja Física, E-commerce, Marketplace ou Televendas; padronize grafia.</t>
  </si>
  <si>
    <t>Pessoa responsável pela venda; pode haver valor ausente.</t>
  </si>
  <si>
    <t>Trate o campo em branco como ausente e registre sua decisão.</t>
  </si>
  <si>
    <t>Grupo do produto.</t>
  </si>
  <si>
    <t>Informática, Casa, Esporte, Beleza ou Acessórios.</t>
  </si>
  <si>
    <t>Nome comercial do item vendido.</t>
  </si>
  <si>
    <t>Vinte produtos fictícios.</t>
  </si>
  <si>
    <t>Unidades vendidas no registro.</t>
  </si>
  <si>
    <t>Número inteiro</t>
  </si>
  <si>
    <t>Multiplica preço e custo unitários.</t>
  </si>
  <si>
    <t>Preço unitário antes do desconto.</t>
  </si>
  <si>
    <t>Moeda (R$)</t>
  </si>
  <si>
    <t>Base para receita bruta.</t>
  </si>
  <si>
    <t>Percentual de desconto concedido.</t>
  </si>
  <si>
    <t>Percentual</t>
  </si>
  <si>
    <t>Aplicado à Receita Bruta; armazenado como decimal percentual.</t>
  </si>
  <si>
    <t>Custo unitário do produto.</t>
  </si>
  <si>
    <t>Base para custo total reconhecido.</t>
  </si>
  <si>
    <t>Situação final do pedido.</t>
  </si>
  <si>
    <t>Concluída, Cancelada ou Devolvida.</t>
  </si>
  <si>
    <t>Quantidade × preço unitário.</t>
  </si>
  <si>
    <t>Exercício: calcule para todas as linhas para comparar valor potencial.</t>
  </si>
  <si>
    <t>Valor monetário do desconto.</t>
  </si>
  <si>
    <t>Receita Bruta × Desconto_pct.</t>
  </si>
  <si>
    <t>Receita reconhecida após desconto.</t>
  </si>
  <si>
    <t>Somente pedidos Concluída: Receita Bruta − Desconto; demais = 0.</t>
  </si>
  <si>
    <t>Custo reconhecido dos itens concluídos.</t>
  </si>
  <si>
    <t>Somente pedidos Concluída: Quantidade × Custo Unitário; demais = 0.</t>
  </si>
  <si>
    <t>Receita Líquida menos Custo Total.</t>
  </si>
  <si>
    <t>Indicador analítico simplificado; não representa lucro líquido da empresa.</t>
  </si>
  <si>
    <t>Lucro Bruto dividido pela Receita Líquida.</t>
  </si>
  <si>
    <t>Deixe em branco se Receita Líquida for zero; use margem ponderada no total.</t>
  </si>
  <si>
    <t>PAINEL | VITRINE VIVA • 2025</t>
  </si>
  <si>
    <t>Preencha os indicadores e insira seus gráficos. Use somente métricas conferidas na Base_Vendas.</t>
  </si>
  <si>
    <t>RECEITA LÍQUIDA (R$)</t>
  </si>
  <si>
    <t>LUCRO BRUTO (R$)</t>
  </si>
  <si>
    <t>MARGEM BRUTA (%)</t>
  </si>
  <si>
    <t>PEDIDOS CONCLUÍDOS (#)</t>
  </si>
  <si>
    <t>Rótulos de Linha</t>
  </si>
  <si>
    <t>Total Geral</t>
  </si>
  <si>
    <t>Soma de Receita_Bruta_R$</t>
  </si>
  <si>
    <t>Soma de Desconto_R$</t>
  </si>
  <si>
    <t>Soma de Receita_Líquida_R$</t>
  </si>
  <si>
    <t>Soma de Lucro_Bruto_R$</t>
  </si>
  <si>
    <t>mês</t>
  </si>
  <si>
    <t>margem_bruta</t>
  </si>
  <si>
    <t>margem</t>
  </si>
  <si>
    <t>1 - janeiro</t>
  </si>
  <si>
    <t>2 - Fevereiro</t>
  </si>
  <si>
    <t>3 - Março</t>
  </si>
  <si>
    <t>4 - Abril</t>
  </si>
  <si>
    <t>5 - Maio</t>
  </si>
  <si>
    <t>6 - junho</t>
  </si>
  <si>
    <t>7 - julho</t>
  </si>
  <si>
    <t>8 - Agosto</t>
  </si>
  <si>
    <t>9 - Setembro</t>
  </si>
  <si>
    <t>10 - Outubro</t>
  </si>
  <si>
    <t>11 - Novembro</t>
  </si>
  <si>
    <t>12 - Dezembro</t>
  </si>
  <si>
    <t>Rótulos de Linha,</t>
  </si>
  <si>
    <t>| Tendência mensal: receita e lucro</t>
  </si>
  <si>
    <t xml:space="preserve"> | Comparação por categoria: lucro e margem</t>
  </si>
  <si>
    <t>| Desempenho por região ou loja</t>
  </si>
  <si>
    <t>| Canais: receita,  descontos, e Margem</t>
  </si>
  <si>
    <t>Soma de Quantidade</t>
  </si>
  <si>
    <t>|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</si>
</sst>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3">
    <font>
      <sz val="11"/>
      <name val="Carlito"/>
    </font>
    <font>
      <sz val="10"/>
      <color rgb="FF1F2937"/>
      <name val="Aptos"/>
    </font>
    <font>
      <b/>
      <sz val="16"/>
      <color rgb="FF17365D"/>
      <name val="Aptos Display"/>
    </font>
    <font>
      <i/>
      <sz val="10"/>
      <color rgb="FF526171"/>
      <name val="Aptos"/>
    </font>
    <font>
      <b/>
      <sz val="10"/>
      <color rgb="FFFFFFFF"/>
      <name val="Aptos"/>
    </font>
    <font>
      <b/>
      <sz val="10"/>
      <color rgb="FF2F75B5"/>
      <name val="Aptos"/>
    </font>
    <font>
      <sz val="14"/>
      <color rgb="FF2F75B5"/>
      <name val="Aptos"/>
    </font>
    <font>
      <b/>
      <sz val="9"/>
      <color rgb="FFFFFFFF"/>
      <name val="Aptos"/>
    </font>
    <font>
      <b/>
      <sz val="14"/>
      <color rgb="FF2F75B5"/>
      <name val="Aptos"/>
    </font>
    <font>
      <sz val="11"/>
      <name val="Carlito"/>
    </font>
    <font>
      <sz val="11"/>
      <color theme="0"/>
      <name val="Carlito"/>
    </font>
    <font>
      <b/>
      <sz val="11"/>
      <name val="Carlito"/>
    </font>
    <font>
      <u/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D6DEE8"/>
      </bottom>
      <diagonal/>
    </border>
    <border>
      <left/>
      <right/>
      <top style="thin">
        <color rgb="FFD6DEE8"/>
      </top>
      <bottom style="thin">
        <color rgb="FFD6DEE8"/>
      </bottom>
      <diagonal/>
    </border>
    <border>
      <left/>
      <right/>
      <top style="thin">
        <color rgb="FFD6DEE8"/>
      </top>
      <bottom/>
      <diagonal/>
    </border>
    <border>
      <left style="thin">
        <color rgb="FFD6DEE8"/>
      </left>
      <right/>
      <top style="thin">
        <color rgb="FFD6DEE8"/>
      </top>
      <bottom/>
      <diagonal/>
    </border>
    <border>
      <left/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/>
      <top/>
      <bottom style="thin">
        <color rgb="FFD6DEE8"/>
      </bottom>
      <diagonal/>
    </border>
    <border>
      <left/>
      <right style="thin">
        <color rgb="FFD6DEE8"/>
      </right>
      <top/>
      <bottom style="thin">
        <color rgb="FFD6DEE8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NumberFormat="1" applyFont="1" applyFill="1" applyBorder="1"/>
    <xf numFmtId="0" fontId="4" fillId="2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horizontal="righ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right" vertical="center"/>
    </xf>
    <xf numFmtId="1" fontId="0" fillId="0" borderId="0" xfId="0" applyNumberFormat="1"/>
    <xf numFmtId="14" fontId="4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4" fontId="4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9" fontId="0" fillId="0" borderId="0" xfId="1" applyFont="1"/>
    <xf numFmtId="0" fontId="10" fillId="9" borderId="0" xfId="0" applyFont="1" applyFill="1"/>
    <xf numFmtId="14" fontId="10" fillId="9" borderId="0" xfId="0" applyNumberFormat="1" applyFont="1" applyFill="1"/>
    <xf numFmtId="1" fontId="10" fillId="9" borderId="0" xfId="0" applyNumberFormat="1" applyFont="1" applyFill="1"/>
    <xf numFmtId="164" fontId="10" fillId="9" borderId="0" xfId="0" applyNumberFormat="1" applyFont="1" applyFill="1"/>
    <xf numFmtId="9" fontId="10" fillId="9" borderId="0" xfId="0" applyNumberFormat="1" applyFont="1" applyFill="1"/>
    <xf numFmtId="164" fontId="8" fillId="4" borderId="3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/>
    <xf numFmtId="0" fontId="10" fillId="10" borderId="0" xfId="0" applyFont="1" applyFill="1" applyAlignment="1">
      <alignment horizontal="left" vertical="center"/>
    </xf>
    <xf numFmtId="0" fontId="10" fillId="11" borderId="0" xfId="0" applyFont="1" applyFill="1"/>
    <xf numFmtId="164" fontId="8" fillId="10" borderId="0" xfId="0" applyNumberFormat="1" applyFont="1" applyFill="1" applyBorder="1" applyAlignment="1">
      <alignment horizontal="center" vertical="center"/>
    </xf>
    <xf numFmtId="0" fontId="8" fillId="10" borderId="0" xfId="0" applyNumberFormat="1" applyFont="1" applyFill="1" applyBorder="1" applyAlignment="1">
      <alignment horizontal="center" vertical="center"/>
    </xf>
    <xf numFmtId="10" fontId="0" fillId="0" borderId="0" xfId="1" applyNumberFormat="1" applyFont="1"/>
    <xf numFmtId="0" fontId="0" fillId="11" borderId="0" xfId="0" applyFill="1"/>
    <xf numFmtId="0" fontId="0" fillId="0" borderId="0" xfId="0" applyAlignment="1">
      <alignment horizontal="left" indent="1"/>
    </xf>
    <xf numFmtId="10" fontId="9" fillId="0" borderId="0" xfId="1" applyNumberFormat="1" applyFont="1"/>
    <xf numFmtId="0" fontId="10" fillId="12" borderId="0" xfId="0" applyFont="1" applyFill="1"/>
    <xf numFmtId="10" fontId="11" fillId="13" borderId="0" xfId="1" applyNumberFormat="1" applyFont="1" applyFill="1"/>
    <xf numFmtId="9" fontId="11" fillId="13" borderId="0" xfId="1" applyFont="1" applyFill="1"/>
    <xf numFmtId="0" fontId="11" fillId="1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/>
    </xf>
    <xf numFmtId="0" fontId="0" fillId="0" borderId="0" xfId="0" applyNumberFormat="1"/>
    <xf numFmtId="0" fontId="12" fillId="0" borderId="0" xfId="0" applyFont="1"/>
    <xf numFmtId="0" fontId="10" fillId="14" borderId="0" xfId="0" applyFont="1" applyFill="1"/>
    <xf numFmtId="0" fontId="0" fillId="11" borderId="0" xfId="0" applyFill="1" applyAlignment="1">
      <alignment horizontal="left"/>
    </xf>
    <xf numFmtId="0" fontId="0" fillId="10" borderId="0" xfId="0" applyFill="1"/>
    <xf numFmtId="164" fontId="1" fillId="8" borderId="0" xfId="2" applyNumberFormat="1" applyFont="1" applyFill="1" applyBorder="1" applyAlignment="1">
      <alignment horizontal="right"/>
    </xf>
    <xf numFmtId="164" fontId="10" fillId="9" borderId="0" xfId="2" applyNumberFormat="1" applyFont="1" applyFill="1"/>
    <xf numFmtId="165" fontId="4" fillId="2" borderId="0" xfId="1" applyNumberFormat="1" applyFont="1" applyFill="1" applyBorder="1" applyAlignment="1">
      <alignment horizontal="center" vertical="center" wrapText="1"/>
    </xf>
    <xf numFmtId="165" fontId="1" fillId="0" borderId="0" xfId="1" applyNumberFormat="1" applyFont="1" applyFill="1" applyBorder="1" applyAlignment="1">
      <alignment horizontal="right" vertical="center"/>
    </xf>
    <xf numFmtId="9" fontId="4" fillId="2" borderId="0" xfId="1" applyFont="1" applyFill="1" applyBorder="1" applyAlignment="1">
      <alignment horizontal="center" vertical="center" wrapText="1"/>
    </xf>
    <xf numFmtId="9" fontId="1" fillId="8" borderId="0" xfId="1" applyFont="1" applyFill="1" applyBorder="1" applyAlignment="1">
      <alignment horizontal="right"/>
    </xf>
    <xf numFmtId="9" fontId="10" fillId="9" borderId="0" xfId="1" applyFont="1" applyFill="1"/>
    <xf numFmtId="0" fontId="1" fillId="3" borderId="2" xfId="0" applyNumberFormat="1" applyFont="1" applyFill="1" applyBorder="1" applyAlignment="1">
      <alignment vertical="center" wrapText="1"/>
    </xf>
    <xf numFmtId="0" fontId="1" fillId="3" borderId="3" xfId="0" applyNumberFormat="1" applyFont="1" applyFill="1" applyBorder="1" applyAlignment="1">
      <alignment vertical="center" wrapText="1"/>
    </xf>
    <xf numFmtId="0" fontId="1" fillId="7" borderId="0" xfId="0" applyNumberFormat="1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vertical="center" wrapText="1"/>
    </xf>
    <xf numFmtId="0" fontId="4" fillId="6" borderId="0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4" fillId="5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7" fillId="2" borderId="0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/>
    </xf>
    <xf numFmtId="9" fontId="8" fillId="4" borderId="4" xfId="0" applyNumberFormat="1" applyFont="1" applyFill="1" applyBorder="1" applyAlignment="1">
      <alignment horizontal="center" vertical="center"/>
    </xf>
    <xf numFmtId="0" fontId="8" fillId="4" borderId="3" xfId="0" applyNumberFormat="1" applyFont="1" applyFill="1" applyBorder="1" applyAlignment="1">
      <alignment horizontal="center" vertical="center"/>
    </xf>
    <xf numFmtId="0" fontId="8" fillId="4" borderId="5" xfId="0" applyNumberFormat="1" applyFont="1" applyFill="1" applyBorder="1" applyAlignment="1">
      <alignment horizontal="center" vertical="center"/>
    </xf>
    <xf numFmtId="0" fontId="8" fillId="4" borderId="6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0" fontId="8" fillId="4" borderId="7" xfId="0" applyNumberFormat="1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43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rgb="FF002060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rgb="FF002060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rgb="FF002060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rgb="FF002060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rgb="FF002060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rgb="FF002060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3" formatCode="0%"/>
      <fill>
        <patternFill patternType="solid">
          <fgColor indexed="64"/>
          <bgColor rgb="FF002060"/>
        </patternFill>
      </fill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rgb="FF002060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" formatCode="0"/>
      <fill>
        <patternFill patternType="solid">
          <fgColor indexed="64"/>
          <bgColor rgb="FF002060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9" formatCode="dd/mm/yyyy"/>
      <fill>
        <patternFill patternType="solid">
          <fgColor indexed="64"/>
          <bgColor rgb="FF002060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[Projeto_Analise_de_Vendas_no_Excel.xlsx]Meu_Painel!Tabela dinâmica8</c:name>
    <c:fmtId val="1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Meu_Painel!$D$10</c:f>
              <c:strCache>
                <c:ptCount val="1"/>
                <c:pt idx="0">
                  <c:v>Soma de Receita_Bruta_R$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Meu_Painel!$C$11:$C$23</c:f>
              <c:strCache>
                <c:ptCount val="12"/>
                <c:pt idx="0">
                  <c:v>1 - janeiro</c:v>
                </c:pt>
                <c:pt idx="1">
                  <c:v>2 - Fevereiro</c:v>
                </c:pt>
                <c:pt idx="2">
                  <c:v>3 - Março</c:v>
                </c:pt>
                <c:pt idx="3">
                  <c:v>4 - Abril</c:v>
                </c:pt>
                <c:pt idx="4">
                  <c:v>5 - Maio</c:v>
                </c:pt>
                <c:pt idx="5">
                  <c:v>6 - junho</c:v>
                </c:pt>
                <c:pt idx="6">
                  <c:v>7 - julho</c:v>
                </c:pt>
                <c:pt idx="7">
                  <c:v>8 - Agosto</c:v>
                </c:pt>
                <c:pt idx="8">
                  <c:v>9 - Setembro</c:v>
                </c:pt>
                <c:pt idx="9">
                  <c:v>10 - Outubro</c:v>
                </c:pt>
                <c:pt idx="10">
                  <c:v>11 - Novembro</c:v>
                </c:pt>
                <c:pt idx="11">
                  <c:v>12 - Dezembro</c:v>
                </c:pt>
              </c:strCache>
            </c:strRef>
          </c:cat>
          <c:val>
            <c:numRef>
              <c:f>Meu_Painel!$D$11:$D$23</c:f>
              <c:numCache>
                <c:formatCode>"R$"\ #,##0.00</c:formatCode>
                <c:ptCount val="12"/>
                <c:pt idx="0">
                  <c:v>53698.67</c:v>
                </c:pt>
                <c:pt idx="1">
                  <c:v>59260.970000000008</c:v>
                </c:pt>
                <c:pt idx="2">
                  <c:v>78484.469999999987</c:v>
                </c:pt>
                <c:pt idx="3">
                  <c:v>53319.67</c:v>
                </c:pt>
                <c:pt idx="4">
                  <c:v>69130.279999999984</c:v>
                </c:pt>
                <c:pt idx="5">
                  <c:v>80128.239999999991</c:v>
                </c:pt>
                <c:pt idx="6">
                  <c:v>51967.850000000006</c:v>
                </c:pt>
                <c:pt idx="7">
                  <c:v>62497.05</c:v>
                </c:pt>
                <c:pt idx="8">
                  <c:v>81143.460000000036</c:v>
                </c:pt>
                <c:pt idx="9">
                  <c:v>91229.300000000032</c:v>
                </c:pt>
                <c:pt idx="10">
                  <c:v>94942.620000000039</c:v>
                </c:pt>
                <c:pt idx="11">
                  <c:v>94605.579999999944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A-499D-B4E3-21D41B2C5B99}"/>
            </c:ext>
          </c:extLst>
        </c:ser>
        <c:ser>
          <c:idx val="1"/>
          <c:order val="1"/>
          <c:tx>
            <c:strRef>
              <c:f>Meu_Painel!$E$10</c:f>
              <c:strCache>
                <c:ptCount val="1"/>
                <c:pt idx="0">
                  <c:v>Soma de Lucro_Bruto_R$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Meu_Painel!$C$11:$C$23</c:f>
              <c:strCache>
                <c:ptCount val="12"/>
                <c:pt idx="0">
                  <c:v>1 - janeiro</c:v>
                </c:pt>
                <c:pt idx="1">
                  <c:v>2 - Fevereiro</c:v>
                </c:pt>
                <c:pt idx="2">
                  <c:v>3 - Março</c:v>
                </c:pt>
                <c:pt idx="3">
                  <c:v>4 - Abril</c:v>
                </c:pt>
                <c:pt idx="4">
                  <c:v>5 - Maio</c:v>
                </c:pt>
                <c:pt idx="5">
                  <c:v>6 - junho</c:v>
                </c:pt>
                <c:pt idx="6">
                  <c:v>7 - julho</c:v>
                </c:pt>
                <c:pt idx="7">
                  <c:v>8 - Agosto</c:v>
                </c:pt>
                <c:pt idx="8">
                  <c:v>9 - Setembro</c:v>
                </c:pt>
                <c:pt idx="9">
                  <c:v>10 - Outubro</c:v>
                </c:pt>
                <c:pt idx="10">
                  <c:v>11 - Novembro</c:v>
                </c:pt>
                <c:pt idx="11">
                  <c:v>12 - Dezembro</c:v>
                </c:pt>
              </c:strCache>
            </c:strRef>
          </c:cat>
          <c:val>
            <c:numRef>
              <c:f>Meu_Painel!$E$11:$E$23</c:f>
              <c:numCache>
                <c:formatCode>"R$"\ #,##0.00</c:formatCode>
                <c:ptCount val="12"/>
                <c:pt idx="0">
                  <c:v>14495.159100000003</c:v>
                </c:pt>
                <c:pt idx="1">
                  <c:v>15831.802199999998</c:v>
                </c:pt>
                <c:pt idx="2">
                  <c:v>19362.191999999999</c:v>
                </c:pt>
                <c:pt idx="3">
                  <c:v>13386.676199999996</c:v>
                </c:pt>
                <c:pt idx="4">
                  <c:v>16673.024200000003</c:v>
                </c:pt>
                <c:pt idx="5">
                  <c:v>18632.858</c:v>
                </c:pt>
                <c:pt idx="6">
                  <c:v>15468.065700000003</c:v>
                </c:pt>
                <c:pt idx="7">
                  <c:v>15226.954599999995</c:v>
                </c:pt>
                <c:pt idx="8">
                  <c:v>19149.958700000007</c:v>
                </c:pt>
                <c:pt idx="9">
                  <c:v>23636.425100000008</c:v>
                </c:pt>
                <c:pt idx="10">
                  <c:v>24735.163850000004</c:v>
                </c:pt>
                <c:pt idx="11">
                  <c:v>23318.810000000005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A-499D-B4E3-21D41B2C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1933232"/>
        <c:axId val="31933648"/>
      </c:barChart>
      <c:catAx>
        <c:axId val="3193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933648"/>
        <c:crosses val="autoZero"/>
        <c:auto val="1"/>
        <c:lblAlgn val="ctr"/>
        <c:lblOffset val="100"/>
        <c:noMultiLvlLbl val="0"/>
      </c:catAx>
      <c:valAx>
        <c:axId val="319336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3193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[Projeto_Analise_de_Vendas_no_Excel.xlsx]Meu_Painel!Tabela dinâmica2</c:name>
    <c:fmtId val="3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310845244832356"/>
          <c:y val="1.5625E-2"/>
          <c:w val="0.5605287674136934"/>
          <c:h val="0.96614583333333337"/>
        </c:manualLayout>
      </c:layout>
      <c:doughnutChart>
        <c:varyColors val="1"/>
        <c:ser>
          <c:idx val="0"/>
          <c:order val="0"/>
          <c:tx>
            <c:strRef>
              <c:f>Meu_Painel!$J$27</c:f>
              <c:strCache>
                <c:ptCount val="1"/>
                <c:pt idx="0">
                  <c:v>Soma de 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70-43EB-8C9B-65194E01160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70-43EB-8C9B-65194E01160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70-43EB-8C9B-65194E01160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70-43EB-8C9B-65194E01160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70-43EB-8C9B-65194E011606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70-43EB-8C9B-65194E011606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570-43EB-8C9B-65194E011606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570-43EB-8C9B-65194E011606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570-43EB-8C9B-65194E011606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570-43EB-8C9B-65194E011606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570-43EB-8C9B-65194E01160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570-43EB-8C9B-65194E01160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Meu_Painel!$I$28:$I$40</c:f>
              <c:strCache>
                <c:ptCount val="12"/>
                <c:pt idx="0">
                  <c:v>João Pedro</c:v>
                </c:pt>
                <c:pt idx="1">
                  <c:v>Ana Costa</c:v>
                </c:pt>
                <c:pt idx="2">
                  <c:v>Diego Alves</c:v>
                </c:pt>
                <c:pt idx="3">
                  <c:v>Marcos Silva</c:v>
                </c:pt>
                <c:pt idx="4">
                  <c:v>Felipe Martins</c:v>
                </c:pt>
                <c:pt idx="5">
                  <c:v>Giovana Melo</c:v>
                </c:pt>
                <c:pt idx="6">
                  <c:v>Bruno Lima</c:v>
                </c:pt>
                <c:pt idx="7">
                  <c:v>Elisa Rocha</c:v>
                </c:pt>
                <c:pt idx="8">
                  <c:v>Larissa Freitas</c:v>
                </c:pt>
                <c:pt idx="9">
                  <c:v>Isabela Reis</c:v>
                </c:pt>
                <c:pt idx="10">
                  <c:v>Camila Souza</c:v>
                </c:pt>
                <c:pt idx="11">
                  <c:v>Heitor Nunes</c:v>
                </c:pt>
              </c:strCache>
            </c:strRef>
          </c:cat>
          <c:val>
            <c:numRef>
              <c:f>Meu_Painel!$J$28:$J$40</c:f>
              <c:numCache>
                <c:formatCode>General</c:formatCode>
                <c:ptCount val="12"/>
                <c:pt idx="0">
                  <c:v>108</c:v>
                </c:pt>
                <c:pt idx="1">
                  <c:v>100</c:v>
                </c:pt>
                <c:pt idx="2">
                  <c:v>117</c:v>
                </c:pt>
                <c:pt idx="3">
                  <c:v>101</c:v>
                </c:pt>
                <c:pt idx="4">
                  <c:v>93</c:v>
                </c:pt>
                <c:pt idx="5">
                  <c:v>111</c:v>
                </c:pt>
                <c:pt idx="6">
                  <c:v>109</c:v>
                </c:pt>
                <c:pt idx="7">
                  <c:v>107</c:v>
                </c:pt>
                <c:pt idx="8">
                  <c:v>108</c:v>
                </c:pt>
                <c:pt idx="9">
                  <c:v>92</c:v>
                </c:pt>
                <c:pt idx="10">
                  <c:v>86</c:v>
                </c:pt>
                <c:pt idx="1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4-4C14-96F0-AF18A0419A12}"/>
            </c:ext>
          </c:extLst>
        </c:ser>
        <c:ser>
          <c:idx val="1"/>
          <c:order val="1"/>
          <c:tx>
            <c:strRef>
              <c:f>Meu_Painel!$K$27</c:f>
              <c:strCache>
                <c:ptCount val="1"/>
                <c:pt idx="0">
                  <c:v>Soma de Lucro_Bruto_R$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570-43EB-8C9B-65194E01160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570-43EB-8C9B-65194E01160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570-43EB-8C9B-65194E01160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570-43EB-8C9B-65194E01160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570-43EB-8C9B-65194E011606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570-43EB-8C9B-65194E011606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570-43EB-8C9B-65194E011606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570-43EB-8C9B-65194E011606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570-43EB-8C9B-65194E011606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8570-43EB-8C9B-65194E011606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8570-43EB-8C9B-65194E01160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8570-43EB-8C9B-65194E01160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Meu_Painel!$I$28:$I$40</c:f>
              <c:strCache>
                <c:ptCount val="12"/>
                <c:pt idx="0">
                  <c:v>João Pedro</c:v>
                </c:pt>
                <c:pt idx="1">
                  <c:v>Ana Costa</c:v>
                </c:pt>
                <c:pt idx="2">
                  <c:v>Diego Alves</c:v>
                </c:pt>
                <c:pt idx="3">
                  <c:v>Marcos Silva</c:v>
                </c:pt>
                <c:pt idx="4">
                  <c:v>Felipe Martins</c:v>
                </c:pt>
                <c:pt idx="5">
                  <c:v>Giovana Melo</c:v>
                </c:pt>
                <c:pt idx="6">
                  <c:v>Bruno Lima</c:v>
                </c:pt>
                <c:pt idx="7">
                  <c:v>Elisa Rocha</c:v>
                </c:pt>
                <c:pt idx="8">
                  <c:v>Larissa Freitas</c:v>
                </c:pt>
                <c:pt idx="9">
                  <c:v>Isabela Reis</c:v>
                </c:pt>
                <c:pt idx="10">
                  <c:v>Camila Souza</c:v>
                </c:pt>
                <c:pt idx="11">
                  <c:v>Heitor Nunes</c:v>
                </c:pt>
              </c:strCache>
            </c:strRef>
          </c:cat>
          <c:val>
            <c:numRef>
              <c:f>Meu_Painel!$K$28:$K$40</c:f>
              <c:numCache>
                <c:formatCode>"R$"\ #,##0.00</c:formatCode>
                <c:ptCount val="12"/>
                <c:pt idx="0">
                  <c:v>20807.312600000012</c:v>
                </c:pt>
                <c:pt idx="1">
                  <c:v>20599.487100000002</c:v>
                </c:pt>
                <c:pt idx="2">
                  <c:v>20022.591650000002</c:v>
                </c:pt>
                <c:pt idx="3">
                  <c:v>19213.723600000001</c:v>
                </c:pt>
                <c:pt idx="4">
                  <c:v>19177.979350000009</c:v>
                </c:pt>
                <c:pt idx="5">
                  <c:v>18778.593800000006</c:v>
                </c:pt>
                <c:pt idx="6">
                  <c:v>18638.661600000007</c:v>
                </c:pt>
                <c:pt idx="7">
                  <c:v>17926.190349999993</c:v>
                </c:pt>
                <c:pt idx="8">
                  <c:v>17782.348899999994</c:v>
                </c:pt>
                <c:pt idx="9">
                  <c:v>16831.649249999995</c:v>
                </c:pt>
                <c:pt idx="10">
                  <c:v>15750.545149999996</c:v>
                </c:pt>
                <c:pt idx="11">
                  <c:v>14253.916299999999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4-4C14-96F0-AF18A0419A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55</xdr:row>
      <xdr:rowOff>176212</xdr:rowOff>
    </xdr:from>
    <xdr:to>
      <xdr:col>7</xdr:col>
      <xdr:colOff>657225</xdr:colOff>
      <xdr:row>73</xdr:row>
      <xdr:rowOff>242887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86197D8-8412-4C59-A925-EB7AFBB23DD4}"/>
            </a:ext>
          </a:extLst>
        </xdr:cNvPr>
        <xdr:cNvGrpSpPr/>
      </xdr:nvGrpSpPr>
      <xdr:grpSpPr>
        <a:xfrm>
          <a:off x="371475" y="10377487"/>
          <a:ext cx="6429375" cy="3457575"/>
          <a:chOff x="209550" y="8515350"/>
          <a:chExt cx="6886575" cy="3457575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1EC098F8-F0DE-41E4-9C57-454051565CAD}"/>
              </a:ext>
            </a:extLst>
          </xdr:cNvPr>
          <xdr:cNvGraphicFramePr/>
        </xdr:nvGraphicFramePr>
        <xdr:xfrm>
          <a:off x="214312" y="8982075"/>
          <a:ext cx="6862764" cy="2990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97E0B963-717C-4E79-8A6A-FB827717D42E}"/>
              </a:ext>
            </a:extLst>
          </xdr:cNvPr>
          <xdr:cNvSpPr/>
        </xdr:nvSpPr>
        <xdr:spPr>
          <a:xfrm>
            <a:off x="209550" y="8515350"/>
            <a:ext cx="6886575" cy="542925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lucro</a:t>
            </a:r>
            <a:r>
              <a:rPr lang="pt-BR" sz="2000" baseline="0"/>
              <a:t> Bruto e Receita Bruta conforme o Mes</a:t>
            </a:r>
            <a:endParaRPr lang="pt-BR" sz="2000"/>
          </a:p>
        </xdr:txBody>
      </xdr:sp>
    </xdr:grpSp>
    <xdr:clientData/>
  </xdr:twoCellAnchor>
  <xdr:twoCellAnchor editAs="absolute">
    <xdr:from>
      <xdr:col>2</xdr:col>
      <xdr:colOff>0</xdr:colOff>
      <xdr:row>45</xdr:row>
      <xdr:rowOff>23812</xdr:rowOff>
    </xdr:from>
    <xdr:to>
      <xdr:col>3</xdr:col>
      <xdr:colOff>809625</xdr:colOff>
      <xdr:row>50</xdr:row>
      <xdr:rowOff>147637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E8361BA9-512F-445F-91BB-08B8413C2E64}"/>
            </a:ext>
          </a:extLst>
        </xdr:cNvPr>
        <xdr:cNvGrpSpPr/>
      </xdr:nvGrpSpPr>
      <xdr:grpSpPr>
        <a:xfrm>
          <a:off x="371475" y="8415337"/>
          <a:ext cx="2638425" cy="1028700"/>
          <a:chOff x="409575" y="8401050"/>
          <a:chExt cx="3095625" cy="102870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F4D10051-BA3E-4508-B2CE-779A1BA17381}"/>
              </a:ext>
            </a:extLst>
          </xdr:cNvPr>
          <xdr:cNvSpPr/>
        </xdr:nvSpPr>
        <xdr:spPr>
          <a:xfrm>
            <a:off x="419100" y="8515350"/>
            <a:ext cx="3076575" cy="914400"/>
          </a:xfrm>
          <a:prstGeom prst="roundRect">
            <a:avLst/>
          </a:prstGeom>
          <a:solidFill>
            <a:schemeClr val="bg1"/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600" u="none">
                <a:solidFill>
                  <a:schemeClr val="tx1"/>
                </a:solidFill>
              </a:rPr>
              <a:t>Novembro</a:t>
            </a:r>
            <a:r>
              <a:rPr lang="pt-BR" sz="1600" u="none" baseline="0">
                <a:solidFill>
                  <a:schemeClr val="tx1"/>
                </a:solidFill>
              </a:rPr>
              <a:t> - R$ 24.735,16</a:t>
            </a:r>
            <a:r>
              <a:rPr lang="pt-BR" sz="16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$ 24.735,16</a:t>
            </a:r>
            <a:r>
              <a:rPr lang="pt-BR" sz="1600" u="none"/>
              <a:t> </a:t>
            </a:r>
            <a:endParaRPr lang="pt-BR" sz="1600" u="none">
              <a:solidFill>
                <a:schemeClr val="tx1"/>
              </a:solidFill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E5CA2A1B-14C4-469E-8931-C8262AFCF624}"/>
              </a:ext>
            </a:extLst>
          </xdr:cNvPr>
          <xdr:cNvSpPr/>
        </xdr:nvSpPr>
        <xdr:spPr>
          <a:xfrm>
            <a:off x="409575" y="8401050"/>
            <a:ext cx="3095625" cy="400050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u="none"/>
              <a:t>Mês</a:t>
            </a:r>
            <a:r>
              <a:rPr lang="pt-BR" sz="1400" u="none" baseline="0"/>
              <a:t> com maior Lucro</a:t>
            </a:r>
            <a:endParaRPr lang="pt-BR" sz="1400" u="none"/>
          </a:p>
        </xdr:txBody>
      </xdr:sp>
    </xdr:grpSp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9525</xdr:colOff>
      <xdr:row>21</xdr:row>
      <xdr:rowOff>9525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A619BDB-9452-4AF2-A1AA-08BB74527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57625"/>
          <a:ext cx="1828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1504950</xdr:colOff>
      <xdr:row>45</xdr:row>
      <xdr:rowOff>23812</xdr:rowOff>
    </xdr:from>
    <xdr:to>
      <xdr:col>7</xdr:col>
      <xdr:colOff>657225</xdr:colOff>
      <xdr:row>50</xdr:row>
      <xdr:rowOff>147637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083AC57B-F5B6-4443-BDFB-832F57D28577}"/>
            </a:ext>
          </a:extLst>
        </xdr:cNvPr>
        <xdr:cNvGrpSpPr/>
      </xdr:nvGrpSpPr>
      <xdr:grpSpPr>
        <a:xfrm>
          <a:off x="3705225" y="8415337"/>
          <a:ext cx="3095625" cy="1028700"/>
          <a:chOff x="409575" y="8401050"/>
          <a:chExt cx="3095625" cy="1028700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BB5EAF55-6109-4831-9394-2C7AAE0CF4F8}"/>
              </a:ext>
            </a:extLst>
          </xdr:cNvPr>
          <xdr:cNvSpPr/>
        </xdr:nvSpPr>
        <xdr:spPr>
          <a:xfrm>
            <a:off x="419100" y="8515350"/>
            <a:ext cx="3076575" cy="914400"/>
          </a:xfrm>
          <a:prstGeom prst="roundRect">
            <a:avLst/>
          </a:prstGeom>
          <a:solidFill>
            <a:schemeClr val="bg1"/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tx1"/>
                </a:solidFill>
              </a:rPr>
              <a:t>Abril</a:t>
            </a:r>
            <a:r>
              <a:rPr lang="pt-BR" sz="1600" baseline="0">
                <a:solidFill>
                  <a:schemeClr val="tx1"/>
                </a:solidFill>
              </a:rPr>
              <a:t> - R$ 13.386,68</a:t>
            </a:r>
            <a:endParaRPr lang="pt-BR" sz="1600">
              <a:solidFill>
                <a:schemeClr val="tx1"/>
              </a:solidFill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ADFE3D08-3FF7-40EA-8751-39D9DE5EE130}"/>
              </a:ext>
            </a:extLst>
          </xdr:cNvPr>
          <xdr:cNvSpPr/>
        </xdr:nvSpPr>
        <xdr:spPr>
          <a:xfrm>
            <a:off x="409575" y="8401050"/>
            <a:ext cx="3095625" cy="400050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Mês</a:t>
            </a:r>
            <a:r>
              <a:rPr lang="pt-BR" sz="1400" baseline="0"/>
              <a:t> com Menor Lucro</a:t>
            </a:r>
            <a:endParaRPr lang="pt-BR" sz="1400"/>
          </a:p>
        </xdr:txBody>
      </xdr:sp>
    </xdr:grpSp>
    <xdr:clientData/>
  </xdr:twoCellAnchor>
  <xdr:twoCellAnchor editAs="absolute">
    <xdr:from>
      <xdr:col>8</xdr:col>
      <xdr:colOff>219075</xdr:colOff>
      <xdr:row>45</xdr:row>
      <xdr:rowOff>23812</xdr:rowOff>
    </xdr:from>
    <xdr:to>
      <xdr:col>15</xdr:col>
      <xdr:colOff>533400</xdr:colOff>
      <xdr:row>73</xdr:row>
      <xdr:rowOff>242887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9CAAC78C-1C26-4D0C-BA55-2D84DA09BB33}"/>
            </a:ext>
          </a:extLst>
        </xdr:cNvPr>
        <xdr:cNvGrpSpPr/>
      </xdr:nvGrpSpPr>
      <xdr:grpSpPr>
        <a:xfrm>
          <a:off x="7648575" y="8415337"/>
          <a:ext cx="8420100" cy="5419725"/>
          <a:chOff x="7010400" y="7924800"/>
          <a:chExt cx="8420100" cy="5419725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B61BFA52-A89C-43C0-B18A-A07911041E6B}"/>
              </a:ext>
            </a:extLst>
          </xdr:cNvPr>
          <xdr:cNvGraphicFramePr/>
        </xdr:nvGraphicFramePr>
        <xdr:xfrm>
          <a:off x="7015161" y="8467725"/>
          <a:ext cx="8405813" cy="487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7688E045-4190-4652-AF93-225D4CFB7C98}"/>
              </a:ext>
            </a:extLst>
          </xdr:cNvPr>
          <xdr:cNvSpPr/>
        </xdr:nvSpPr>
        <xdr:spPr>
          <a:xfrm>
            <a:off x="7010400" y="7924800"/>
            <a:ext cx="8420100" cy="561975"/>
          </a:xfrm>
          <a:prstGeom prst="round2SameRect">
            <a:avLst/>
          </a:prstGeom>
          <a:solidFill>
            <a:srgbClr val="00B0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Quantidade de vendas por</a:t>
            </a:r>
            <a:r>
              <a:rPr lang="pt-BR" sz="1600" baseline="0"/>
              <a:t> vendedor e valor total das vendas</a:t>
            </a:r>
            <a:endParaRPr lang="pt-BR" sz="1600"/>
          </a:p>
        </xdr:txBody>
      </xdr:sp>
    </xdr:grpSp>
    <xdr:clientData/>
  </xdr:twoCellAnchor>
  <xdr:twoCellAnchor editAs="absolute">
    <xdr:from>
      <xdr:col>11</xdr:col>
      <xdr:colOff>733425</xdr:colOff>
      <xdr:row>25</xdr:row>
      <xdr:rowOff>38100</xdr:rowOff>
    </xdr:from>
    <xdr:to>
      <xdr:col>12</xdr:col>
      <xdr:colOff>1552575</xdr:colOff>
      <xdr:row>30</xdr:row>
      <xdr:rowOff>114300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CE159AA-FB40-467B-A8C1-6E66FCC4661F}"/>
            </a:ext>
          </a:extLst>
        </xdr:cNvPr>
        <xdr:cNvGrpSpPr/>
      </xdr:nvGrpSpPr>
      <xdr:grpSpPr>
        <a:xfrm>
          <a:off x="11391900" y="4781550"/>
          <a:ext cx="2638425" cy="1000125"/>
          <a:chOff x="409575" y="8401050"/>
          <a:chExt cx="3095625" cy="1000125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4A801BF3-6AE1-4D78-BE38-2EB68695B1AD}"/>
              </a:ext>
            </a:extLst>
          </xdr:cNvPr>
          <xdr:cNvSpPr/>
        </xdr:nvSpPr>
        <xdr:spPr>
          <a:xfrm>
            <a:off x="419100" y="8486775"/>
            <a:ext cx="3076576" cy="914400"/>
          </a:xfrm>
          <a:prstGeom prst="roundRect">
            <a:avLst/>
          </a:prstGeom>
          <a:solidFill>
            <a:schemeClr val="bg1"/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600" baseline="0">
                <a:solidFill>
                  <a:schemeClr val="tx1"/>
                </a:solidFill>
              </a:rPr>
              <a:t>João Pedro - R$ 20.807,31</a:t>
            </a:r>
            <a:r>
              <a:rPr lang="pt-BR" sz="16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$ 24.735,16</a:t>
            </a:r>
            <a:r>
              <a:rPr lang="pt-BR" sz="1600"/>
              <a:t> </a:t>
            </a:r>
            <a:endParaRPr lang="pt-BR" sz="1600">
              <a:solidFill>
                <a:schemeClr val="tx1"/>
              </a:solidFill>
            </a:endParaRPr>
          </a:p>
        </xdr:txBody>
      </xdr: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E0CB0197-AA7E-471E-87EC-7CD85C0EAA4D}"/>
              </a:ext>
            </a:extLst>
          </xdr:cNvPr>
          <xdr:cNvSpPr/>
        </xdr:nvSpPr>
        <xdr:spPr>
          <a:xfrm>
            <a:off x="409575" y="8401050"/>
            <a:ext cx="3095625" cy="400050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Vendedor</a:t>
            </a:r>
            <a:r>
              <a:rPr lang="pt-BR" sz="1400" baseline="0"/>
              <a:t> com maior Lucro</a:t>
            </a:r>
            <a:endParaRPr lang="pt-BR" sz="1400"/>
          </a:p>
        </xdr:txBody>
      </xdr:sp>
    </xdr:grpSp>
    <xdr:clientData/>
  </xdr:twoCellAnchor>
  <xdr:twoCellAnchor editAs="absolute">
    <xdr:from>
      <xdr:col>11</xdr:col>
      <xdr:colOff>733425</xdr:colOff>
      <xdr:row>33</xdr:row>
      <xdr:rowOff>104775</xdr:rowOff>
    </xdr:from>
    <xdr:to>
      <xdr:col>12</xdr:col>
      <xdr:colOff>1552575</xdr:colOff>
      <xdr:row>39</xdr:row>
      <xdr:rowOff>47625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72102CDB-B5B7-4372-9EC8-9A69A51DC482}"/>
            </a:ext>
          </a:extLst>
        </xdr:cNvPr>
        <xdr:cNvGrpSpPr/>
      </xdr:nvGrpSpPr>
      <xdr:grpSpPr>
        <a:xfrm>
          <a:off x="11391900" y="6324600"/>
          <a:ext cx="2638425" cy="1028700"/>
          <a:chOff x="409575" y="8401050"/>
          <a:chExt cx="3095625" cy="1028700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CF1C904B-6532-4764-9FFA-07883B407652}"/>
              </a:ext>
            </a:extLst>
          </xdr:cNvPr>
          <xdr:cNvSpPr/>
        </xdr:nvSpPr>
        <xdr:spPr>
          <a:xfrm>
            <a:off x="419100" y="8515350"/>
            <a:ext cx="3076575" cy="914400"/>
          </a:xfrm>
          <a:prstGeom prst="roundRect">
            <a:avLst/>
          </a:prstGeom>
          <a:solidFill>
            <a:schemeClr val="bg1"/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500">
                <a:solidFill>
                  <a:schemeClr val="tx1"/>
                </a:solidFill>
              </a:rPr>
              <a:t>Heitor Nunes</a:t>
            </a:r>
            <a:r>
              <a:rPr lang="pt-BR" sz="1500" baseline="0">
                <a:solidFill>
                  <a:schemeClr val="tx1"/>
                </a:solidFill>
              </a:rPr>
              <a:t> - R$ 14.253,93</a:t>
            </a:r>
            <a:r>
              <a:rPr lang="pt-BR" sz="15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$ 24.735,16</a:t>
            </a:r>
            <a:r>
              <a:rPr lang="pt-BR" sz="1500"/>
              <a:t> </a:t>
            </a:r>
            <a:endParaRPr lang="pt-BR" sz="1500">
              <a:solidFill>
                <a:schemeClr val="tx1"/>
              </a:solidFill>
            </a:endParaRPr>
          </a:p>
        </xdr:txBody>
      </xdr: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572F1BE2-95BD-4626-A76E-EE597BAB38E6}"/>
              </a:ext>
            </a:extLst>
          </xdr:cNvPr>
          <xdr:cNvSpPr/>
        </xdr:nvSpPr>
        <xdr:spPr>
          <a:xfrm>
            <a:off x="409575" y="8401050"/>
            <a:ext cx="3095625" cy="400050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aseline="0"/>
              <a:t>Vendedor com menor  Lucro</a:t>
            </a:r>
            <a:endParaRPr lang="pt-BR" sz="14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te" refreshedDate="46306.885631712961" createdVersion="7" refreshedVersion="7" minRefreshableVersion="3" recordCount="951" xr:uid="{A1126BA1-4541-430D-9BA8-EF20A96EF948}">
  <cacheSource type="worksheet">
    <worksheetSource ref="A1:T952" sheet="Base_Vendas"/>
  </cacheSource>
  <cacheFields count="20">
    <cacheField name="mês" numFmtId="0">
      <sharedItems containsMixedTypes="1" containsNumber="1" containsInteger="1" minValue="1" maxValue="12" count="21">
        <n v="1"/>
        <n v="2"/>
        <n v="3"/>
        <n v="4"/>
        <n v="5"/>
        <n v="6"/>
        <n v="7"/>
        <n v="8"/>
        <n v="9"/>
        <n v="10"/>
        <n v="11"/>
        <n v="12"/>
        <s v="Fórmula1" f="1"/>
        <s v="Fórmula2" f="1"/>
        <s v="Fórmula3" f="1"/>
        <s v="Fórmula4" f="1"/>
        <s v="Fórmula5" f="1"/>
        <s v="Fórmula6" f="1"/>
        <s v="Fórmula7" f="1"/>
        <s v="Fórmula8" f="1"/>
        <s v="Fórmula9" f="1"/>
      </sharedItems>
    </cacheField>
    <cacheField name="ID_Venda" numFmtId="0">
      <sharedItems/>
    </cacheField>
    <cacheField name="Data" numFmtId="14">
      <sharedItems containsSemiMixedTypes="0" containsNonDate="0" containsDate="1" containsString="0" minDate="2025-01-01T00:00:00" maxDate="2025-12-29T00:00:00"/>
    </cacheField>
    <cacheField name="Loja" numFmtId="0">
      <sharedItems count="8">
        <s v="São Paulo Centro"/>
        <s v="Belo Horizonte Savassi"/>
        <s v="Curitiba Batel"/>
        <s v="Recife Boa Viagem"/>
        <s v="Salvador Barra"/>
        <s v="Porto Alegre Moinhos"/>
        <s v="Rio de Janeiro Sul"/>
        <s v="Brasília Asa Sul"/>
      </sharedItems>
    </cacheField>
    <cacheField name="Região" numFmtId="0">
      <sharedItems count="4">
        <s v="Sudeste"/>
        <s v="Sul"/>
        <s v="Nordeste"/>
        <s v="Centro-Oeste"/>
      </sharedItems>
    </cacheField>
    <cacheField name="Canal" numFmtId="0">
      <sharedItems count="4">
        <s v="Marketplace"/>
        <s v="Loja Física"/>
        <s v="Televendas"/>
        <s v="E-commerce"/>
      </sharedItems>
    </cacheField>
    <cacheField name="Vendedor" numFmtId="0">
      <sharedItems containsBlank="1" count="13">
        <s v="Bruno Lima"/>
        <s v="Diego Alves"/>
        <s v="Marcos Silva"/>
        <s v="João Pedro"/>
        <s v="Larissa Freitas"/>
        <s v="Elisa Rocha"/>
        <s v="Giovana Melo"/>
        <s v="Ana Costa"/>
        <s v="Felipe Martins"/>
        <s v="Camila Souza"/>
        <s v="Isabela Reis"/>
        <s v="Heitor Nunes"/>
        <m/>
      </sharedItems>
    </cacheField>
    <cacheField name="Categoria" numFmtId="0">
      <sharedItems count="5">
        <s v="Beleza"/>
        <s v="Informática"/>
        <s v="Casa"/>
        <s v="Esporte"/>
        <s v="Acessórios"/>
      </sharedItems>
    </cacheField>
    <cacheField name="Produto" numFmtId="0">
      <sharedItems/>
    </cacheField>
    <cacheField name="Quantidade" numFmtId="1">
      <sharedItems containsSemiMixedTypes="0" containsString="0" containsNumber="1" containsInteger="1" minValue="1" maxValue="3" count="3">
        <n v="1"/>
        <n v="2"/>
        <n v="3"/>
      </sharedItems>
    </cacheField>
    <cacheField name="Preço_Unitário_R$" numFmtId="164">
      <sharedItems containsSemiMixedTypes="0" containsString="0" containsNumber="1" minValue="128.69" maxValue="4172.41"/>
    </cacheField>
    <cacheField name="Desconto_pct" numFmtId="9">
      <sharedItems containsSemiMixedTypes="0" containsString="0" containsNumber="1" minValue="0" maxValue="0.27500000000000002"/>
    </cacheField>
    <cacheField name="Custo_Unitário_R$" numFmtId="164">
      <sharedItems containsSemiMixedTypes="0" containsString="0" containsNumber="1" minValue="46.8" maxValue="3363.39"/>
    </cacheField>
    <cacheField name="Status_Pedido" numFmtId="0">
      <sharedItems/>
    </cacheField>
    <cacheField name="Receita_Bruta_R$" numFmtId="164">
      <sharedItems containsSemiMixedTypes="0" containsString="0" containsNumber="1" minValue="129.41999999999999" maxValue="8318.2800000000007"/>
    </cacheField>
    <cacheField name="Desconto_R$" numFmtId="164">
      <sharedItems containsSemiMixedTypes="0" containsString="0" containsNumber="1" minValue="0" maxValue="1656.652"/>
    </cacheField>
    <cacheField name="Receita_Líquida_R$" numFmtId="164">
      <sharedItems containsSemiMixedTypes="0" containsString="0" containsNumber="1" minValue="0" maxValue="7892.7140000000009"/>
    </cacheField>
    <cacheField name="Custo_Total_R$" numFmtId="164">
      <sharedItems containsSemiMixedTypes="0" containsString="0" containsNumber="1" minValue="0" maxValue="6726.78"/>
    </cacheField>
    <cacheField name="Lucro_Bruto_R$" numFmtId="164">
      <sharedItems containsSemiMixedTypes="0" containsString="0" containsNumber="1" minValue="-209.26499999999987" maxValue="1456.9399999999996" count="908">
        <n v="130.61949999999999"/>
        <n v="114.26749999999998"/>
        <n v="0"/>
        <n v="301.75100000000003"/>
        <n v="162.22919999999999"/>
        <n v="636.16699999999992"/>
        <n v="316.3245"/>
        <n v="91.934000000000012"/>
        <n v="1055.2139999999999"/>
        <n v="208.91"/>
        <n v="59.755999999999986"/>
        <n v="258.28800000000001"/>
        <n v="187.87500000000003"/>
        <n v="138.88800000000001"/>
        <n v="100.48899999999999"/>
        <n v="189.54000000000002"/>
        <n v="49.149999999999991"/>
        <n v="229.60319999999999"/>
        <n v="96.382000000000005"/>
        <n v="75.430500000000023"/>
        <n v="153.46999999999997"/>
        <n v="261.41800000000001"/>
        <n v="128.95600000000002"/>
        <n v="75.668000000000006"/>
        <n v="92.357500000000044"/>
        <n v="168.898"/>
        <n v="106.938"/>
        <n v="138.01399999999998"/>
        <n v="219.28200000000001"/>
        <n v="268.76000000000005"/>
        <n v="97.341700000000031"/>
        <n v="872.51000000000022"/>
        <n v="100.07000000000001"/>
        <n v="284.30899999999986"/>
        <n v="116.3185"/>
        <n v="783.72399999999993"/>
        <n v="72.49199999999999"/>
        <n v="104.99699999999999"/>
        <n v="194.48000000000002"/>
        <n v="232.3719999999999"/>
        <n v="157.94799999999998"/>
        <n v="365.404"/>
        <n v="278.40700000000004"/>
        <n v="322.959"/>
        <n v="306.56349999999998"/>
        <n v="251.81300000000005"/>
        <n v="156.24400000000009"/>
        <n v="79.896500000000003"/>
        <n v="207.64000000000001"/>
        <n v="118.31500000000001"/>
        <n v="131.6105"/>
        <n v="89.586000000000013"/>
        <n v="128.732"/>
        <n v="150.83450000000002"/>
        <n v="75.901999999999987"/>
        <n v="224.25599999999997"/>
        <n v="240.09200000000004"/>
        <n v="98.196899999999999"/>
        <n v="1456.9399999999996"/>
        <n v="87.432000000000002"/>
        <n v="206.31400000000005"/>
        <n v="97.085000000000008"/>
        <n v="97.050000000000011"/>
        <n v="290.7441"/>
        <n v="56.742500000000021"/>
        <n v="77.852399999999989"/>
        <n v="107.0025"/>
        <n v="165.47930000000002"/>
        <n v="145.19999999999999"/>
        <n v="83.008399999999995"/>
        <n v="284.51000000000005"/>
        <n v="110.9496"/>
        <n v="214.71"/>
        <n v="192.33509999999998"/>
        <n v="185.20500000000004"/>
        <n v="134.30790000000002"/>
        <n v="698.24"/>
        <n v="224.8184"/>
        <n v="180.96000000000004"/>
        <n v="252.04899999999998"/>
        <n v="255.41999999999996"/>
        <n v="118.95600000000002"/>
        <n v="448.66199999999992"/>
        <n v="81.38900000000001"/>
        <n v="404.36559999999997"/>
        <n v="135.04200000000003"/>
        <n v="178.59450000000001"/>
        <n v="90.946500000000015"/>
        <n v="232.714"/>
        <n v="158.65000000000009"/>
        <n v="613.44799999999964"/>
        <n v="100.181"/>
        <n v="129.82"/>
        <n v="324.96819999999991"/>
        <n v="151.21250000000001"/>
        <n v="137.46999999999997"/>
        <n v="157.86099999999993"/>
        <n v="84.557999999999993"/>
        <n v="143.34900000000005"/>
        <n v="94.450999999999993"/>
        <n v="373.87259999999998"/>
        <n v="313.149"/>
        <n v="80.766500000000008"/>
        <n v="109.93279999999999"/>
        <n v="471.27400000000011"/>
        <n v="84.294500000000014"/>
        <n v="315.358"/>
        <n v="88.143499999999989"/>
        <n v="97.815999999999974"/>
        <n v="74.916000000000011"/>
        <n v="235.82200000000006"/>
        <n v="144.27599999999998"/>
        <n v="596.39899999999989"/>
        <n v="105.00449999999998"/>
        <n v="879.82500000000027"/>
        <n v="433.38000000000011"/>
        <n v="205.65899999999999"/>
        <n v="1163.9202"/>
        <n v="125.58450000000002"/>
        <n v="179.60449999999992"/>
        <n v="532.53200000000038"/>
        <n v="923.59999999999991"/>
        <n v="105.32"/>
        <n v="550.88719999999967"/>
        <n v="276.65299999999996"/>
        <n v="208.38400000000001"/>
        <n v="694.87599999999998"/>
        <n v="337.78999999999985"/>
        <n v="322.42239999999998"/>
        <n v="605.40849999999955"/>
        <n v="106.79399999999987"/>
        <n v="82.434499999999986"/>
        <n v="956.03999999999951"/>
        <n v="87.118000000000009"/>
        <n v="138.44749999999999"/>
        <n v="329.11869999999999"/>
        <n v="195.27999999999997"/>
        <n v="319.524"/>
        <n v="607.51350000000002"/>
        <n v="200.488"/>
        <n v="111.82499999999999"/>
        <n v="175.96200000000002"/>
        <n v="268.7349999999999"/>
        <n v="84.48599999999999"/>
        <n v="531.5702"/>
        <n v="173.90800000000036"/>
        <n v="139.876"/>
        <n v="303.185"/>
        <n v="247.19250000000005"/>
        <n v="170.04199999999997"/>
        <n v="338.65000000000009"/>
        <n v="522.9380000000001"/>
        <n v="74.131599999999992"/>
        <n v="316.39139999999998"/>
        <n v="351.76"/>
        <n v="111.07199999999997"/>
        <n v="126.81300000000005"/>
        <n v="72.558000000000007"/>
        <n v="185.465"/>
        <n v="387.37499999999989"/>
        <n v="719.65999999999985"/>
        <n v="149.04949999999997"/>
        <n v="155.45999999999995"/>
        <n v="274.18599999999992"/>
        <n v="215.06"/>
        <n v="198.5025"/>
        <n v="177.28240000000002"/>
        <n v="114.00200000000007"/>
        <n v="81.043000000000006"/>
        <n v="148.286"/>
        <n v="82.47399999999999"/>
        <n v="145.77639999999997"/>
        <n v="254.94999999999993"/>
        <n v="607.68139999999994"/>
        <n v="73.311000000000007"/>
        <n v="91.037700000000001"/>
        <n v="274.38799999999998"/>
        <n v="1039.7159999999994"/>
        <n v="74.578799999999987"/>
        <n v="475.51499999999987"/>
        <n v="476.09999999999997"/>
        <n v="164.79849999999996"/>
        <n v="676.64"/>
        <n v="372.88699999999994"/>
        <n v="91.033000000000015"/>
        <n v="64.278999999999996"/>
        <n v="495.14299999999992"/>
        <n v="322.05720000000008"/>
        <n v="145.54199999999997"/>
        <n v="1245.1410000000001"/>
        <n v="84.140800000000027"/>
        <n v="288.04899999999992"/>
        <n v="122.33400000000002"/>
        <n v="142.16399999999999"/>
        <n v="143.35250000000002"/>
        <n v="244.40199999999993"/>
        <n v="89.937499999999986"/>
        <n v="154.80399999999997"/>
        <n v="285.83549999999991"/>
        <n v="81.712000000000018"/>
        <n v="219.39050000000003"/>
        <n v="110.78800000000004"/>
        <n v="113.3545"/>
        <n v="225.12400000000002"/>
        <n v="582.08950000000004"/>
        <n v="196.87850000000003"/>
        <n v="123.00349999999997"/>
        <n v="167.80800000000005"/>
        <n v="95.216999999999985"/>
        <n v="84.927999999999983"/>
        <n v="307.85799999999995"/>
        <n v="237.11799999999997"/>
        <n v="130.958"/>
        <n v="368.69400000000002"/>
        <n v="109.00750000000002"/>
        <n v="63.047999999999995"/>
        <n v="97.212500000000034"/>
        <n v="186.35499999999999"/>
        <n v="134.09"/>
        <n v="199.28800000000001"/>
        <n v="242.47800000000001"/>
        <n v="115.315"/>
        <n v="250.13799999999998"/>
        <n v="133.9905"/>
        <n v="147.98849999999999"/>
        <n v="157.11800000000002"/>
        <n v="128.238"/>
        <n v="352.88"/>
        <n v="78.992999999999995"/>
        <n v="250.0172"/>
        <n v="66.802499999999981"/>
        <n v="79.331999999999965"/>
        <n v="396.10200000000009"/>
        <n v="491.22200000000021"/>
        <n v="252.23900000000003"/>
        <n v="86.776499999999999"/>
        <n v="315.56799999999998"/>
        <n v="96.762"/>
        <n v="225.38200000000018"/>
        <n v="352.27599999999995"/>
        <n v="145.03200000000004"/>
        <n v="149.774"/>
        <n v="88.996000000000009"/>
        <n v="243.9849999999999"/>
        <n v="290.64999999999998"/>
        <n v="171.09"/>
        <n v="269.66700000000014"/>
        <n v="163.12800000000004"/>
        <n v="101.14799999999998"/>
        <n v="85.373999999999995"/>
        <n v="641.226"/>
        <n v="-209.26499999999987"/>
        <n v="314.50200000000001"/>
        <n v="135.44399999999996"/>
        <n v="548.42999999999984"/>
        <n v="77.373000000000019"/>
        <n v="120.72999999999999"/>
        <n v="347.4"/>
        <n v="177.57300000000004"/>
        <n v="59.585999999999991"/>
        <n v="139.68249999999998"/>
        <n v="199.43999999999997"/>
        <n v="138.33759999999995"/>
        <n v="430.9069999999997"/>
        <n v="548.72800000000007"/>
        <n v="103.139"/>
        <n v="178.78"/>
        <n v="79.153999999999982"/>
        <n v="279.5949999999998"/>
        <n v="176.42450000000002"/>
        <n v="114.90349999999995"/>
        <n v="154.5394"/>
        <n v="285.21799999999996"/>
        <n v="286.33600000000001"/>
        <n v="358.33999999999992"/>
        <n v="205.18200000000002"/>
        <n v="425.28500000000008"/>
        <n v="259.28499999999997"/>
        <n v="77.656499999999994"/>
        <n v="88.070000000000022"/>
        <n v="244.529"/>
        <n v="611.75559999999996"/>
        <n v="160.33000000000001"/>
        <n v="226.44399999999999"/>
        <n v="296.99299999999994"/>
        <n v="134.3075"/>
        <n v="-139.52500000000009"/>
        <n v="345.64000000000004"/>
        <n v="85.370500000000021"/>
        <n v="437.43"/>
        <n v="156.23439999999999"/>
        <n v="173.42799999999988"/>
        <n v="671.09930000000031"/>
        <n v="395.21199999999999"/>
        <n v="85.448000000000036"/>
        <n v="525.69600000000014"/>
        <n v="111.488"/>
        <n v="245.00450000000006"/>
        <n v="391.23550000000023"/>
        <n v="661.17899999999986"/>
        <n v="119.12299999999999"/>
        <n v="194.857"/>
        <n v="65.739500000000007"/>
        <n v="122.125"/>
        <n v="194.13900000000004"/>
        <n v="211.39499999999992"/>
        <n v="320.31100000000004"/>
        <n v="92.281000000000006"/>
        <n v="314.06100000000004"/>
        <n v="224.19"/>
        <n v="139.583"/>
        <n v="504.87200000000018"/>
        <n v="225.10000000000002"/>
        <n v="148.91399999999999"/>
        <n v="104.53319999999999"/>
        <n v="81.48399999999998"/>
        <n v="97.090999999999994"/>
        <n v="297.161"/>
        <n v="128.12650000000002"/>
        <n v="225.45499999999998"/>
        <n v="122.22499999999999"/>
        <n v="112.70080000000002"/>
        <n v="136.18700000000001"/>
        <n v="681.24200000000019"/>
        <n v="136.47200000000004"/>
        <n v="277.09299999999996"/>
        <n v="656.65300000000013"/>
        <n v="83.474500000000006"/>
        <n v="248.54739999999993"/>
        <n v="104.20400000000001"/>
        <n v="96.431999999999988"/>
        <n v="112.13000000000002"/>
        <n v="193.74399999999969"/>
        <n v="363.46090000000004"/>
        <n v="155.68100000000001"/>
        <n v="832.0600000000004"/>
        <n v="264.87800000000004"/>
        <n v="158.71599999999998"/>
        <n v="257.16649999999998"/>
        <n v="307.74599999999992"/>
        <n v="92.289500000000018"/>
        <n v="435.52500000000009"/>
        <n v="84.35499999999999"/>
        <n v="709.12000000000012"/>
        <n v="150.2045"/>
        <n v="1163.9440000000004"/>
        <n v="154.154"/>
        <n v="126.04100000000003"/>
        <n v="75.778499999999994"/>
        <n v="97.949999999999989"/>
        <n v="116.29999999999998"/>
        <n v="87.9084"/>
        <n v="301.40780000000001"/>
        <n v="151.48999999999978"/>
        <n v="169.0619999999999"/>
        <n v="259.73950000000008"/>
        <n v="749.81500000000005"/>
        <n v="270.02079999999995"/>
        <n v="120.361"/>
        <n v="250.51900000000001"/>
        <n v="718.02199999999982"/>
        <n v="159.38800000000001"/>
        <n v="134.89200000000002"/>
        <n v="112.27999999999999"/>
        <n v="167.74439999999998"/>
        <n v="180.75299999999999"/>
        <n v="129.214"/>
        <n v="128.68700000000001"/>
        <n v="411.21799999999985"/>
        <n v="63.882000000000005"/>
        <n v="173.44909999999999"/>
        <n v="478.65099999999995"/>
        <n v="570.30899999999986"/>
        <n v="273.33519999999999"/>
        <n v="965.86800000000039"/>
        <n v="130.74"/>
        <n v="208.40599999999995"/>
        <n v="87.867999999999995"/>
        <n v="227.82599999999999"/>
        <n v="1203.4376000000002"/>
        <n v="86.569999999999965"/>
        <n v="197.54200000000014"/>
        <n v="167.18749999999997"/>
        <n v="95.329999999999984"/>
        <n v="183.16400000000002"/>
        <n v="192.85000000000002"/>
        <n v="652.07699999999977"/>
        <n v="255.84000000000015"/>
        <n v="88.453999999999979"/>
        <n v="92.213999999999942"/>
        <n v="238.76400000000001"/>
        <n v="65.356000000000009"/>
        <n v="156.41100000000003"/>
        <n v="165.67999999999998"/>
        <n v="285.39979999999991"/>
        <n v="85.768000000000015"/>
        <n v="210.66"/>
        <n v="289.83800000000019"/>
        <n v="185.57900000000001"/>
        <n v="252.55500000000006"/>
        <n v="66.686399999999992"/>
        <n v="63.957500000000095"/>
        <n v="233.92099999999999"/>
        <n v="111.68449999999999"/>
        <n v="443.52999999999986"/>
        <n v="111.73299999999999"/>
        <n v="58.41749999999999"/>
        <n v="153.58200000000002"/>
        <n v="143.98839999999996"/>
        <n v="74.275999999999982"/>
        <n v="223.84"/>
        <n v="87.987000000000009"/>
        <n v="251.80849999999998"/>
        <n v="362.96"/>
        <n v="308.91699999999992"/>
        <n v="311.13640000000004"/>
        <n v="301.30599999999998"/>
        <n v="117.07900000000001"/>
        <n v="82.016999999999996"/>
        <n v="150.45800000000006"/>
        <n v="350.44150000000002"/>
        <n v="175.69600000000003"/>
        <n v="516.58800000000008"/>
        <n v="474.70000000000005"/>
        <n v="83.264800000000008"/>
        <n v="171.97499999999999"/>
        <n v="67.312999999999988"/>
        <n v="69.458000000000013"/>
        <n v="146.62"/>
        <n v="142.35250000000002"/>
        <n v="911.90000000000009"/>
        <n v="81.192000000000007"/>
        <n v="220.20400000000006"/>
        <n v="299.40999999999997"/>
        <n v="290.54999999999995"/>
        <n v="162.38800000000003"/>
        <n v="82.275000000000091"/>
        <n v="228.44200000000001"/>
        <n v="278.50349999999997"/>
        <n v="323.78999999999996"/>
        <n v="267.38880000000017"/>
        <n v="132.32999999999998"/>
        <n v="121.62500000000003"/>
        <n v="120.03250000000003"/>
        <n v="124.76"/>
        <n v="165.04"/>
        <n v="75.115000000000009"/>
        <n v="143.8075"/>
        <n v="298.21399999999994"/>
        <n v="150.21600000000004"/>
        <n v="85.61999999999999"/>
        <n v="171.63119999999998"/>
        <n v="301.48309999999998"/>
        <n v="149.38200000000001"/>
        <n v="715.34000000000015"/>
        <n v="173.74199999999996"/>
        <n v="75.467999999999989"/>
        <n v="297.9448000000001"/>
        <n v="196.09899999999999"/>
        <n v="250.44600000000003"/>
        <n v="124.45"/>
        <n v="505.62000000000012"/>
        <n v="705.83999999999992"/>
        <n v="120.6225"/>
        <n v="150.83009999999996"/>
        <n v="438.16600000000017"/>
        <n v="149.88520000000003"/>
        <n v="112.67600000000002"/>
        <n v="155.38750000000002"/>
        <n v="128.87700000000001"/>
        <n v="250.45199999999994"/>
        <n v="567.42200000000003"/>
        <n v="844.36999999999989"/>
        <n v="126.44549999999998"/>
        <n v="209.45999999999998"/>
        <n v="222.74699999999996"/>
        <n v="408.99799999999982"/>
        <n v="638.81799999999998"/>
        <n v="124.68600000000004"/>
        <n v="148.16000000000003"/>
        <n v="110.461"/>
        <n v="211.79199999999992"/>
        <n v="85.949999999999989"/>
        <n v="136.09599999999998"/>
        <n v="262.74800000000005"/>
        <n v="145.38100000000003"/>
        <n v="430"/>
        <n v="73.504999999999995"/>
        <n v="214.44199999999995"/>
        <n v="309.02400000000011"/>
        <n v="331.33900000000006"/>
        <n v="108.32799999999999"/>
        <n v="262.44000000000005"/>
        <n v="378.44"/>
        <n v="159.4145"/>
        <n v="121.64749999999998"/>
        <n v="195.74400000000003"/>
        <n v="78.132000000000019"/>
        <n v="267.32799999999952"/>
        <n v="140.14519999999999"/>
        <n v="224.517"/>
        <n v="822.81"/>
        <n v="237.47449999999998"/>
        <n v="73.674999999999997"/>
        <n v="71.027999999999992"/>
        <n v="79.184500000000014"/>
        <n v="199.63400000000001"/>
        <n v="82.141400000000019"/>
        <n v="279.18000000000006"/>
        <n v="104.54"/>
        <n v="119.63400000000001"/>
        <n v="129.04150000000001"/>
        <n v="156.61100000000002"/>
        <n v="187.96249999999998"/>
        <n v="38.692499999999995"/>
        <n v="199.93050000000005"/>
        <n v="293.88349999999991"/>
        <n v="195.32400000000001"/>
        <n v="132.11080000000001"/>
        <n v="175.54399999999998"/>
        <n v="146.221"/>
        <n v="148.685"/>
        <n v="200.41049999999998"/>
        <n v="75.992999999999981"/>
        <n v="163.70259999999996"/>
        <n v="90.189900000000009"/>
        <n v="144.82600000000002"/>
        <n v="297.11440000000005"/>
        <n v="226.006"/>
        <n v="65.935999999999993"/>
        <n v="133.99800000000005"/>
        <n v="426.0300000000002"/>
        <n v="164.00099999999998"/>
        <n v="72.361999999999995"/>
        <n v="72.863700000000009"/>
        <n v="117.13250000000005"/>
        <n v="496.42759999999987"/>
        <n v="142.18600000000001"/>
        <n v="381.49700000000007"/>
        <n v="165.661"/>
        <n v="224.42500000000007"/>
        <n v="175.46799999999999"/>
        <n v="105.48349999999999"/>
        <n v="86.113"/>
        <n v="363.03150000000005"/>
        <n v="69.926500000000004"/>
        <n v="193.64"/>
        <n v="108.67200000000003"/>
        <n v="411.53899999999976"/>
        <n v="354.49999999999989"/>
        <n v="350.21630000000005"/>
        <n v="62.552499999999995"/>
        <n v="141.87519999999998"/>
        <n v="208.57399999999998"/>
        <n v="139.62240000000003"/>
        <n v="249.62349999999998"/>
        <n v="99.807999999999993"/>
        <n v="401.89350000000013"/>
        <n v="250.84850000000006"/>
        <n v="119.80700000000002"/>
        <n v="278.6712"/>
        <n v="385.94"/>
        <n v="264.28620000000001"/>
        <n v="701.33149999999978"/>
        <n v="244.42399999999998"/>
        <n v="136.9965"/>
        <n v="227.14399999999989"/>
        <n v="596.65350000000012"/>
        <n v="329.51220000000006"/>
        <n v="752.85000000000127"/>
        <n v="94.501000000000005"/>
        <n v="161.78549999999996"/>
        <n v="120.0915"/>
        <n v="45.282500000000027"/>
        <n v="867.46"/>
        <n v="120.86519999999999"/>
        <n v="358.351"/>
        <n v="367.66899999999998"/>
        <n v="240.577"/>
        <n v="964.96600000000035"/>
        <n v="130.9"/>
        <n v="251.03639999999996"/>
        <n v="123.76699999999997"/>
        <n v="95.878000000000014"/>
        <n v="285.3291999999999"/>
        <n v="97.34"/>
        <n v="62.012500000000003"/>
        <n v="1022.8302000000001"/>
        <n v="496.08399999999983"/>
        <n v="282.59950000000003"/>
        <n v="183.24299999999999"/>
        <n v="94.121999999999986"/>
        <n v="137.57650000000001"/>
        <n v="114.7565"/>
        <n v="146.02649999999997"/>
        <n v="83.300000000000011"/>
        <n v="85.406000000000006"/>
        <n v="164.17040000000003"/>
        <n v="159.74100000000001"/>
        <n v="196.20999999999998"/>
        <n v="171.30800000000002"/>
        <n v="333.226"/>
        <n v="140.63"/>
        <n v="114.77700000000002"/>
        <n v="180.0692"/>
        <n v="69.298000000000002"/>
        <n v="777.3"/>
        <n v="486.14899999999989"/>
        <n v="268.40899999999999"/>
        <n v="164.68"/>
        <n v="133.97000000000014"/>
        <n v="170.19049999999999"/>
        <n v="127.39199999999997"/>
        <n v="169.19800000000001"/>
        <n v="254.05609999999996"/>
        <n v="794.94399999999973"/>
        <n v="471.61799999999994"/>
        <n v="166.07320000000001"/>
        <n v="548.10399999999981"/>
        <n v="229.21000000000004"/>
        <n v="1117.1232000000005"/>
        <n v="393.83600000000024"/>
        <n v="173.13900000000001"/>
        <n v="83.066399999999973"/>
        <n v="160.93200000000002"/>
        <n v="402.62050000000011"/>
        <n v="97.135499999999993"/>
        <n v="117.87950000000001"/>
        <n v="167.24150000000003"/>
        <n v="523.87040000000002"/>
        <n v="433.17999999999995"/>
        <n v="55.071999999999996"/>
        <n v="313.94500000000005"/>
        <n v="125.02399999999999"/>
        <n v="71.188500000000005"/>
        <n v="81.393999999999991"/>
        <n v="509.1"/>
        <n v="122.0955"/>
        <n v="82.605999999999995"/>
        <n v="297.29799999999994"/>
        <n v="1057.2819999999992"/>
        <n v="241.43999999999997"/>
        <n v="222.00700000000001"/>
        <n v="149.583"/>
        <n v="234.226"/>
        <n v="714.11400000000003"/>
        <n v="259.0095"/>
        <n v="124.07150000000001"/>
        <n v="144.38200000000001"/>
        <n v="144.48000000000002"/>
        <n v="140.00850000000003"/>
        <n v="278.89700000000005"/>
        <n v="89.628999999999991"/>
        <n v="382.81520000000023"/>
        <n v="257.79599999999994"/>
        <n v="352.03050000000007"/>
        <n v="254.92600000000002"/>
        <n v="137.83800000000002"/>
        <n v="234.72599999999994"/>
        <n v="222.79500000000007"/>
        <n v="249.47399999999999"/>
        <n v="207.15999999999991"/>
        <n v="349.98599999999999"/>
        <n v="166.6"/>
        <n v="190.46000000000004"/>
        <n v="125.10249999999999"/>
        <n v="180.5455"/>
        <n v="323.38000000000011"/>
        <n v="277.09200000000004"/>
        <n v="812.38049999999998"/>
        <n v="784.14300000000003"/>
        <n v="141.48150000000001"/>
        <n v="58.644000000000005"/>
        <n v="368.96000000000004"/>
        <n v="455.29100000000017"/>
        <n v="51.669999999999987"/>
        <n v="919.09999999999991"/>
        <n v="160.36149999999995"/>
        <n v="84.597999999999999"/>
        <n v="334.63400000000001"/>
        <n v="92.599999999999909"/>
        <n v="134.34700000000001"/>
        <n v="181.58000000000004"/>
        <n v="217.26000000000005"/>
        <n v="119.3965"/>
        <n v="642.72879999999986"/>
        <n v="162.90849999999998"/>
        <n v="270.54799999999994"/>
        <n v="55.455000000000005"/>
        <n v="333.69499999999999"/>
        <n v="131.35899999999998"/>
        <n v="291.22599999999994"/>
        <n v="421.19399999999996"/>
        <n v="495.2379999999996"/>
        <n v="183.63440000000003"/>
        <n v="216.70000000000002"/>
        <n v="95.313999999999993"/>
        <n v="170.42499999999998"/>
        <n v="217.86599999999999"/>
        <n v="73.831000000000003"/>
        <n v="136.38900000000001"/>
        <n v="286.56799999999998"/>
        <n v="97.485500000000002"/>
        <n v="120.93200000000002"/>
        <n v="157.79720000000003"/>
        <n v="759.27300000000014"/>
        <n v="-25.412000000000262"/>
        <n v="297.40700000000015"/>
        <n v="205.42000000000002"/>
        <n v="171.23599999999996"/>
        <n v="212.11399999999998"/>
        <n v="265.05"/>
        <n v="447.54000000000008"/>
        <n v="140.76600000000002"/>
        <n v="228.18"/>
        <n v="95.270499999999984"/>
        <n v="162.29849999999999"/>
        <n v="152.95699999999999"/>
        <n v="72.971499999999992"/>
        <n v="135.23680000000002"/>
        <n v="526.84799999999996"/>
        <n v="106.762"/>
        <n v="140.10399999999996"/>
        <n v="75.407499999999985"/>
        <n v="159.13829999999996"/>
        <n v="80.524000000000001"/>
        <n v="153.58820000000003"/>
        <n v="670.97860000000014"/>
        <n v="157.45799999999997"/>
        <n v="147.63849999999999"/>
        <n v="136.69399999999999"/>
        <n v="87.089500000000015"/>
        <n v="452.577"/>
        <n v="304.83550000000002"/>
        <n v="185.64"/>
        <n v="123.73649999999998"/>
        <n v="298.59599999999995"/>
        <n v="296.89600000000002"/>
        <n v="152.69450000000001"/>
        <n v="135.39999999999998"/>
        <n v="73.77000000000001"/>
        <n v="379.03999999999996"/>
        <n v="226.51700000000002"/>
        <n v="85.38"/>
        <n v="764.51999999999975"/>
        <n v="178.70050000000001"/>
        <n v="81.490000000000009"/>
        <n v="565.11"/>
        <n v="549.40174999999954"/>
        <n v="82.103499999999997"/>
        <n v="175.58310000000006"/>
        <n v="94.88300000000001"/>
        <n v="180.78840000000002"/>
        <n v="355.79099999999994"/>
        <n v="124.23100000000001"/>
        <n v="250.04599999999994"/>
        <n v="108.157"/>
        <n v="355.58600000000001"/>
        <n v="99.937899999999999"/>
        <n v="188.93124999999998"/>
        <n v="161.61899999999997"/>
        <n v="772.64024999999992"/>
        <n v="518.01699999999994"/>
        <n v="69.505200000000002"/>
        <n v="341.78149999999999"/>
        <n v="90.468000000000004"/>
        <n v="100.2"/>
        <n v="310.6284999999998"/>
        <n v="100.809"/>
        <n v="31.883500000000026"/>
        <n v="217.65200000000004"/>
        <n v="169.42749999999998"/>
        <n v="168.80800000000005"/>
        <n v="300.52999999999997"/>
        <n v="157.72799999999998"/>
        <n v="331.72800000000001"/>
        <n v="502.10600000000011"/>
        <n v="590.26"/>
        <n v="486.96860000000027"/>
        <n v="501.9684000000002"/>
        <n v="187.21799999999999"/>
        <n v="251.29500000000007"/>
        <n v="333.42349999999999"/>
        <n v="179.31200000000001"/>
        <n v="164.95349999999996"/>
        <n v="305.90699999999993"/>
        <n v="161.60299999999998"/>
        <n v="134.11000000000001"/>
        <n v="78.263649999999984"/>
        <n v="166.68659999999994"/>
        <n v="88.303949999999986"/>
        <n v="305.28999999999996"/>
        <n v="123.446"/>
        <n v="260.49099999999993"/>
        <n v="140.72699999999998"/>
        <n v="108.65350000000001"/>
        <n v="113.39349999999999"/>
        <n v="97.206499999999977"/>
        <n v="220.67999999999995"/>
        <n v="71.447500000000218"/>
        <n v="276.29399999999998"/>
        <n v="127.87600000000003"/>
        <n v="74.72320000000002"/>
        <n v="129.255"/>
        <n v="151.74900000000002"/>
        <n v="43.75"/>
        <n v="289.31099999999998"/>
        <n v="144.875"/>
        <n v="226.42400000000004"/>
        <n v="130.01650000000004"/>
        <n v="302.36500000000012"/>
        <n v="118.80299999999997"/>
        <n v="153.63"/>
        <n v="872.73999999999978"/>
        <n v="186.15799999999999"/>
        <n v="919.39600000000064"/>
        <n v="119.26199999999999"/>
        <n v="364.84625000000005"/>
        <n v="402.58"/>
        <n v="197.52500000000003"/>
        <n v="141.72200000000004"/>
        <n v="177.82550000000001"/>
        <n v="55.272499999999994"/>
        <n v="168.38"/>
        <n v="267.3119999999999"/>
        <n v="165.52399999999997"/>
        <n v="70.648999999999987"/>
        <n v="57.964000000000055"/>
        <n v="79.542150000000007"/>
        <n v="175.76149999999996"/>
        <n v="234.17250000000013"/>
        <n v="76.82499999999996"/>
        <n v="71.859000000000009"/>
        <n v="608.18859999999995"/>
        <n v="241.36449999999991"/>
        <n v="266.85299999999995"/>
        <n v="336.05000000000007"/>
        <n v="90.330000000000013"/>
        <n v="131.435"/>
        <n v="72.962499999999991"/>
        <n v="345.72750000000008"/>
        <n v="109.33900000000001"/>
        <n v="119.45749999999998"/>
        <n v="309.11399999999992"/>
        <n v="139.71200000000002"/>
        <n v="411.36"/>
        <n v="200.18"/>
        <n v="72.422499999999999"/>
        <n v="160.773"/>
        <n v="218.52999999999997"/>
        <n v="267.14165000000003"/>
        <n v="91.102000000000004"/>
        <n v="133.48600000000005"/>
        <n v="111.94450000000003"/>
        <n v="350.26799999999992"/>
        <n v="141.65399999999997"/>
        <n v="140.959"/>
        <n v="91.535000000000025"/>
        <n v="156.79520000000002"/>
        <n v="71.464499999999987"/>
        <n v="158.48000000000002"/>
        <n v="102.5356"/>
        <n v="102.34450000000001"/>
        <n v="681.16199999999992"/>
        <n v="108.65"/>
        <n v="89.570999999999998"/>
        <n v="222.93900000000002"/>
        <n v="513.14099999999996"/>
        <n v="218.94399999999996"/>
        <n v="158.54250000000025"/>
        <n v="51.717749999999995"/>
        <n v="155.434"/>
        <n v="88.091999999999956"/>
        <n v="140.31549999999999"/>
        <n v="565.28000000000009"/>
        <n v="337.02959999999996"/>
        <n v="138"/>
        <n v="198.71"/>
        <n v="76.775999999999996"/>
        <n v="195.75"/>
        <n v="130.28500000000003"/>
        <n v="208.51"/>
        <n v="286.56"/>
        <n v="93.460000000000036"/>
        <n v="262.93399999999997"/>
        <n v="199.82000000000005"/>
        <n v="104.32"/>
        <n v="169.27999999999997"/>
        <n v="127.51750000000001"/>
        <n v="1108.011"/>
        <n v="744.08350000000019"/>
        <n v="1181.2140000000009"/>
        <n v="134.30799999999996"/>
        <n v="343.81"/>
        <n v="94.369999999999976"/>
        <n v="255.53599999999989"/>
        <n v="266.25580000000014"/>
        <n v="513.68399999999974"/>
        <n v="65.250999999999976"/>
        <n v="111.59499999999998"/>
        <n v="196.34640000000002"/>
        <n v="230.02600000000007"/>
        <n v="292.47899999999998"/>
        <n v="181.36600000000001"/>
        <n v="538.26400000000001"/>
        <n v="156.315"/>
        <n v="109.98700000000002"/>
        <n v="139.54399999999987"/>
      </sharedItems>
    </cacheField>
    <cacheField name="Margem_Bruta_pct" numFmtId="165">
      <sharedItems containsMixedTypes="1" containsNumber="1" minValue="-225.83220525735641" maxValue="38.10410101892947"/>
    </cacheField>
  </cacheFields>
  <calculatedItems count="9">
    <calculatedItem>
      <pivotArea cacheIndex="1" outline="0" fieldPosition="0">
        <references count="1">
          <reference field="0" count="1">
            <x v="12"/>
          </reference>
        </references>
      </pivotArea>
    </calculatedItem>
    <calculatedItem>
      <pivotArea cacheIndex="1" outline="0" fieldPosition="0">
        <references count="1">
          <reference field="0" count="1">
            <x v="13"/>
          </reference>
        </references>
      </pivotArea>
    </calculatedItem>
    <calculatedItem>
      <pivotArea cacheIndex="1" outline="0" fieldPosition="0">
        <references count="1">
          <reference field="0" count="1">
            <x v="14"/>
          </reference>
        </references>
      </pivotArea>
    </calculatedItem>
    <calculatedItem>
      <pivotArea cacheIndex="1" outline="0" fieldPosition="0">
        <references count="1">
          <reference field="0" count="1">
            <x v="15"/>
          </reference>
        </references>
      </pivotArea>
    </calculatedItem>
    <calculatedItem>
      <pivotArea cacheIndex="1" outline="0" fieldPosition="0">
        <references count="1">
          <reference field="0" count="1">
            <x v="16"/>
          </reference>
        </references>
      </pivotArea>
    </calculatedItem>
    <calculatedItem>
      <pivotArea cacheIndex="1" outline="0" fieldPosition="0">
        <references count="1">
          <reference field="0" count="1">
            <x v="17"/>
          </reference>
        </references>
      </pivotArea>
    </calculatedItem>
    <calculatedItem>
      <pivotArea cacheIndex="1" outline="0" fieldPosition="0">
        <references count="1">
          <reference field="0" count="1">
            <x v="18"/>
          </reference>
        </references>
      </pivotArea>
    </calculatedItem>
    <calculatedItem>
      <pivotArea cacheIndex="1" outline="0" fieldPosition="0">
        <references count="1">
          <reference field="0" count="1">
            <x v="19"/>
          </reference>
        </references>
      </pivotArea>
    </calculatedItem>
    <calculatedItem>
      <pivotArea cacheIndex="1" outline="0" fieldPosition="0">
        <references count="1">
          <reference field="0" count="1">
            <x v="2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te" refreshedDate="46307.841579398148" createdVersion="7" refreshedVersion="7" minRefreshableVersion="3" recordCount="951" xr:uid="{694E9C5F-1F6A-47E9-B968-81B13CB62DAF}">
  <cacheSource type="worksheet">
    <worksheetSource name="Vendas2025"/>
  </cacheSource>
  <cacheFields count="19">
    <cacheField name="ID_Venda" numFmtId="0">
      <sharedItems/>
    </cacheField>
    <cacheField name="Data" numFmtId="14">
      <sharedItems containsSemiMixedTypes="0" containsNonDate="0" containsDate="1" containsString="0" minDate="2025-01-01T00:00:00" maxDate="2025-12-29T00:00:00"/>
    </cacheField>
    <cacheField name="Loja" numFmtId="0">
      <sharedItems count="8">
        <s v="São Paulo Centro"/>
        <s v="Belo Horizonte Savassi"/>
        <s v="Curitiba Batel"/>
        <s v="Recife Boa Viagem"/>
        <s v="Salvador Barra"/>
        <s v="Porto Alegre Moinhos"/>
        <s v="Rio de Janeiro Sul"/>
        <s v="Brasília Asa Sul"/>
      </sharedItems>
    </cacheField>
    <cacheField name="Região" numFmtId="0">
      <sharedItems count="4">
        <s v="Sudeste"/>
        <s v="Sul"/>
        <s v="Nordeste"/>
        <s v="Centro-Oeste"/>
      </sharedItems>
    </cacheField>
    <cacheField name="Canal" numFmtId="0">
      <sharedItems/>
    </cacheField>
    <cacheField name="Vendedor" numFmtId="0">
      <sharedItems/>
    </cacheField>
    <cacheField name="Categoria" numFmtId="0">
      <sharedItems/>
    </cacheField>
    <cacheField name="Produto" numFmtId="0">
      <sharedItems/>
    </cacheField>
    <cacheField name="Quantidade" numFmtId="1">
      <sharedItems containsSemiMixedTypes="0" containsString="0" containsNumber="1" containsInteger="1" minValue="1" maxValue="3"/>
    </cacheField>
    <cacheField name="Preço_Unitário_R$" numFmtId="164">
      <sharedItems containsSemiMixedTypes="0" containsString="0" containsNumber="1" minValue="128.69" maxValue="4172.41"/>
    </cacheField>
    <cacheField name="Desconto_pct" numFmtId="165">
      <sharedItems containsSemiMixedTypes="0" containsString="0" containsNumber="1" minValue="0" maxValue="0.27500000000000002"/>
    </cacheField>
    <cacheField name="Custo_Unitário_R$" numFmtId="164">
      <sharedItems containsSemiMixedTypes="0" containsString="0" containsNumber="1" minValue="46.8" maxValue="3363.39"/>
    </cacheField>
    <cacheField name="Status_Pedido" numFmtId="0">
      <sharedItems/>
    </cacheField>
    <cacheField name="Receita_Bruta_R$" numFmtId="164">
      <sharedItems containsSemiMixedTypes="0" containsString="0" containsNumber="1" minValue="129.41999999999999" maxValue="8318.2800000000007"/>
    </cacheField>
    <cacheField name="Desconto_R$" numFmtId="164">
      <sharedItems containsSemiMixedTypes="0" containsString="0" containsNumber="1" minValue="0" maxValue="1656.652"/>
    </cacheField>
    <cacheField name="Receita_Líquida_R$" numFmtId="164">
      <sharedItems containsSemiMixedTypes="0" containsString="0" containsNumber="1" minValue="0" maxValue="7892.7140000000009"/>
    </cacheField>
    <cacheField name="Custo_Total_R$" numFmtId="164">
      <sharedItems containsSemiMixedTypes="0" containsString="0" containsNumber="1" minValue="0" maxValue="6726.78"/>
    </cacheField>
    <cacheField name="Lucro_Bruto_R$" numFmtId="164">
      <sharedItems containsSemiMixedTypes="0" containsString="0" containsNumber="1" minValue="-209.26499999999987" maxValue="1456.9399999999996"/>
    </cacheField>
    <cacheField name="Margem_Bruta_pct" numFmtId="0">
      <sharedItems containsMixedTypes="1" containsNumber="1" minValue="-7.1081740689978398E-2" maxValue="0.66284851154887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">
  <r>
    <x v="0"/>
    <s v="VD-0017"/>
    <d v="2025-01-01T00:00:00"/>
    <x v="0"/>
    <x v="0"/>
    <x v="0"/>
    <x v="0"/>
    <x v="0"/>
    <s v="Balança Smart"/>
    <x v="0"/>
    <n v="254.01"/>
    <n v="0.05"/>
    <n v="110.69"/>
    <s v="Concluída"/>
    <n v="254.01"/>
    <n v="12.7005"/>
    <n v="241.30949999999999"/>
    <n v="110.69"/>
    <x v="0"/>
    <n v="1.847423240787172"/>
  </r>
  <r>
    <x v="0"/>
    <s v="VD-0041"/>
    <d v="2025-01-01T00:00:00"/>
    <x v="1"/>
    <x v="0"/>
    <x v="1"/>
    <x v="1"/>
    <x v="1"/>
    <s v="Teclado Mecânico"/>
    <x v="0"/>
    <n v="424.15"/>
    <n v="0.15"/>
    <n v="246.26"/>
    <s v="Concluída"/>
    <n v="424.15"/>
    <n v="63.622499999999995"/>
    <n v="360.52749999999997"/>
    <n v="246.26"/>
    <x v="1"/>
    <n v="3.1551184720064764"/>
  </r>
  <r>
    <x v="0"/>
    <s v="VD-0047"/>
    <d v="2025-01-01T00:00:00"/>
    <x v="2"/>
    <x v="1"/>
    <x v="2"/>
    <x v="2"/>
    <x v="2"/>
    <s v="Air Fryer 5L"/>
    <x v="0"/>
    <n v="678.6"/>
    <n v="0.05"/>
    <n v="401.43"/>
    <s v="Cancelada"/>
    <n v="678.6"/>
    <n v="33.93"/>
    <n v="0"/>
    <n v="0"/>
    <x v="2"/>
    <s v="sem Valor"/>
  </r>
  <r>
    <x v="0"/>
    <s v="VD-0011"/>
    <d v="2025-01-02T00:00:00"/>
    <x v="0"/>
    <x v="0"/>
    <x v="1"/>
    <x v="3"/>
    <x v="2"/>
    <s v="Kit Lençol 4p"/>
    <x v="1"/>
    <n v="296.89"/>
    <n v="0.05"/>
    <n v="131.16999999999999"/>
    <s v="Concluída"/>
    <n v="593.78"/>
    <n v="29.689"/>
    <n v="564.09100000000001"/>
    <n v="262.33999999999997"/>
    <x v="3"/>
    <n v="1.8693923135300294"/>
  </r>
  <r>
    <x v="0"/>
    <s v="VD-0043"/>
    <d v="2025-01-02T00:00:00"/>
    <x v="3"/>
    <x v="2"/>
    <x v="1"/>
    <x v="4"/>
    <x v="2"/>
    <s v="Panela Pressão 6L"/>
    <x v="0"/>
    <n v="462.26"/>
    <n v="0.08"/>
    <n v="263.05"/>
    <s v="Concluída"/>
    <n v="462.26"/>
    <n v="36.980800000000002"/>
    <n v="425.2792"/>
    <n v="263.05"/>
    <x v="4"/>
    <n v="2.621471350410407"/>
  </r>
  <r>
    <x v="0"/>
    <s v="VD-0065"/>
    <d v="2025-01-02T00:00:00"/>
    <x v="4"/>
    <x v="2"/>
    <x v="1"/>
    <x v="2"/>
    <x v="3"/>
    <s v="Bike Urbana"/>
    <x v="1"/>
    <n v="2285.31"/>
    <n v="0.15"/>
    <n v="1624.43"/>
    <s v="Concluída"/>
    <n v="4570.62"/>
    <n v="685.59299999999996"/>
    <n v="3885.027"/>
    <n v="3248.86"/>
    <x v="5"/>
    <n v="6.1069294697775911"/>
  </r>
  <r>
    <x v="0"/>
    <s v="VD-0033"/>
    <d v="2025-01-03T00:00:00"/>
    <x v="1"/>
    <x v="0"/>
    <x v="3"/>
    <x v="5"/>
    <x v="4"/>
    <s v="Relógio Fit"/>
    <x v="0"/>
    <n v="650.51"/>
    <n v="0.05"/>
    <n v="301.66000000000003"/>
    <s v="Concluída"/>
    <n v="650.51"/>
    <n v="32.525500000000001"/>
    <n v="617.98450000000003"/>
    <n v="301.66000000000003"/>
    <x v="6"/>
    <n v="1.9536409604693914"/>
  </r>
  <r>
    <x v="0"/>
    <s v="VD-0042"/>
    <d v="2025-01-03T00:00:00"/>
    <x v="3"/>
    <x v="2"/>
    <x v="3"/>
    <x v="6"/>
    <x v="0"/>
    <s v="Balança Smart"/>
    <x v="0"/>
    <n v="244.08"/>
    <n v="0.2"/>
    <n v="103.33"/>
    <s v="Concluída"/>
    <n v="244.08"/>
    <n v="48.816000000000003"/>
    <n v="195.26400000000001"/>
    <n v="103.33"/>
    <x v="7"/>
    <n v="2.1239584919616243"/>
  </r>
  <r>
    <x v="0"/>
    <s v="VD-0061"/>
    <d v="2025-01-03T00:00:00"/>
    <x v="5"/>
    <x v="1"/>
    <x v="1"/>
    <x v="3"/>
    <x v="1"/>
    <s v="Fone Wave"/>
    <x v="0"/>
    <n v="263.20999999999998"/>
    <n v="0.05"/>
    <n v="121.72"/>
    <s v="Cancelada"/>
    <n v="263.20999999999998"/>
    <n v="13.160499999999999"/>
    <n v="0"/>
    <n v="0"/>
    <x v="2"/>
    <s v="sem Valor"/>
  </r>
  <r>
    <x v="0"/>
    <s v="VD-0013"/>
    <d v="2025-01-04T00:00:00"/>
    <x v="6"/>
    <x v="0"/>
    <x v="1"/>
    <x v="6"/>
    <x v="3"/>
    <s v="Bike Urbana"/>
    <x v="1"/>
    <n v="2152.46"/>
    <n v="0.05"/>
    <n v="1517.23"/>
    <s v="Concluída"/>
    <n v="4304.92"/>
    <n v="215.24600000000001"/>
    <n v="4089.674"/>
    <n v="3034.46"/>
    <x v="8"/>
    <n v="3.875682089130736"/>
  </r>
  <r>
    <x v="0"/>
    <s v="VD-0030"/>
    <d v="2025-01-04T00:00:00"/>
    <x v="5"/>
    <x v="1"/>
    <x v="1"/>
    <x v="2"/>
    <x v="0"/>
    <s v="Secador Pro"/>
    <x v="0"/>
    <n v="444.68"/>
    <n v="0"/>
    <n v="235.77"/>
    <s v="Concluída"/>
    <n v="444.68"/>
    <n v="0"/>
    <n v="444.68"/>
    <n v="235.77"/>
    <x v="9"/>
    <n v="2.1285721123928965"/>
  </r>
  <r>
    <x v="0"/>
    <s v="VD-0051"/>
    <d v="2025-01-04T00:00:00"/>
    <x v="7"/>
    <x v="3"/>
    <x v="1"/>
    <x v="5"/>
    <x v="3"/>
    <s v="Colchonete Pro"/>
    <x v="0"/>
    <n v="132.76"/>
    <n v="0.15"/>
    <n v="53.09"/>
    <s v="Concluída"/>
    <n v="132.76"/>
    <n v="19.913999999999998"/>
    <n v="112.84599999999999"/>
    <n v="53.09"/>
    <x v="10"/>
    <n v="1.8884463484838345"/>
  </r>
  <r>
    <x v="0"/>
    <s v="VD-0029"/>
    <d v="2025-01-05T00:00:00"/>
    <x v="1"/>
    <x v="0"/>
    <x v="3"/>
    <x v="7"/>
    <x v="3"/>
    <s v="Esteira Compacta"/>
    <x v="0"/>
    <n v="2573.36"/>
    <n v="0.2"/>
    <n v="1800.4"/>
    <s v="Concluída"/>
    <n v="2573.36"/>
    <n v="514.67200000000003"/>
    <n v="2058.6880000000001"/>
    <n v="1800.4"/>
    <x v="11"/>
    <n v="7.9705135352784486"/>
  </r>
  <r>
    <x v="0"/>
    <s v="VD-0059"/>
    <d v="2025-01-05T00:00:00"/>
    <x v="6"/>
    <x v="0"/>
    <x v="3"/>
    <x v="4"/>
    <x v="0"/>
    <s v="Balança Smart"/>
    <x v="1"/>
    <n v="227.55"/>
    <n v="0.15"/>
    <n v="99.48"/>
    <s v="Concluída"/>
    <n v="455.1"/>
    <n v="68.265000000000001"/>
    <n v="386.83500000000004"/>
    <n v="198.96"/>
    <x v="12"/>
    <n v="2.0590019960079839"/>
  </r>
  <r>
    <x v="0"/>
    <s v="VD-0010"/>
    <d v="2025-01-07T00:00:00"/>
    <x v="1"/>
    <x v="0"/>
    <x v="0"/>
    <x v="4"/>
    <x v="0"/>
    <s v="Creme Facial"/>
    <x v="1"/>
    <n v="152.63"/>
    <n v="0.2"/>
    <n v="52.66"/>
    <s v="Concluída"/>
    <n v="305.26"/>
    <n v="61.052"/>
    <n v="244.208"/>
    <n v="105.32"/>
    <x v="13"/>
    <n v="1.7583088531766602"/>
  </r>
  <r>
    <x v="0"/>
    <s v="VD-0018"/>
    <d v="2025-01-07T00:00:00"/>
    <x v="0"/>
    <x v="0"/>
    <x v="3"/>
    <x v="4"/>
    <x v="1"/>
    <s v="Fone Wave"/>
    <x v="0"/>
    <n v="238.51"/>
    <n v="0.1"/>
    <n v="114.17"/>
    <s v="Concluída"/>
    <n v="238.51"/>
    <n v="23.850999999999999"/>
    <n v="214.65899999999999"/>
    <n v="114.17"/>
    <x v="14"/>
    <n v="2.1361442545950302"/>
  </r>
  <r>
    <x v="0"/>
    <s v="VD-0027"/>
    <d v="2025-01-07T00:00:00"/>
    <x v="6"/>
    <x v="0"/>
    <x v="1"/>
    <x v="1"/>
    <x v="0"/>
    <s v="Creme Facial"/>
    <x v="1"/>
    <n v="143.52000000000001"/>
    <n v="0"/>
    <n v="48.75"/>
    <s v="Concluída"/>
    <n v="287.04000000000002"/>
    <n v="0"/>
    <n v="287.04000000000002"/>
    <n v="97.5"/>
    <x v="15"/>
    <n v="1.5144032921810699"/>
  </r>
  <r>
    <x v="0"/>
    <s v="VD-0034"/>
    <d v="2025-01-08T00:00:00"/>
    <x v="0"/>
    <x v="0"/>
    <x v="0"/>
    <x v="2"/>
    <x v="3"/>
    <s v="Colchonete Pro"/>
    <x v="0"/>
    <n v="137.63999999999999"/>
    <n v="0.25"/>
    <n v="54.08"/>
    <s v="Concluída"/>
    <n v="137.63999999999999"/>
    <n v="34.409999999999997"/>
    <n v="103.22999999999999"/>
    <n v="54.08"/>
    <x v="16"/>
    <n v="2.1003051881993899"/>
  </r>
  <r>
    <x v="0"/>
    <s v="VD-0035"/>
    <d v="2025-01-08T00:00:00"/>
    <x v="4"/>
    <x v="2"/>
    <x v="1"/>
    <x v="3"/>
    <x v="0"/>
    <s v="Balança Smart"/>
    <x v="1"/>
    <n v="230.23"/>
    <n v="0.08"/>
    <n v="97.01"/>
    <s v="Concluída"/>
    <n v="460.46"/>
    <n v="36.836799999999997"/>
    <n v="423.6232"/>
    <n v="194.02"/>
    <x v="17"/>
    <n v="1.845023065880615"/>
  </r>
  <r>
    <x v="0"/>
    <s v="VD-0020"/>
    <d v="2025-01-09T00:00:00"/>
    <x v="1"/>
    <x v="0"/>
    <x v="3"/>
    <x v="4"/>
    <x v="0"/>
    <s v="Creme Facial"/>
    <x v="1"/>
    <n v="141.25"/>
    <n v="0.15"/>
    <n v="50.53"/>
    <s v="Cancelada"/>
    <n v="282.5"/>
    <n v="42.375"/>
    <n v="0"/>
    <n v="0"/>
    <x v="2"/>
    <s v="sem Valor"/>
  </r>
  <r>
    <x v="0"/>
    <s v="VD-0022"/>
    <d v="2025-01-09T00:00:00"/>
    <x v="3"/>
    <x v="2"/>
    <x v="3"/>
    <x v="8"/>
    <x v="1"/>
    <s v="Teclado Mecânico"/>
    <x v="0"/>
    <n v="433.84"/>
    <n v="0.2"/>
    <n v="250.69"/>
    <s v="Concluída"/>
    <n v="433.84"/>
    <n v="86.768000000000001"/>
    <n v="347.072"/>
    <n v="250.69"/>
    <x v="18"/>
    <n v="3.6010043369093814"/>
  </r>
  <r>
    <x v="0"/>
    <s v="VD-0054"/>
    <d v="2025-01-09T00:00:00"/>
    <x v="5"/>
    <x v="1"/>
    <x v="3"/>
    <x v="4"/>
    <x v="3"/>
    <s v="Colchonete Pro"/>
    <x v="0"/>
    <n v="138.59"/>
    <n v="0.05"/>
    <n v="56.23"/>
    <s v="Concluída"/>
    <n v="138.59"/>
    <n v="6.9295000000000009"/>
    <n v="131.66050000000001"/>
    <n v="56.23"/>
    <x v="19"/>
    <n v="1.7454544249342105"/>
  </r>
  <r>
    <x v="0"/>
    <s v="VD-0064"/>
    <d v="2025-01-09T00:00:00"/>
    <x v="6"/>
    <x v="0"/>
    <x v="1"/>
    <x v="9"/>
    <x v="3"/>
    <s v="Halteres 10kg"/>
    <x v="0"/>
    <n v="335.02"/>
    <n v="0"/>
    <n v="181.55"/>
    <s v="Concluída"/>
    <n v="335.02"/>
    <n v="0"/>
    <n v="335.02"/>
    <n v="181.55"/>
    <x v="20"/>
    <n v="2.1829673551834237"/>
  </r>
  <r>
    <x v="0"/>
    <s v="VD-0045"/>
    <d v="2025-01-10T00:00:00"/>
    <x v="2"/>
    <x v="1"/>
    <x v="1"/>
    <x v="9"/>
    <x v="3"/>
    <s v="Halteres 10kg"/>
    <x v="1"/>
    <n v="339.82"/>
    <n v="0.05"/>
    <n v="192.12"/>
    <s v="Concluída"/>
    <n v="679.64"/>
    <n v="33.981999999999999"/>
    <n v="645.65800000000002"/>
    <n v="384.24"/>
    <x v="21"/>
    <n v="2.4698299275489828"/>
  </r>
  <r>
    <x v="0"/>
    <s v="VD-0053"/>
    <d v="2025-01-10T00:00:00"/>
    <x v="5"/>
    <x v="1"/>
    <x v="0"/>
    <x v="1"/>
    <x v="1"/>
    <s v="Mouse Pro"/>
    <x v="1"/>
    <n v="191.96"/>
    <n v="0.2"/>
    <n v="89.09"/>
    <s v="Concluída"/>
    <n v="383.92"/>
    <n v="76.784000000000006"/>
    <n v="307.13600000000002"/>
    <n v="178.18"/>
    <x v="22"/>
    <n v="2.3817115915506064"/>
  </r>
  <r>
    <x v="0"/>
    <s v="VD-0066"/>
    <d v="2025-01-10T00:00:00"/>
    <x v="2"/>
    <x v="1"/>
    <x v="1"/>
    <x v="10"/>
    <x v="3"/>
    <s v="Colchonete Pro"/>
    <x v="0"/>
    <n v="141.04"/>
    <n v="0.05"/>
    <n v="58.32"/>
    <s v="Concluída"/>
    <n v="141.04"/>
    <n v="7.0519999999999996"/>
    <n v="133.988"/>
    <n v="58.32"/>
    <x v="23"/>
    <n v="1.7707353174393401"/>
  </r>
  <r>
    <x v="0"/>
    <s v="VD-0005"/>
    <d v="2025-01-11T00:00:00"/>
    <x v="6"/>
    <x v="0"/>
    <x v="3"/>
    <x v="0"/>
    <x v="1"/>
    <s v="Fone Wave"/>
    <x v="0"/>
    <n v="262.35000000000002"/>
    <n v="0.15"/>
    <n v="130.63999999999999"/>
    <s v="Concluída"/>
    <n v="262.35000000000002"/>
    <n v="39.352499999999999"/>
    <n v="222.99750000000003"/>
    <n v="130.63999999999999"/>
    <x v="24"/>
    <n v="2.4145034241940277"/>
  </r>
  <r>
    <x v="0"/>
    <s v="VD-0006"/>
    <d v="2025-01-11T00:00:00"/>
    <x v="3"/>
    <x v="2"/>
    <x v="2"/>
    <x v="7"/>
    <x v="1"/>
    <s v="Monitor 27 Ultra"/>
    <x v="0"/>
    <n v="1266.06"/>
    <n v="0.05"/>
    <n v="880.66"/>
    <s v="Cancelada"/>
    <n v="1266.06"/>
    <n v="63.302999999999997"/>
    <n v="0"/>
    <n v="0"/>
    <x v="2"/>
    <s v="sem Valor"/>
  </r>
  <r>
    <x v="0"/>
    <s v="VD-0019"/>
    <d v="2025-01-11T00:00:00"/>
    <x v="7"/>
    <x v="3"/>
    <x v="2"/>
    <x v="4"/>
    <x v="0"/>
    <s v="Secador Pro"/>
    <x v="0"/>
    <n v="427.24"/>
    <n v="0.05"/>
    <n v="236.98"/>
    <s v="Concluída"/>
    <n v="427.24"/>
    <n v="21.362000000000002"/>
    <n v="405.87799999999999"/>
    <n v="236.98"/>
    <x v="25"/>
    <n v="2.4030953593292992"/>
  </r>
  <r>
    <x v="0"/>
    <s v="VD-0031"/>
    <d v="2025-01-11T00:00:00"/>
    <x v="0"/>
    <x v="0"/>
    <x v="0"/>
    <x v="4"/>
    <x v="2"/>
    <s v="Panela Pressão 6L"/>
    <x v="1"/>
    <n v="439.48"/>
    <n v="0.25"/>
    <n v="248.02"/>
    <s v="Cancelada"/>
    <n v="878.96"/>
    <n v="219.74"/>
    <n v="0"/>
    <n v="0"/>
    <x v="2"/>
    <s v="sem Valor"/>
  </r>
  <r>
    <x v="0"/>
    <s v="VD-0012"/>
    <d v="2025-01-12T00:00:00"/>
    <x v="3"/>
    <x v="2"/>
    <x v="3"/>
    <x v="0"/>
    <x v="1"/>
    <s v="Fone Wave"/>
    <x v="0"/>
    <n v="233.44"/>
    <n v="0.05"/>
    <n v="114.83"/>
    <s v="Concluída"/>
    <n v="233.44"/>
    <n v="11.672000000000001"/>
    <n v="221.768"/>
    <n v="114.83"/>
    <x v="26"/>
    <n v="2.0737997718304064"/>
  </r>
  <r>
    <x v="0"/>
    <s v="VD-0001"/>
    <d v="2025-01-13T00:00:00"/>
    <x v="1"/>
    <x v="0"/>
    <x v="3"/>
    <x v="0"/>
    <x v="0"/>
    <s v="Secador Pro"/>
    <x v="0"/>
    <n v="454.84"/>
    <n v="0.15"/>
    <n v="248.6"/>
    <s v="Concluída"/>
    <n v="454.84"/>
    <n v="68.225999999999999"/>
    <n v="386.61399999999998"/>
    <n v="248.6"/>
    <x v="27"/>
    <n v="2.8012665381772868"/>
  </r>
  <r>
    <x v="0"/>
    <s v="VD-0009"/>
    <d v="2025-01-13T00:00:00"/>
    <x v="2"/>
    <x v="1"/>
    <x v="1"/>
    <x v="8"/>
    <x v="1"/>
    <s v="Fone Wave"/>
    <x v="1"/>
    <n v="254.69"/>
    <n v="0.1"/>
    <n v="119.58"/>
    <s v="Concluída"/>
    <n v="509.38"/>
    <n v="50.938000000000002"/>
    <n v="458.44200000000001"/>
    <n v="239.16"/>
    <x v="28"/>
    <n v="2.0906503953812896"/>
  </r>
  <r>
    <x v="0"/>
    <s v="VD-0060"/>
    <d v="2025-01-13T00:00:00"/>
    <x v="3"/>
    <x v="2"/>
    <x v="1"/>
    <x v="9"/>
    <x v="2"/>
    <s v="Tapete Sala"/>
    <x v="0"/>
    <n v="542.82000000000005"/>
    <n v="0"/>
    <n v="274.06"/>
    <s v="Concluída"/>
    <n v="542.82000000000005"/>
    <n v="0"/>
    <n v="542.82000000000005"/>
    <n v="274.06"/>
    <x v="29"/>
    <n v="2.019720196457806"/>
  </r>
  <r>
    <x v="0"/>
    <s v="VD-0007"/>
    <d v="2025-01-14T00:00:00"/>
    <x v="5"/>
    <x v="1"/>
    <x v="3"/>
    <x v="3"/>
    <x v="0"/>
    <s v="Creme Facial"/>
    <x v="0"/>
    <n v="156.61000000000001"/>
    <n v="0.03"/>
    <n v="54.57"/>
    <s v="Concluída"/>
    <n v="156.61000000000001"/>
    <n v="4.6983000000000006"/>
    <n v="151.91170000000002"/>
    <n v="54.57"/>
    <x v="30"/>
    <n v="1.560602496155296"/>
  </r>
  <r>
    <x v="0"/>
    <s v="VD-0023"/>
    <d v="2025-01-14T00:00:00"/>
    <x v="6"/>
    <x v="0"/>
    <x v="1"/>
    <x v="3"/>
    <x v="1"/>
    <s v="Notebook Nova 14"/>
    <x v="0"/>
    <n v="3934.3"/>
    <n v="0"/>
    <n v="3061.79"/>
    <s v="Concluída"/>
    <n v="3934.3"/>
    <n v="0"/>
    <n v="3934.3"/>
    <n v="3061.79"/>
    <x v="31"/>
    <n v="4.5091746799463603"/>
  </r>
  <r>
    <x v="0"/>
    <s v="VD-0003"/>
    <d v="2025-01-15T00:00:00"/>
    <x v="5"/>
    <x v="1"/>
    <x v="3"/>
    <x v="6"/>
    <x v="0"/>
    <s v="Balança Smart"/>
    <x v="0"/>
    <n v="245.4"/>
    <n v="0.15"/>
    <n v="108.52"/>
    <s v="Concluída"/>
    <n v="245.4"/>
    <n v="36.81"/>
    <n v="208.59"/>
    <n v="108.52"/>
    <x v="32"/>
    <n v="2.0844408913760368"/>
  </r>
  <r>
    <x v="0"/>
    <s v="VD-0052"/>
    <d v="2025-01-15T00:00:00"/>
    <x v="5"/>
    <x v="1"/>
    <x v="3"/>
    <x v="10"/>
    <x v="1"/>
    <s v="Monitor 27 Ultra"/>
    <x v="0"/>
    <n v="1272.82"/>
    <n v="0.05"/>
    <n v="924.87"/>
    <s v="Concluída"/>
    <n v="1272.82"/>
    <n v="63.640999999999998"/>
    <n v="1209.1789999999999"/>
    <n v="924.87"/>
    <x v="33"/>
    <n v="4.2530451023358404"/>
  </r>
  <r>
    <x v="0"/>
    <s v="VD-0055"/>
    <d v="2025-01-15T00:00:00"/>
    <x v="4"/>
    <x v="2"/>
    <x v="1"/>
    <x v="11"/>
    <x v="3"/>
    <s v="Halteres 10kg"/>
    <x v="0"/>
    <n v="384.01"/>
    <n v="0.15"/>
    <n v="210.09"/>
    <s v="Concluída"/>
    <n v="384.01"/>
    <n v="57.601499999999994"/>
    <n v="326.4085"/>
    <n v="210.09"/>
    <x v="34"/>
    <n v="2.8061615306249652"/>
  </r>
  <r>
    <x v="0"/>
    <s v="VD-0058"/>
    <d v="2025-01-15T00:00:00"/>
    <x v="2"/>
    <x v="1"/>
    <x v="0"/>
    <x v="8"/>
    <x v="3"/>
    <s v="Esteira Compacta"/>
    <x v="0"/>
    <n v="2876.52"/>
    <n v="0.05"/>
    <n v="1948.97"/>
    <s v="Concluída"/>
    <n v="2876.52"/>
    <n v="143.82599999999999"/>
    <n v="2732.694"/>
    <n v="1948.97"/>
    <x v="35"/>
    <n v="3.4868065798674026"/>
  </r>
  <r>
    <x v="0"/>
    <s v="VD-0067"/>
    <d v="2025-01-15T00:00:00"/>
    <x v="0"/>
    <x v="0"/>
    <x v="0"/>
    <x v="8"/>
    <x v="0"/>
    <s v="Creme Facial"/>
    <x v="0"/>
    <n v="158.34"/>
    <n v="0.2"/>
    <n v="54.18"/>
    <s v="Concluída"/>
    <n v="158.34"/>
    <n v="31.668000000000003"/>
    <n v="126.672"/>
    <n v="54.18"/>
    <x v="36"/>
    <n v="1.7473928157589804"/>
  </r>
  <r>
    <x v="0"/>
    <s v="VD-0004"/>
    <d v="2025-01-16T00:00:00"/>
    <x v="6"/>
    <x v="0"/>
    <x v="3"/>
    <x v="7"/>
    <x v="0"/>
    <s v="Balança Smart"/>
    <x v="0"/>
    <n v="220.73"/>
    <n v="0.1"/>
    <n v="93.66"/>
    <s v="Concluída"/>
    <n v="220.73"/>
    <n v="22.073"/>
    <n v="198.65699999999998"/>
    <n v="93.66"/>
    <x v="37"/>
    <n v="1.8920254864424699"/>
  </r>
  <r>
    <x v="0"/>
    <s v="VD-0016"/>
    <d v="2025-01-16T00:00:00"/>
    <x v="6"/>
    <x v="0"/>
    <x v="2"/>
    <x v="11"/>
    <x v="0"/>
    <s v="Secador Pro"/>
    <x v="0"/>
    <n v="426.11"/>
    <n v="0"/>
    <n v="231.63"/>
    <s v="Concluída"/>
    <n v="426.11"/>
    <n v="0"/>
    <n v="426.11"/>
    <n v="231.63"/>
    <x v="38"/>
    <n v="2.1910222130810366"/>
  </r>
  <r>
    <x v="0"/>
    <s v="VD-0037"/>
    <d v="2025-01-16T00:00:00"/>
    <x v="7"/>
    <x v="3"/>
    <x v="0"/>
    <x v="4"/>
    <x v="4"/>
    <s v="Relógio Fit"/>
    <x v="0"/>
    <n v="696.29"/>
    <n v="0.2"/>
    <n v="324.66000000000003"/>
    <s v="Concluída"/>
    <n v="696.29"/>
    <n v="139.25800000000001"/>
    <n v="557.03199999999993"/>
    <n v="324.66000000000003"/>
    <x v="39"/>
    <n v="2.3971562838896259"/>
  </r>
  <r>
    <x v="0"/>
    <s v="VD-0048"/>
    <d v="2025-01-16T00:00:00"/>
    <x v="5"/>
    <x v="1"/>
    <x v="2"/>
    <x v="0"/>
    <x v="2"/>
    <s v="Cadeira Escritório"/>
    <x v="0"/>
    <n v="1100.02"/>
    <n v="0.1"/>
    <n v="832.07"/>
    <s v="Concluída"/>
    <n v="1100.02"/>
    <n v="110.00200000000001"/>
    <n v="990.01800000000003"/>
    <n v="832.07"/>
    <x v="40"/>
    <n v="6.2679995948033538"/>
  </r>
  <r>
    <x v="0"/>
    <s v="VD-0032"/>
    <d v="2025-01-17T00:00:00"/>
    <x v="0"/>
    <x v="0"/>
    <x v="0"/>
    <x v="10"/>
    <x v="3"/>
    <s v="Bike Urbana"/>
    <x v="1"/>
    <n v="2134.59"/>
    <n v="0.2"/>
    <n v="1524.97"/>
    <s v="Concluída"/>
    <n v="4269.18"/>
    <n v="853.83600000000013"/>
    <n v="3415.3440000000001"/>
    <n v="3049.94"/>
    <x v="41"/>
    <n v="9.3467613928692632"/>
  </r>
  <r>
    <x v="0"/>
    <s v="VD-0002"/>
    <d v="2025-01-18T00:00:00"/>
    <x v="7"/>
    <x v="3"/>
    <x v="1"/>
    <x v="5"/>
    <x v="2"/>
    <s v="Panela Pressão 6L"/>
    <x v="1"/>
    <n v="465.31"/>
    <n v="0.15"/>
    <n v="256.31"/>
    <s v="Concluída"/>
    <n v="930.62"/>
    <n v="139.59299999999999"/>
    <n v="791.02700000000004"/>
    <n v="512.62"/>
    <x v="42"/>
    <n v="2.8412611751859687"/>
  </r>
  <r>
    <x v="0"/>
    <s v="VD-0028"/>
    <d v="2025-01-18T00:00:00"/>
    <x v="7"/>
    <x v="0"/>
    <x v="3"/>
    <x v="5"/>
    <x v="1"/>
    <s v="Teclado Mecânico"/>
    <x v="1"/>
    <n v="426.01"/>
    <n v="0.05"/>
    <n v="243.23"/>
    <s v="Concluída"/>
    <n v="852.02"/>
    <n v="42.600999999999999"/>
    <n v="809.41899999999998"/>
    <n v="486.46"/>
    <x v="43"/>
    <n v="2.5062593084571105"/>
  </r>
  <r>
    <x v="0"/>
    <s v="VD-0049"/>
    <d v="2025-01-19T00:00:00"/>
    <x v="5"/>
    <x v="1"/>
    <x v="3"/>
    <x v="11"/>
    <x v="4"/>
    <s v="Relógio Fit"/>
    <x v="0"/>
    <n v="658.73"/>
    <n v="0.05"/>
    <n v="319.23"/>
    <s v="Concluída"/>
    <n v="658.73"/>
    <n v="32.936500000000002"/>
    <n v="625.79349999999999"/>
    <n v="319.23"/>
    <x v="44"/>
    <n v="2.0413177041624331"/>
  </r>
  <r>
    <x v="0"/>
    <s v="VD-0026"/>
    <d v="2025-01-20T00:00:00"/>
    <x v="5"/>
    <x v="1"/>
    <x v="0"/>
    <x v="5"/>
    <x v="4"/>
    <s v="Relógio Fit"/>
    <x v="0"/>
    <n v="712.38"/>
    <n v="0.15"/>
    <n v="353.71"/>
    <s v="Concluída"/>
    <n v="712.38"/>
    <n v="106.857"/>
    <n v="605.52300000000002"/>
    <n v="353.71"/>
    <x v="45"/>
    <n v="2.4046534531577"/>
  </r>
  <r>
    <x v="0"/>
    <s v="VD-0036"/>
    <d v="2025-01-20T00:00:00"/>
    <x v="6"/>
    <x v="0"/>
    <x v="3"/>
    <x v="8"/>
    <x v="2"/>
    <s v="Air Fryer 5L"/>
    <x v="0"/>
    <n v="680.73"/>
    <n v="0.2"/>
    <n v="388.34"/>
    <s v="Concluída"/>
    <n v="680.73"/>
    <n v="136.14600000000002"/>
    <n v="544.58400000000006"/>
    <n v="388.34"/>
    <x v="46"/>
    <n v="3.4854714421033752"/>
  </r>
  <r>
    <x v="0"/>
    <s v="VD-0038"/>
    <d v="2025-01-20T00:00:00"/>
    <x v="7"/>
    <x v="3"/>
    <x v="1"/>
    <x v="4"/>
    <x v="0"/>
    <s v="Creme Facial"/>
    <x v="0"/>
    <n v="160.29"/>
    <n v="0.15"/>
    <n v="56.35"/>
    <s v="Concluída"/>
    <n v="160.29"/>
    <n v="24.043499999999998"/>
    <n v="136.2465"/>
    <n v="56.35"/>
    <x v="47"/>
    <n v="1.7052874656586958"/>
  </r>
  <r>
    <x v="0"/>
    <s v="VD-0040"/>
    <d v="2025-01-20T00:00:00"/>
    <x v="0"/>
    <x v="0"/>
    <x v="2"/>
    <x v="1"/>
    <x v="4"/>
    <s v="Óculos Sol"/>
    <x v="0"/>
    <n v="376.68"/>
    <n v="0"/>
    <n v="169.04"/>
    <s v="Concluída"/>
    <n v="376.68"/>
    <n v="0"/>
    <n v="376.68"/>
    <n v="169.04"/>
    <x v="48"/>
    <n v="1.8141013292236563"/>
  </r>
  <r>
    <x v="0"/>
    <s v="VD-0056"/>
    <d v="2025-01-20T00:00:00"/>
    <x v="0"/>
    <x v="0"/>
    <x v="1"/>
    <x v="10"/>
    <x v="0"/>
    <s v="Balança Smart"/>
    <x v="0"/>
    <n v="229.5"/>
    <n v="0.05"/>
    <n v="99.71"/>
    <s v="Concluída"/>
    <n v="229.5"/>
    <n v="11.475000000000001"/>
    <n v="218.02500000000001"/>
    <n v="99.71"/>
    <x v="49"/>
    <n v="1.842750285255462"/>
  </r>
  <r>
    <x v="0"/>
    <s v="VD-0039"/>
    <d v="2025-01-21T00:00:00"/>
    <x v="0"/>
    <x v="0"/>
    <x v="1"/>
    <x v="5"/>
    <x v="3"/>
    <s v="Halteres 10kg"/>
    <x v="0"/>
    <n v="343.39"/>
    <n v="0.05"/>
    <n v="194.61"/>
    <s v="Concluída"/>
    <n v="343.39"/>
    <n v="17.169499999999999"/>
    <n v="326.22050000000002"/>
    <n v="194.61"/>
    <x v="50"/>
    <n v="2.4786814121973553"/>
  </r>
  <r>
    <x v="0"/>
    <s v="VD-0044"/>
    <d v="2025-01-21T00:00:00"/>
    <x v="6"/>
    <x v="0"/>
    <x v="2"/>
    <x v="3"/>
    <x v="1"/>
    <s v="Mouse Pro"/>
    <x v="0"/>
    <n v="201.84"/>
    <n v="0.1"/>
    <n v="92.07"/>
    <s v="Concluída"/>
    <n v="201.84"/>
    <n v="20.184000000000001"/>
    <n v="181.65600000000001"/>
    <n v="92.07"/>
    <x v="51"/>
    <n v="2.0277275467148881"/>
  </r>
  <r>
    <x v="0"/>
    <s v="VD-0046"/>
    <d v="2025-01-21T00:00:00"/>
    <x v="0"/>
    <x v="0"/>
    <x v="3"/>
    <x v="0"/>
    <x v="0"/>
    <s v="Creme Facial"/>
    <x v="1"/>
    <n v="142.72"/>
    <n v="0.2"/>
    <n v="49.81"/>
    <s v="Concluída"/>
    <n v="285.44"/>
    <n v="57.088000000000001"/>
    <n v="228.352"/>
    <n v="99.62"/>
    <x v="52"/>
    <n v="1.7738557623590094"/>
  </r>
  <r>
    <x v="0"/>
    <s v="VD-0063"/>
    <d v="2025-01-21T00:00:00"/>
    <x v="0"/>
    <x v="0"/>
    <x v="0"/>
    <x v="5"/>
    <x v="4"/>
    <s v="Mochila Urban"/>
    <x v="0"/>
    <n v="297.11"/>
    <n v="0.05"/>
    <n v="131.41999999999999"/>
    <s v="Concluída"/>
    <n v="297.11"/>
    <n v="14.855500000000001"/>
    <n v="282.25450000000001"/>
    <n v="131.41999999999999"/>
    <x v="53"/>
    <n v="1.8712860784502217"/>
  </r>
  <r>
    <x v="0"/>
    <s v="VD-0062"/>
    <d v="2025-01-22T00:00:00"/>
    <x v="7"/>
    <x v="3"/>
    <x v="3"/>
    <x v="0"/>
    <x v="1"/>
    <s v="Fone Wave"/>
    <x v="0"/>
    <n v="238.39"/>
    <n v="0.2"/>
    <n v="114.81"/>
    <s v="Concluída"/>
    <n v="238.39"/>
    <n v="47.677999999999997"/>
    <n v="190.71199999999999"/>
    <n v="114.81"/>
    <x v="54"/>
    <n v="2.5126083634159841"/>
  </r>
  <r>
    <x v="0"/>
    <s v="VD-0014"/>
    <d v="2025-01-26T00:00:00"/>
    <x v="0"/>
    <x v="0"/>
    <x v="3"/>
    <x v="9"/>
    <x v="1"/>
    <s v="Teclado Mecânico"/>
    <x v="1"/>
    <n v="407.08"/>
    <n v="0.15"/>
    <n v="233.89"/>
    <s v="Concluída"/>
    <n v="814.16"/>
    <n v="122.124"/>
    <n v="692.03599999999994"/>
    <n v="467.78"/>
    <x v="55"/>
    <n v="3.0859196632420094"/>
  </r>
  <r>
    <x v="0"/>
    <s v="VD-0015"/>
    <d v="2025-01-26T00:00:00"/>
    <x v="6"/>
    <x v="0"/>
    <x v="0"/>
    <x v="9"/>
    <x v="1"/>
    <s v="Fone Wave"/>
    <x v="1"/>
    <n v="260.68"/>
    <n v="0.05"/>
    <n v="127.6"/>
    <s v="Concluída"/>
    <n v="521.36"/>
    <n v="26.068000000000001"/>
    <n v="495.29200000000003"/>
    <n v="255.2"/>
    <x v="56"/>
    <n v="2.0629258784132745"/>
  </r>
  <r>
    <x v="0"/>
    <s v="VD-0021"/>
    <d v="2025-01-26T00:00:00"/>
    <x v="7"/>
    <x v="3"/>
    <x v="2"/>
    <x v="5"/>
    <x v="0"/>
    <s v="Creme Facial"/>
    <x v="0"/>
    <n v="157.77000000000001"/>
    <n v="0.03"/>
    <n v="54.84"/>
    <s v="Concluída"/>
    <n v="157.77000000000001"/>
    <n v="4.7331000000000003"/>
    <n v="153.0369"/>
    <n v="54.84"/>
    <x v="57"/>
    <n v="1.5584697683939106"/>
  </r>
  <r>
    <x v="0"/>
    <s v="VD-0025"/>
    <d v="2025-01-26T00:00:00"/>
    <x v="7"/>
    <x v="3"/>
    <x v="1"/>
    <x v="4"/>
    <x v="3"/>
    <s v="Bike Urbana"/>
    <x v="1"/>
    <n v="2262.85"/>
    <n v="0"/>
    <n v="1534.38"/>
    <s v="Concluída"/>
    <n v="4525.7"/>
    <n v="0"/>
    <n v="4525.7"/>
    <n v="3068.76"/>
    <x v="58"/>
    <n v="3.1063049954013211"/>
  </r>
  <r>
    <x v="0"/>
    <s v="VD-0050"/>
    <d v="2025-01-26T00:00:00"/>
    <x v="7"/>
    <x v="3"/>
    <x v="1"/>
    <x v="5"/>
    <x v="0"/>
    <s v="Creme Facial"/>
    <x v="0"/>
    <n v="156.68"/>
    <n v="0.1"/>
    <n v="53.58"/>
    <s v="Concluída"/>
    <n v="156.68"/>
    <n v="15.668000000000001"/>
    <n v="141.012"/>
    <n v="53.58"/>
    <x v="59"/>
    <n v="1.612819105133132"/>
  </r>
  <r>
    <x v="0"/>
    <s v="VD-0024"/>
    <d v="2025-01-27T00:00:00"/>
    <x v="5"/>
    <x v="1"/>
    <x v="3"/>
    <x v="2"/>
    <x v="1"/>
    <s v="Fone Wave"/>
    <x v="1"/>
    <n v="252.83"/>
    <n v="0.1"/>
    <n v="124.39"/>
    <s v="Concluída"/>
    <n v="505.66"/>
    <n v="50.566000000000003"/>
    <n v="455.09400000000005"/>
    <n v="248.78"/>
    <x v="60"/>
    <n v="2.2058318873173897"/>
  </r>
  <r>
    <x v="0"/>
    <s v="VD-0057"/>
    <d v="2025-01-27T00:00:00"/>
    <x v="0"/>
    <x v="0"/>
    <x v="1"/>
    <x v="6"/>
    <x v="1"/>
    <s v="Fone Wave"/>
    <x v="0"/>
    <n v="250.5"/>
    <n v="0.15"/>
    <n v="115.84"/>
    <s v="Concluída"/>
    <n v="250.5"/>
    <n v="37.574999999999996"/>
    <n v="212.92500000000001"/>
    <n v="115.84"/>
    <x v="61"/>
    <n v="2.1931812329402072"/>
  </r>
  <r>
    <x v="0"/>
    <s v="VD-0068"/>
    <d v="2025-01-27T00:00:00"/>
    <x v="4"/>
    <x v="2"/>
    <x v="2"/>
    <x v="10"/>
    <x v="0"/>
    <s v="Creme Facial"/>
    <x v="0"/>
    <n v="148.27000000000001"/>
    <n v="0"/>
    <n v="51.22"/>
    <s v="Concluída"/>
    <n v="148.27000000000001"/>
    <n v="0"/>
    <n v="148.27000000000001"/>
    <n v="51.22"/>
    <x v="62"/>
    <n v="1.5277691911385882"/>
  </r>
  <r>
    <x v="0"/>
    <s v="VD-0008"/>
    <d v="2025-01-28T00:00:00"/>
    <x v="7"/>
    <x v="3"/>
    <x v="3"/>
    <x v="5"/>
    <x v="0"/>
    <s v="Creme Facial"/>
    <x v="2"/>
    <n v="153.51"/>
    <n v="0.03"/>
    <n v="51.99"/>
    <s v="Concluída"/>
    <n v="460.53"/>
    <n v="13.815899999999999"/>
    <n v="446.71409999999997"/>
    <n v="155.97"/>
    <x v="63"/>
    <n v="1.536451126609276"/>
  </r>
  <r>
    <x v="1"/>
    <s v="VD-0075"/>
    <d v="2025-02-01T00:00:00"/>
    <x v="4"/>
    <x v="2"/>
    <x v="0"/>
    <x v="4"/>
    <x v="1"/>
    <s v="Mouse Pro"/>
    <x v="0"/>
    <n v="186.55"/>
    <n v="0.25"/>
    <n v="83.17"/>
    <s v="Concluída"/>
    <n v="186.55"/>
    <n v="46.637500000000003"/>
    <n v="139.91250000000002"/>
    <n v="83.17"/>
    <x v="64"/>
    <n v="2.4657443715028413"/>
  </r>
  <r>
    <x v="1"/>
    <s v="VD-0128"/>
    <d v="2025-02-01T00:00:00"/>
    <x v="2"/>
    <x v="1"/>
    <x v="1"/>
    <x v="8"/>
    <x v="0"/>
    <s v="Creme Facial"/>
    <x v="0"/>
    <n v="138.47"/>
    <n v="0.08"/>
    <n v="49.54"/>
    <s v="Concluída"/>
    <n v="138.47"/>
    <n v="11.0776"/>
    <n v="127.39239999999999"/>
    <n v="49.54"/>
    <x v="65"/>
    <n v="1.6363323417132936"/>
  </r>
  <r>
    <x v="1"/>
    <s v="VD-0087"/>
    <d v="2025-02-02T00:00:00"/>
    <x v="7"/>
    <x v="3"/>
    <x v="0"/>
    <x v="4"/>
    <x v="1"/>
    <s v="Fone Wave"/>
    <x v="0"/>
    <n v="229.15"/>
    <n v="0.05"/>
    <n v="110.69"/>
    <s v="Concluída"/>
    <n v="229.15"/>
    <n v="11.457500000000001"/>
    <n v="217.6925"/>
    <n v="110.69"/>
    <x v="66"/>
    <n v="2.0344618116399151"/>
  </r>
  <r>
    <x v="1"/>
    <s v="VD-0112"/>
    <d v="2025-02-02T00:00:00"/>
    <x v="6"/>
    <x v="0"/>
    <x v="3"/>
    <x v="2"/>
    <x v="0"/>
    <s v="Secador Pro"/>
    <x v="0"/>
    <n v="402.69"/>
    <n v="0.03"/>
    <n v="225.13"/>
    <s v="Concluída"/>
    <n v="402.69"/>
    <n v="12.0807"/>
    <n v="390.60930000000002"/>
    <n v="225.13"/>
    <x v="67"/>
    <n v="2.3604722765929029"/>
  </r>
  <r>
    <x v="1"/>
    <s v="VD-0131"/>
    <d v="2025-02-02T00:00:00"/>
    <x v="5"/>
    <x v="1"/>
    <x v="0"/>
    <x v="7"/>
    <x v="4"/>
    <s v="Mochila Urban"/>
    <x v="0"/>
    <n v="328"/>
    <n v="0.1"/>
    <n v="150"/>
    <s v="Concluída"/>
    <n v="328"/>
    <n v="32.800000000000004"/>
    <n v="295.2"/>
    <n v="150"/>
    <x v="68"/>
    <n v="2.0330578512396693"/>
  </r>
  <r>
    <x v="1"/>
    <s v="VD-0081"/>
    <d v="2025-02-03T00:00:00"/>
    <x v="4"/>
    <x v="2"/>
    <x v="2"/>
    <x v="4"/>
    <x v="3"/>
    <s v="Colchonete Pro"/>
    <x v="0"/>
    <n v="143.72"/>
    <n v="0.03"/>
    <n v="56.4"/>
    <s v="Concluída"/>
    <n v="143.72"/>
    <n v="4.3115999999999994"/>
    <n v="139.4084"/>
    <n v="56.4"/>
    <x v="69"/>
    <n v="1.6794493087446574"/>
  </r>
  <r>
    <x v="1"/>
    <s v="VD-0118"/>
    <d v="2025-02-03T00:00:00"/>
    <x v="0"/>
    <x v="0"/>
    <x v="1"/>
    <x v="3"/>
    <x v="2"/>
    <s v="Air Fryer 5L"/>
    <x v="0"/>
    <n v="646.22"/>
    <n v="0"/>
    <n v="361.71"/>
    <s v="Concluída"/>
    <n v="646.22"/>
    <n v="0"/>
    <n v="646.22"/>
    <n v="361.71"/>
    <x v="70"/>
    <n v="2.2713437137534704"/>
  </r>
  <r>
    <x v="1"/>
    <s v="VD-0070"/>
    <d v="2025-02-04T00:00:00"/>
    <x v="4"/>
    <x v="2"/>
    <x v="1"/>
    <x v="7"/>
    <x v="1"/>
    <s v="Fone Wave"/>
    <x v="0"/>
    <n v="263.13"/>
    <n v="0.08"/>
    <n v="131.13"/>
    <s v="Concluída"/>
    <n v="263.13"/>
    <n v="21.0504"/>
    <n v="242.0796"/>
    <n v="131.13"/>
    <x v="71"/>
    <n v="2.1818879923857319"/>
  </r>
  <r>
    <x v="1"/>
    <s v="VD-0100"/>
    <d v="2025-02-04T00:00:00"/>
    <x v="0"/>
    <x v="0"/>
    <x v="1"/>
    <x v="7"/>
    <x v="4"/>
    <s v="Óculos Sol"/>
    <x v="0"/>
    <n v="372.18"/>
    <n v="0"/>
    <n v="157.47"/>
    <s v="Concluída"/>
    <n v="372.18"/>
    <n v="0"/>
    <n v="372.18"/>
    <n v="157.47"/>
    <x v="72"/>
    <n v="1.7334078524521448"/>
  </r>
  <r>
    <x v="1"/>
    <s v="VD-0103"/>
    <d v="2025-02-04T00:00:00"/>
    <x v="5"/>
    <x v="1"/>
    <x v="3"/>
    <x v="0"/>
    <x v="4"/>
    <s v="Óculos Sol"/>
    <x v="0"/>
    <n v="356.83"/>
    <n v="0.03"/>
    <n v="153.79"/>
    <s v="Concluída"/>
    <n v="356.83"/>
    <n v="10.704899999999999"/>
    <n v="346.12509999999997"/>
    <n v="153.79"/>
    <x v="73"/>
    <n v="1.7995940418571545"/>
  </r>
  <r>
    <x v="1"/>
    <s v="VD-0082"/>
    <d v="2025-02-05T00:00:00"/>
    <x v="1"/>
    <x v="0"/>
    <x v="0"/>
    <x v="3"/>
    <x v="0"/>
    <s v="Secador Pro"/>
    <x v="1"/>
    <n v="424.39"/>
    <n v="0.25"/>
    <n v="225.69"/>
    <s v="Concluída"/>
    <n v="848.78"/>
    <n v="212.19499999999999"/>
    <n v="636.58500000000004"/>
    <n v="451.38"/>
    <x v="74"/>
    <n v="3.4371912205394017"/>
  </r>
  <r>
    <x v="1"/>
    <s v="VD-0121"/>
    <d v="2025-02-05T00:00:00"/>
    <x v="7"/>
    <x v="3"/>
    <x v="3"/>
    <x v="11"/>
    <x v="3"/>
    <s v="Halteres 10kg"/>
    <x v="0"/>
    <n v="344.07"/>
    <n v="0.03"/>
    <n v="199.44"/>
    <s v="Concluída"/>
    <n v="344.07"/>
    <n v="10.322099999999999"/>
    <n v="333.74790000000002"/>
    <n v="199.44"/>
    <x v="75"/>
    <n v="2.4849461572997567"/>
  </r>
  <r>
    <x v="1"/>
    <s v="VD-0125"/>
    <d v="2025-02-05T00:00:00"/>
    <x v="4"/>
    <x v="2"/>
    <x v="1"/>
    <x v="10"/>
    <x v="2"/>
    <s v="Cadeira Escritório"/>
    <x v="1"/>
    <n v="1207.2"/>
    <n v="0"/>
    <n v="858.08"/>
    <s v="Concluída"/>
    <n v="2414.4"/>
    <n v="0"/>
    <n v="2414.4"/>
    <n v="1716.16"/>
    <x v="76"/>
    <n v="3.4578368469294225"/>
  </r>
  <r>
    <x v="1"/>
    <s v="VD-0132"/>
    <d v="2025-02-05T00:00:00"/>
    <x v="7"/>
    <x v="3"/>
    <x v="1"/>
    <x v="2"/>
    <x v="2"/>
    <s v="Tapete Sala"/>
    <x v="0"/>
    <n v="564.77"/>
    <n v="0.08"/>
    <n v="294.77"/>
    <s v="Concluída"/>
    <n v="564.77"/>
    <n v="45.181599999999996"/>
    <n v="519.58839999999998"/>
    <n v="294.77"/>
    <x v="77"/>
    <n v="2.3111471303060602"/>
  </r>
  <r>
    <x v="1"/>
    <s v="VD-0089"/>
    <d v="2025-02-06T00:00:00"/>
    <x v="7"/>
    <x v="3"/>
    <x v="3"/>
    <x v="8"/>
    <x v="1"/>
    <s v="Teclado Mecânico"/>
    <x v="1"/>
    <n v="394.2"/>
    <n v="0.2"/>
    <n v="224.88"/>
    <s v="Concluída"/>
    <n v="788.4"/>
    <n v="157.68"/>
    <n v="630.72"/>
    <n v="449.76"/>
    <x v="78"/>
    <n v="3.4854111405835537"/>
  </r>
  <r>
    <x v="1"/>
    <s v="VD-0093"/>
    <d v="2025-02-06T00:00:00"/>
    <x v="6"/>
    <x v="0"/>
    <x v="1"/>
    <x v="5"/>
    <x v="2"/>
    <s v="Kit Lençol 4p"/>
    <x v="1"/>
    <n v="300.77"/>
    <n v="0.15"/>
    <n v="129.63"/>
    <s v="Concluída"/>
    <n v="601.54"/>
    <n v="90.230999999999995"/>
    <n v="511.30899999999997"/>
    <n v="259.26"/>
    <x v="79"/>
    <n v="2.0286095164035567"/>
  </r>
  <r>
    <x v="1"/>
    <s v="VD-0115"/>
    <d v="2025-02-06T00:00:00"/>
    <x v="2"/>
    <x v="1"/>
    <x v="3"/>
    <x v="0"/>
    <x v="2"/>
    <s v="Air Fryer 5L"/>
    <x v="0"/>
    <n v="694.8"/>
    <n v="0.05"/>
    <n v="404.64"/>
    <s v="Concluída"/>
    <n v="694.8"/>
    <n v="34.74"/>
    <n v="660.06"/>
    <n v="404.64"/>
    <x v="80"/>
    <n v="2.5842142353770261"/>
  </r>
  <r>
    <x v="1"/>
    <s v="VD-0069"/>
    <d v="2025-02-07T00:00:00"/>
    <x v="5"/>
    <x v="1"/>
    <x v="0"/>
    <x v="10"/>
    <x v="4"/>
    <s v="Mochila Urban"/>
    <x v="0"/>
    <n v="337.77"/>
    <n v="0.2"/>
    <n v="151.26"/>
    <s v="Concluída"/>
    <n v="337.77"/>
    <n v="67.554000000000002"/>
    <n v="270.21600000000001"/>
    <n v="151.26"/>
    <x v="81"/>
    <n v="2.2715625945727829"/>
  </r>
  <r>
    <x v="1"/>
    <s v="VD-0102"/>
    <d v="2025-02-07T00:00:00"/>
    <x v="5"/>
    <x v="1"/>
    <x v="3"/>
    <x v="4"/>
    <x v="2"/>
    <s v="Air Fryer 5L"/>
    <x v="1"/>
    <n v="663.79"/>
    <n v="0.1"/>
    <n v="373.08"/>
    <s v="Concluída"/>
    <n v="1327.58"/>
    <n v="132.75800000000001"/>
    <n v="1194.8219999999999"/>
    <n v="746.16"/>
    <x v="82"/>
    <n v="2.6630782192385363"/>
  </r>
  <r>
    <x v="1"/>
    <s v="VD-0086"/>
    <d v="2025-02-08T00:00:00"/>
    <x v="6"/>
    <x v="0"/>
    <x v="0"/>
    <x v="2"/>
    <x v="0"/>
    <s v="Creme Facial"/>
    <x v="0"/>
    <n v="145.61000000000001"/>
    <n v="0.1"/>
    <n v="49.66"/>
    <s v="Concluída"/>
    <n v="145.61000000000001"/>
    <n v="14.561000000000002"/>
    <n v="131.04900000000001"/>
    <n v="49.66"/>
    <x v="83"/>
    <n v="1.6101561636093329"/>
  </r>
  <r>
    <x v="1"/>
    <s v="VD-0072"/>
    <d v="2025-02-10T00:00:00"/>
    <x v="4"/>
    <x v="2"/>
    <x v="3"/>
    <x v="7"/>
    <x v="2"/>
    <s v="Panela Pressão 6L"/>
    <x v="1"/>
    <n v="462.24"/>
    <n v="0.03"/>
    <n v="246.19"/>
    <s v="Concluída"/>
    <n v="924.48"/>
    <n v="27.734400000000001"/>
    <n v="896.74559999999997"/>
    <n v="492.38"/>
    <x v="84"/>
    <n v="2.2176604538071487"/>
  </r>
  <r>
    <x v="1"/>
    <s v="VD-0083"/>
    <d v="2025-02-10T00:00:00"/>
    <x v="3"/>
    <x v="2"/>
    <x v="3"/>
    <x v="1"/>
    <x v="4"/>
    <s v="Mochila Urban"/>
    <x v="0"/>
    <n v="310.68"/>
    <n v="0.1"/>
    <n v="144.57"/>
    <s v="Concluída"/>
    <n v="310.68"/>
    <n v="31.068000000000001"/>
    <n v="279.61200000000002"/>
    <n v="144.57"/>
    <x v="85"/>
    <n v="2.0705558270760207"/>
  </r>
  <r>
    <x v="1"/>
    <s v="VD-0090"/>
    <d v="2025-02-10T00:00:00"/>
    <x v="6"/>
    <x v="0"/>
    <x v="3"/>
    <x v="5"/>
    <x v="2"/>
    <s v="Panela Pressão 6L"/>
    <x v="0"/>
    <n v="421.85"/>
    <n v="0.03"/>
    <n v="230.6"/>
    <s v="Concluída"/>
    <n v="421.85"/>
    <n v="12.6555"/>
    <n v="409.19450000000001"/>
    <n v="230.6"/>
    <x v="86"/>
    <n v="2.2911931778414227"/>
  </r>
  <r>
    <x v="1"/>
    <s v="VD-0109"/>
    <d v="2025-02-11T00:00:00"/>
    <x v="3"/>
    <x v="2"/>
    <x v="0"/>
    <x v="5"/>
    <x v="0"/>
    <s v="Creme Facial"/>
    <x v="0"/>
    <n v="153.27000000000001"/>
    <n v="0.05"/>
    <n v="54.66"/>
    <s v="Concluída"/>
    <n v="153.27000000000001"/>
    <n v="7.6635000000000009"/>
    <n v="145.60650000000001"/>
    <n v="54.66"/>
    <x v="87"/>
    <n v="1.6010126832808298"/>
  </r>
  <r>
    <x v="1"/>
    <s v="VD-0129"/>
    <d v="2025-02-11T00:00:00"/>
    <x v="1"/>
    <x v="0"/>
    <x v="2"/>
    <x v="9"/>
    <x v="2"/>
    <s v="Air Fryer 5L"/>
    <x v="0"/>
    <n v="729.46"/>
    <n v="0.1"/>
    <n v="423.8"/>
    <s v="Concluída"/>
    <n v="729.46"/>
    <n v="72.946000000000012"/>
    <n v="656.51400000000001"/>
    <n v="423.8"/>
    <x v="88"/>
    <n v="2.8211194857206703"/>
  </r>
  <r>
    <x v="1"/>
    <s v="VD-0124"/>
    <d v="2025-02-12T00:00:00"/>
    <x v="6"/>
    <x v="0"/>
    <x v="0"/>
    <x v="6"/>
    <x v="1"/>
    <s v="Monitor 27 Ultra"/>
    <x v="1"/>
    <n v="1280.1400000000001"/>
    <n v="0.25"/>
    <n v="880.78"/>
    <s v="Concluída"/>
    <n v="2560.2800000000002"/>
    <n v="640.07000000000005"/>
    <n v="1920.21"/>
    <n v="1761.56"/>
    <x v="89"/>
    <n v="12.103435234793563"/>
  </r>
  <r>
    <x v="1"/>
    <s v="VD-0085"/>
    <d v="2025-02-13T00:00:00"/>
    <x v="1"/>
    <x v="0"/>
    <x v="1"/>
    <x v="8"/>
    <x v="3"/>
    <s v="Bike Urbana"/>
    <x v="0"/>
    <n v="2425.2399999999998"/>
    <n v="0.05"/>
    <n v="1690.53"/>
    <s v="Concluída"/>
    <n v="2425.2399999999998"/>
    <n v="121.262"/>
    <n v="2303.9779999999996"/>
    <n v="1690.53"/>
    <x v="90"/>
    <n v="3.755783701308018"/>
  </r>
  <r>
    <x v="1"/>
    <s v="VD-0094"/>
    <d v="2025-02-14T00:00:00"/>
    <x v="6"/>
    <x v="0"/>
    <x v="0"/>
    <x v="6"/>
    <x v="0"/>
    <s v="Balança Smart"/>
    <x v="0"/>
    <n v="220.39"/>
    <n v="0.1"/>
    <n v="98.17"/>
    <s v="Concluída"/>
    <n v="220.39"/>
    <n v="22.039000000000001"/>
    <n v="198.351"/>
    <n v="98.17"/>
    <x v="91"/>
    <n v="1.9799263333366608"/>
  </r>
  <r>
    <x v="1"/>
    <s v="VD-0117"/>
    <d v="2025-02-14T00:00:00"/>
    <x v="6"/>
    <x v="0"/>
    <x v="1"/>
    <x v="4"/>
    <x v="1"/>
    <s v="Fone Wave"/>
    <x v="0"/>
    <n v="253.59"/>
    <n v="0"/>
    <n v="123.77"/>
    <s v="Concluída"/>
    <n v="253.59"/>
    <n v="0"/>
    <n v="253.59"/>
    <n v="123.77"/>
    <x v="92"/>
    <n v="1.9533970112463412"/>
  </r>
  <r>
    <x v="1"/>
    <s v="VD-0119"/>
    <d v="2025-02-14T00:00:00"/>
    <x v="1"/>
    <x v="0"/>
    <x v="3"/>
    <x v="2"/>
    <x v="0"/>
    <s v="Secador Pro"/>
    <x v="1"/>
    <n v="405.53"/>
    <n v="0.03"/>
    <n v="230.88"/>
    <s v="Concluída"/>
    <n v="811.06"/>
    <n v="24.331799999999998"/>
    <n v="786.7281999999999"/>
    <n v="461.76"/>
    <x v="93"/>
    <n v="2.4209390334192702"/>
  </r>
  <r>
    <x v="1"/>
    <s v="VD-0130"/>
    <d v="2025-02-14T00:00:00"/>
    <x v="3"/>
    <x v="2"/>
    <x v="2"/>
    <x v="3"/>
    <x v="0"/>
    <s v="Secador Pro"/>
    <x v="0"/>
    <n v="398.35"/>
    <n v="0.05"/>
    <n v="227.22"/>
    <s v="Concluída"/>
    <n v="398.35"/>
    <n v="19.917500000000004"/>
    <n v="378.4325"/>
    <n v="227.22"/>
    <x v="94"/>
    <n v="2.5026535504670577"/>
  </r>
  <r>
    <x v="1"/>
    <s v="VD-0122"/>
    <d v="2025-02-15T00:00:00"/>
    <x v="0"/>
    <x v="0"/>
    <x v="1"/>
    <x v="1"/>
    <x v="2"/>
    <s v="Kit Lençol 4p"/>
    <x v="0"/>
    <n v="278.2"/>
    <n v="0.05"/>
    <n v="126.82"/>
    <s v="Concluída"/>
    <n v="278.2"/>
    <n v="13.91"/>
    <n v="264.28999999999996"/>
    <n v="126.82"/>
    <x v="95"/>
    <n v="1.9225285516840038"/>
  </r>
  <r>
    <x v="1"/>
    <s v="VD-0127"/>
    <d v="2025-02-15T00:00:00"/>
    <x v="5"/>
    <x v="1"/>
    <x v="1"/>
    <x v="7"/>
    <x v="2"/>
    <s v="Panela Pressão 6L"/>
    <x v="0"/>
    <n v="479.89"/>
    <n v="0.1"/>
    <n v="274.04000000000002"/>
    <s v="Concluída"/>
    <n v="479.89"/>
    <n v="47.989000000000004"/>
    <n v="431.90099999999995"/>
    <n v="274.04000000000002"/>
    <x v="96"/>
    <n v="2.7359575829368885"/>
  </r>
  <r>
    <x v="1"/>
    <s v="VD-0074"/>
    <d v="2025-02-16T00:00:00"/>
    <x v="4"/>
    <x v="2"/>
    <x v="3"/>
    <x v="3"/>
    <x v="1"/>
    <s v="Fone Wave"/>
    <x v="0"/>
    <n v="261.86"/>
    <n v="0.2"/>
    <n v="124.93"/>
    <s v="Concluída"/>
    <n v="261.86"/>
    <n v="52.372000000000007"/>
    <n v="209.488"/>
    <n v="124.93"/>
    <x v="97"/>
    <n v="2.477447432531517"/>
  </r>
  <r>
    <x v="1"/>
    <s v="VD-0078"/>
    <d v="2025-02-16T00:00:00"/>
    <x v="2"/>
    <x v="1"/>
    <x v="1"/>
    <x v="7"/>
    <x v="3"/>
    <s v="Bike Urbana"/>
    <x v="0"/>
    <n v="2262.98"/>
    <n v="0.05"/>
    <n v="1595.58"/>
    <s v="Devolvida"/>
    <n v="2262.98"/>
    <n v="113.149"/>
    <n v="0"/>
    <n v="0"/>
    <x v="2"/>
    <s v="sem Valor"/>
  </r>
  <r>
    <x v="1"/>
    <s v="VD-0101"/>
    <d v="2025-02-16T00:00:00"/>
    <x v="1"/>
    <x v="0"/>
    <x v="0"/>
    <x v="3"/>
    <x v="3"/>
    <s v="Halteres 10kg"/>
    <x v="0"/>
    <n v="386.22"/>
    <n v="0.05"/>
    <n v="223.56"/>
    <s v="Concluída"/>
    <n v="386.22"/>
    <n v="19.311000000000003"/>
    <n v="366.90900000000005"/>
    <n v="223.56"/>
    <x v="98"/>
    <n v="2.5595504677395722"/>
  </r>
  <r>
    <x v="1"/>
    <s v="VD-0104"/>
    <d v="2025-02-16T00:00:00"/>
    <x v="1"/>
    <x v="0"/>
    <x v="0"/>
    <x v="4"/>
    <x v="1"/>
    <s v="Fone Wave"/>
    <x v="0"/>
    <n v="235.19"/>
    <n v="0.1"/>
    <n v="117.22"/>
    <s v="Concluída"/>
    <n v="235.19"/>
    <n v="23.519000000000002"/>
    <n v="211.67099999999999"/>
    <n v="117.22"/>
    <x v="99"/>
    <n v="2.2410667965400051"/>
  </r>
  <r>
    <x v="1"/>
    <s v="VD-0106"/>
    <d v="2025-02-16T00:00:00"/>
    <x v="2"/>
    <x v="1"/>
    <x v="3"/>
    <x v="1"/>
    <x v="0"/>
    <s v="Secador Pro"/>
    <x v="1"/>
    <n v="429.79"/>
    <n v="0.03"/>
    <n v="229.96"/>
    <s v="Concluída"/>
    <n v="859.58"/>
    <n v="25.787400000000002"/>
    <n v="833.79259999999999"/>
    <n v="459.92"/>
    <x v="100"/>
    <n v="2.2301516612878292"/>
  </r>
  <r>
    <x v="1"/>
    <s v="VD-0091"/>
    <d v="2025-02-17T00:00:00"/>
    <x v="4"/>
    <x v="2"/>
    <x v="1"/>
    <x v="1"/>
    <x v="3"/>
    <s v="Halteres 10kg"/>
    <x v="0"/>
    <n v="383.49"/>
    <n v="0.15"/>
    <n v="215.52"/>
    <s v="Devolvida"/>
    <n v="383.49"/>
    <n v="57.523499999999999"/>
    <n v="0"/>
    <n v="0"/>
    <x v="2"/>
    <s v="sem Valor"/>
  </r>
  <r>
    <x v="1"/>
    <s v="VD-0108"/>
    <d v="2025-02-17T00:00:00"/>
    <x v="5"/>
    <x v="1"/>
    <x v="1"/>
    <x v="10"/>
    <x v="2"/>
    <s v="Kit Lençol 4p"/>
    <x v="1"/>
    <n v="302.11"/>
    <n v="0.05"/>
    <n v="130.43"/>
    <s v="Concluída"/>
    <n v="604.22"/>
    <n v="30.211000000000002"/>
    <n v="574.00900000000001"/>
    <n v="260.86"/>
    <x v="101"/>
    <n v="1.8330219799520358"/>
  </r>
  <r>
    <x v="1"/>
    <s v="VD-0111"/>
    <d v="2025-02-17T00:00:00"/>
    <x v="6"/>
    <x v="0"/>
    <x v="1"/>
    <x v="8"/>
    <x v="0"/>
    <s v="Creme Facial"/>
    <x v="0"/>
    <n v="158.69"/>
    <n v="0.15"/>
    <n v="54.12"/>
    <s v="Concluída"/>
    <n v="158.69"/>
    <n v="23.8035"/>
    <n v="134.88650000000001"/>
    <n v="54.12"/>
    <x v="102"/>
    <n v="1.6700797979360253"/>
  </r>
  <r>
    <x v="1"/>
    <s v="VD-0113"/>
    <d v="2025-02-17T00:00:00"/>
    <x v="5"/>
    <x v="1"/>
    <x v="2"/>
    <x v="9"/>
    <x v="0"/>
    <s v="Balança Smart"/>
    <x v="0"/>
    <n v="237.06"/>
    <n v="0.12"/>
    <n v="98.68"/>
    <s v="Concluída"/>
    <n v="237.06"/>
    <n v="28.447199999999999"/>
    <n v="208.61279999999999"/>
    <n v="98.68"/>
    <x v="103"/>
    <n v="1.8976392850905281"/>
  </r>
  <r>
    <x v="1"/>
    <s v="VD-0076"/>
    <d v="2025-02-18T00:00:00"/>
    <x v="2"/>
    <x v="1"/>
    <x v="1"/>
    <x v="10"/>
    <x v="2"/>
    <s v="Tapete Sala"/>
    <x v="1"/>
    <n v="561.46"/>
    <n v="0.05"/>
    <n v="297.75"/>
    <s v="Concluída"/>
    <n v="1122.92"/>
    <n v="56.146000000000008"/>
    <n v="1066.7740000000001"/>
    <n v="595.5"/>
    <x v="104"/>
    <n v="2.2635961245475027"/>
  </r>
  <r>
    <x v="1"/>
    <s v="VD-0097"/>
    <d v="2025-02-18T00:00:00"/>
    <x v="2"/>
    <x v="1"/>
    <x v="3"/>
    <x v="1"/>
    <x v="0"/>
    <s v="Creme Facial"/>
    <x v="0"/>
    <n v="139.11000000000001"/>
    <n v="0.05"/>
    <n v="47.86"/>
    <s v="Concluída"/>
    <n v="139.11000000000001"/>
    <n v="6.9555000000000007"/>
    <n v="132.15450000000001"/>
    <n v="47.86"/>
    <x v="105"/>
    <n v="1.5677713255313217"/>
  </r>
  <r>
    <x v="1"/>
    <s v="VD-0096"/>
    <d v="2025-02-19T00:00:00"/>
    <x v="0"/>
    <x v="0"/>
    <x v="1"/>
    <x v="9"/>
    <x v="0"/>
    <s v="Secador Pro"/>
    <x v="1"/>
    <n v="446.21"/>
    <n v="0.1"/>
    <n v="243.91"/>
    <s v="Concluída"/>
    <n v="892.42"/>
    <n v="89.242000000000004"/>
    <n v="803.178"/>
    <n v="487.82"/>
    <x v="106"/>
    <n v="2.5468768827808397"/>
  </r>
  <r>
    <x v="1"/>
    <s v="VD-0077"/>
    <d v="2025-02-20T00:00:00"/>
    <x v="3"/>
    <x v="2"/>
    <x v="3"/>
    <x v="9"/>
    <x v="0"/>
    <s v="Creme Facial"/>
    <x v="0"/>
    <n v="148.72999999999999"/>
    <n v="0.05"/>
    <n v="53.15"/>
    <s v="Concluída"/>
    <n v="148.72999999999999"/>
    <n v="7.4364999999999997"/>
    <n v="141.29349999999999"/>
    <n v="53.15"/>
    <x v="107"/>
    <n v="1.6029939814053222"/>
  </r>
  <r>
    <x v="1"/>
    <s v="VD-0080"/>
    <d v="2025-02-20T00:00:00"/>
    <x v="6"/>
    <x v="0"/>
    <x v="1"/>
    <x v="10"/>
    <x v="1"/>
    <s v="Fone Wave"/>
    <x v="0"/>
    <n v="241.04"/>
    <n v="0.1"/>
    <n v="119.12"/>
    <s v="Concluída"/>
    <n v="241.04"/>
    <n v="24.103999999999999"/>
    <n v="216.93599999999998"/>
    <n v="119.12"/>
    <x v="108"/>
    <n v="2.2177966794798403"/>
  </r>
  <r>
    <x v="1"/>
    <s v="VD-0084"/>
    <d v="2025-02-20T00:00:00"/>
    <x v="3"/>
    <x v="2"/>
    <x v="3"/>
    <x v="1"/>
    <x v="1"/>
    <s v="Mouse Pro"/>
    <x v="0"/>
    <n v="194.36"/>
    <n v="0.15"/>
    <n v="90.29"/>
    <s v="Concluída"/>
    <n v="194.36"/>
    <n v="29.154"/>
    <n v="165.20600000000002"/>
    <n v="90.29"/>
    <x v="109"/>
    <n v="2.2052165091569225"/>
  </r>
  <r>
    <x v="1"/>
    <s v="VD-0092"/>
    <d v="2025-02-20T00:00:00"/>
    <x v="3"/>
    <x v="2"/>
    <x v="0"/>
    <x v="11"/>
    <x v="3"/>
    <s v="Halteres 10kg"/>
    <x v="1"/>
    <n v="367.29"/>
    <n v="0.1"/>
    <n v="212.65"/>
    <s v="Concluída"/>
    <n v="734.58"/>
    <n v="73.458000000000013"/>
    <n v="661.12200000000007"/>
    <n v="425.3"/>
    <x v="110"/>
    <n v="2.8034788950988454"/>
  </r>
  <r>
    <x v="1"/>
    <s v="VD-0079"/>
    <d v="2025-02-21T00:00:00"/>
    <x v="1"/>
    <x v="0"/>
    <x v="0"/>
    <x v="2"/>
    <x v="2"/>
    <s v="Tapete Sala"/>
    <x v="0"/>
    <n v="494.77"/>
    <n v="0.2"/>
    <n v="251.54"/>
    <s v="Concluída"/>
    <n v="494.77"/>
    <n v="98.954000000000008"/>
    <n v="395.81599999999997"/>
    <n v="251.54"/>
    <x v="111"/>
    <n v="2.7434639163824892"/>
  </r>
  <r>
    <x v="1"/>
    <s v="VD-0099"/>
    <d v="2025-02-21T00:00:00"/>
    <x v="2"/>
    <x v="1"/>
    <x v="1"/>
    <x v="11"/>
    <x v="4"/>
    <s v="Relógio Fit"/>
    <x v="1"/>
    <n v="649.41"/>
    <n v="0.05"/>
    <n v="318.74"/>
    <s v="Concluída"/>
    <n v="1298.82"/>
    <n v="64.941000000000003"/>
    <n v="1233.8789999999999"/>
    <n v="637.48"/>
    <x v="112"/>
    <n v="2.068881738567637"/>
  </r>
  <r>
    <x v="1"/>
    <s v="VD-0110"/>
    <d v="2025-02-21T00:00:00"/>
    <x v="4"/>
    <x v="2"/>
    <x v="3"/>
    <x v="0"/>
    <x v="0"/>
    <s v="Balança Smart"/>
    <x v="0"/>
    <n v="242.57"/>
    <n v="0.15"/>
    <n v="101.18"/>
    <s v="Concluída"/>
    <n v="242.57"/>
    <n v="36.3855"/>
    <n v="206.18449999999999"/>
    <n v="101.18"/>
    <x v="113"/>
    <n v="1.9635777514297008"/>
  </r>
  <r>
    <x v="1"/>
    <s v="VD-0071"/>
    <d v="2025-02-22T00:00:00"/>
    <x v="5"/>
    <x v="1"/>
    <x v="1"/>
    <x v="0"/>
    <x v="2"/>
    <s v="Cadeira Escritório"/>
    <x v="2"/>
    <n v="1249.9000000000001"/>
    <n v="0.05"/>
    <n v="894.13"/>
    <s v="Concluída"/>
    <n v="3749.7000000000003"/>
    <n v="187.48500000000001"/>
    <n v="3562.2150000000001"/>
    <n v="2682.39"/>
    <x v="114"/>
    <n v="4.0487767453755001"/>
  </r>
  <r>
    <x v="1"/>
    <s v="VD-0107"/>
    <d v="2025-02-22T00:00:00"/>
    <x v="5"/>
    <x v="1"/>
    <x v="3"/>
    <x v="3"/>
    <x v="1"/>
    <s v="Notebook Nova 14"/>
    <x v="0"/>
    <n v="3750.3"/>
    <n v="0.1"/>
    <n v="2941.89"/>
    <s v="Concluída"/>
    <n v="3750.3"/>
    <n v="375.03000000000003"/>
    <n v="3375.27"/>
    <n v="2941.89"/>
    <x v="115"/>
    <n v="7.7882458812127906"/>
  </r>
  <r>
    <x v="1"/>
    <s v="VD-0123"/>
    <d v="2025-02-22T00:00:00"/>
    <x v="1"/>
    <x v="0"/>
    <x v="3"/>
    <x v="5"/>
    <x v="2"/>
    <s v="Tapete Sala"/>
    <x v="0"/>
    <n v="498.02"/>
    <n v="0.05"/>
    <n v="267.45999999999998"/>
    <s v="Concluída"/>
    <n v="498.02"/>
    <n v="24.901"/>
    <n v="473.11899999999997"/>
    <n v="267.45999999999998"/>
    <x v="116"/>
    <n v="2.3005022877676153"/>
  </r>
  <r>
    <x v="1"/>
    <s v="VD-0088"/>
    <d v="2025-02-23T00:00:00"/>
    <x v="7"/>
    <x v="3"/>
    <x v="3"/>
    <x v="10"/>
    <x v="3"/>
    <s v="Bike Urbana"/>
    <x v="1"/>
    <n v="2111.33"/>
    <n v="0.03"/>
    <n v="1466.03"/>
    <s v="Concluída"/>
    <n v="4222.66"/>
    <n v="126.67979999999999"/>
    <n v="4095.9802"/>
    <n v="2932.06"/>
    <x v="117"/>
    <n v="3.5191245929059396"/>
  </r>
  <r>
    <x v="1"/>
    <s v="VD-0073"/>
    <d v="2025-02-24T00:00:00"/>
    <x v="7"/>
    <x v="3"/>
    <x v="0"/>
    <x v="5"/>
    <x v="1"/>
    <s v="Fone Wave"/>
    <x v="0"/>
    <n v="260.91000000000003"/>
    <n v="0.05"/>
    <n v="122.28"/>
    <s v="Concluída"/>
    <n v="260.91000000000003"/>
    <n v="13.045500000000002"/>
    <n v="247.86450000000002"/>
    <n v="122.28"/>
    <x v="118"/>
    <n v="1.973687039403748"/>
  </r>
  <r>
    <x v="1"/>
    <s v="VD-0095"/>
    <d v="2025-02-24T00:00:00"/>
    <x v="5"/>
    <x v="1"/>
    <x v="0"/>
    <x v="1"/>
    <x v="1"/>
    <s v="Monitor 27 Ultra"/>
    <x v="0"/>
    <n v="1224.17"/>
    <n v="0.15"/>
    <n v="860.94"/>
    <s v="Concluída"/>
    <n v="1224.17"/>
    <n v="183.62550000000002"/>
    <n v="1040.5445"/>
    <n v="860.94"/>
    <x v="119"/>
    <n v="5.7935324560353472"/>
  </r>
  <r>
    <x v="1"/>
    <s v="VD-0105"/>
    <d v="2025-02-24T00:00:00"/>
    <x v="4"/>
    <x v="2"/>
    <x v="1"/>
    <x v="5"/>
    <x v="2"/>
    <s v="Cadeira Escritório"/>
    <x v="1"/>
    <n v="1218.8800000000001"/>
    <n v="0.05"/>
    <n v="891.67"/>
    <s v="Concluída"/>
    <n v="2437.7600000000002"/>
    <n v="121.88800000000002"/>
    <n v="2315.8720000000003"/>
    <n v="1783.34"/>
    <x v="120"/>
    <n v="4.348794063079775"/>
  </r>
  <r>
    <x v="1"/>
    <s v="VD-0116"/>
    <d v="2025-02-24T00:00:00"/>
    <x v="4"/>
    <x v="2"/>
    <x v="2"/>
    <x v="8"/>
    <x v="1"/>
    <s v="Notebook Nova 14"/>
    <x v="0"/>
    <n v="3849.48"/>
    <n v="0"/>
    <n v="2925.88"/>
    <s v="Concluída"/>
    <n v="3849.48"/>
    <n v="0"/>
    <n v="3849.48"/>
    <n v="2925.88"/>
    <x v="121"/>
    <n v="4.1679081853616289"/>
  </r>
  <r>
    <x v="1"/>
    <s v="VD-0126"/>
    <d v="2025-02-24T00:00:00"/>
    <x v="2"/>
    <x v="1"/>
    <x v="1"/>
    <x v="9"/>
    <x v="0"/>
    <s v="Creme Facial"/>
    <x v="0"/>
    <n v="158.88999999999999"/>
    <n v="0"/>
    <n v="53.57"/>
    <s v="Concluída"/>
    <n v="158.88999999999999"/>
    <n v="0"/>
    <n v="158.88999999999999"/>
    <n v="53.57"/>
    <x v="122"/>
    <n v="1.5086403342195214"/>
  </r>
  <r>
    <x v="1"/>
    <s v="VD-0098"/>
    <d v="2025-02-26T00:00:00"/>
    <x v="6"/>
    <x v="0"/>
    <x v="1"/>
    <x v="5"/>
    <x v="1"/>
    <s v="Notebook Nova 14"/>
    <x v="0"/>
    <n v="3728.91"/>
    <n v="0.08"/>
    <n v="2879.71"/>
    <s v="Concluída"/>
    <n v="3728.91"/>
    <n v="298.31279999999998"/>
    <n v="3430.5971999999997"/>
    <n v="2879.71"/>
    <x v="123"/>
    <n v="6.227404085627696"/>
  </r>
  <r>
    <x v="1"/>
    <s v="VD-0114"/>
    <d v="2025-02-28T00:00:00"/>
    <x v="4"/>
    <x v="2"/>
    <x v="1"/>
    <x v="11"/>
    <x v="2"/>
    <s v="Panela Pressão 6L"/>
    <x v="1"/>
    <n v="461.89"/>
    <n v="0.15"/>
    <n v="254.28"/>
    <s v="Concluída"/>
    <n v="923.78"/>
    <n v="138.56699999999998"/>
    <n v="785.21299999999997"/>
    <n v="508.56"/>
    <x v="124"/>
    <n v="2.8382594802875807"/>
  </r>
  <r>
    <x v="1"/>
    <s v="VD-0120"/>
    <d v="2025-02-28T00:00:00"/>
    <x v="4"/>
    <x v="2"/>
    <x v="3"/>
    <x v="8"/>
    <x v="1"/>
    <s v="Monitor 27 Ultra"/>
    <x v="1"/>
    <n v="1228.19"/>
    <n v="0.2"/>
    <n v="878.36"/>
    <s v="Concluída"/>
    <n v="2456.38"/>
    <n v="491.27600000000007"/>
    <n v="1965.104"/>
    <n v="1756.72"/>
    <x v="125"/>
    <n v="9.4302057739557732"/>
  </r>
  <r>
    <x v="2"/>
    <s v="VD-0133"/>
    <d v="2025-03-01T00:00:00"/>
    <x v="7"/>
    <x v="3"/>
    <x v="1"/>
    <x v="1"/>
    <x v="4"/>
    <s v="Relógio Fit"/>
    <x v="1"/>
    <n v="718.24"/>
    <n v="0.05"/>
    <n v="334.89"/>
    <s v="Concluída"/>
    <n v="1436.48"/>
    <n v="71.823999999999998"/>
    <n v="1364.6559999999999"/>
    <n v="669.78"/>
    <x v="126"/>
    <n v="1.9638842038003903"/>
  </r>
  <r>
    <x v="2"/>
    <s v="VD-0136"/>
    <d v="2025-03-02T00:00:00"/>
    <x v="2"/>
    <x v="1"/>
    <x v="1"/>
    <x v="0"/>
    <x v="2"/>
    <s v="Cadeira Escritório"/>
    <x v="0"/>
    <n v="1161.1199999999999"/>
    <n v="0"/>
    <n v="823.33"/>
    <s v="Concluída"/>
    <n v="1161.1199999999999"/>
    <n v="0"/>
    <n v="1161.1199999999999"/>
    <n v="823.33"/>
    <x v="127"/>
    <n v="3.437401936114155"/>
  </r>
  <r>
    <x v="2"/>
    <s v="VD-0139"/>
    <d v="2025-03-02T00:00:00"/>
    <x v="6"/>
    <x v="0"/>
    <x v="1"/>
    <x v="9"/>
    <x v="0"/>
    <s v="Secador Pro"/>
    <x v="1"/>
    <n v="424.86"/>
    <n v="0.08"/>
    <n v="229.66"/>
    <s v="Concluída"/>
    <n v="849.72"/>
    <n v="67.97760000000001"/>
    <n v="781.74239999999998"/>
    <n v="459.32"/>
    <x v="128"/>
    <n v="2.4245908472860447"/>
  </r>
  <r>
    <x v="2"/>
    <s v="VD-0151"/>
    <d v="2025-03-02T00:00:00"/>
    <x v="6"/>
    <x v="0"/>
    <x v="3"/>
    <x v="9"/>
    <x v="3"/>
    <s v="Bike Urbana"/>
    <x v="0"/>
    <n v="2292.4299999999998"/>
    <n v="0.05"/>
    <n v="1572.4"/>
    <s v="Concluída"/>
    <n v="2292.4299999999998"/>
    <n v="114.6215"/>
    <n v="2177.8084999999996"/>
    <n v="1572.4"/>
    <x v="129"/>
    <n v="3.5972545809977912"/>
  </r>
  <r>
    <x v="2"/>
    <s v="VD-0168"/>
    <d v="2025-03-02T00:00:00"/>
    <x v="2"/>
    <x v="1"/>
    <x v="3"/>
    <x v="2"/>
    <x v="1"/>
    <s v="Notebook Nova 14"/>
    <x v="0"/>
    <n v="3884.98"/>
    <n v="0.2"/>
    <n v="3001.19"/>
    <s v="Concluída"/>
    <n v="3884.98"/>
    <n v="776.99600000000009"/>
    <n v="3107.9839999999999"/>
    <n v="3001.19"/>
    <x v="130"/>
    <n v="29.102608760791838"/>
  </r>
  <r>
    <x v="2"/>
    <s v="VD-0169"/>
    <d v="2025-03-02T00:00:00"/>
    <x v="7"/>
    <x v="3"/>
    <x v="1"/>
    <x v="2"/>
    <x v="3"/>
    <s v="Colchonete Pro"/>
    <x v="0"/>
    <n v="148.51"/>
    <n v="0.05"/>
    <n v="58.65"/>
    <s v="Concluída"/>
    <n v="148.51"/>
    <n v="7.4254999999999995"/>
    <n v="141.08449999999999"/>
    <n v="58.65"/>
    <x v="131"/>
    <n v="1.7114739581121983"/>
  </r>
  <r>
    <x v="2"/>
    <s v="VD-0163"/>
    <d v="2025-03-04T00:00:00"/>
    <x v="0"/>
    <x v="0"/>
    <x v="1"/>
    <x v="5"/>
    <x v="1"/>
    <s v="Notebook Nova 14"/>
    <x v="0"/>
    <n v="4133.1099999999997"/>
    <n v="0"/>
    <n v="3177.07"/>
    <s v="Concluída"/>
    <n v="4133.1099999999997"/>
    <n v="0"/>
    <n v="4133.1099999999997"/>
    <n v="3177.07"/>
    <x v="132"/>
    <n v="4.3231559348981232"/>
  </r>
  <r>
    <x v="2"/>
    <s v="VD-0155"/>
    <d v="2025-03-05T00:00:00"/>
    <x v="0"/>
    <x v="0"/>
    <x v="3"/>
    <x v="1"/>
    <x v="0"/>
    <s v="Balança Smart"/>
    <x v="0"/>
    <n v="236.61"/>
    <n v="0.2"/>
    <n v="102.17"/>
    <s v="Concluída"/>
    <n v="236.61"/>
    <n v="47.322000000000003"/>
    <n v="189.28800000000001"/>
    <n v="102.17"/>
    <x v="133"/>
    <n v="2.1727771528271997"/>
  </r>
  <r>
    <x v="2"/>
    <s v="VD-0165"/>
    <d v="2025-03-05T00:00:00"/>
    <x v="7"/>
    <x v="3"/>
    <x v="3"/>
    <x v="4"/>
    <x v="3"/>
    <s v="Halteres 10kg"/>
    <x v="0"/>
    <n v="373.25"/>
    <n v="0.05"/>
    <n v="216.14"/>
    <s v="Concluída"/>
    <n v="373.25"/>
    <n v="18.662500000000001"/>
    <n v="354.58749999999998"/>
    <n v="216.14"/>
    <x v="134"/>
    <n v="2.5611693963415734"/>
  </r>
  <r>
    <x v="2"/>
    <s v="VD-0176"/>
    <d v="2025-03-06T00:00:00"/>
    <x v="4"/>
    <x v="2"/>
    <x v="3"/>
    <x v="5"/>
    <x v="4"/>
    <s v="Relógio Fit"/>
    <x v="0"/>
    <n v="674.71"/>
    <n v="0.03"/>
    <n v="325.35000000000002"/>
    <s v="Concluída"/>
    <n v="674.71"/>
    <n v="20.241299999999999"/>
    <n v="654.46870000000001"/>
    <n v="325.35000000000002"/>
    <x v="135"/>
    <n v="1.9885491161699411"/>
  </r>
  <r>
    <x v="2"/>
    <s v="VD-0190"/>
    <d v="2025-03-06T00:00:00"/>
    <x v="7"/>
    <x v="3"/>
    <x v="3"/>
    <x v="3"/>
    <x v="2"/>
    <s v="Cadeira Escritório"/>
    <x v="1"/>
    <n v="1127.47"/>
    <n v="0.05"/>
    <n v="799.52"/>
    <s v="Devolvida"/>
    <n v="2254.94"/>
    <n v="112.74700000000001"/>
    <n v="0"/>
    <n v="0"/>
    <x v="2"/>
    <s v="sem Valor"/>
  </r>
  <r>
    <x v="2"/>
    <s v="VD-0199"/>
    <d v="2025-03-07T00:00:00"/>
    <x v="5"/>
    <x v="1"/>
    <x v="2"/>
    <x v="1"/>
    <x v="0"/>
    <s v="Creme Facial"/>
    <x v="1"/>
    <n v="149.54"/>
    <n v="0"/>
    <n v="51.9"/>
    <s v="Concluída"/>
    <n v="299.08"/>
    <n v="0"/>
    <n v="299.08"/>
    <n v="103.8"/>
    <x v="136"/>
    <n v="1.531544448996313"/>
  </r>
  <r>
    <x v="2"/>
    <s v="VD-0135"/>
    <d v="2025-03-08T00:00:00"/>
    <x v="3"/>
    <x v="2"/>
    <x v="3"/>
    <x v="9"/>
    <x v="2"/>
    <s v="Air Fryer 5L"/>
    <x v="1"/>
    <n v="681.94"/>
    <n v="0.2"/>
    <n v="385.79"/>
    <s v="Concluída"/>
    <n v="1363.88"/>
    <n v="272.77600000000001"/>
    <n v="1091.104"/>
    <n v="771.58"/>
    <x v="137"/>
    <n v="3.4147794844831689"/>
  </r>
  <r>
    <x v="2"/>
    <s v="VD-0166"/>
    <d v="2025-03-08T00:00:00"/>
    <x v="1"/>
    <x v="0"/>
    <x v="0"/>
    <x v="10"/>
    <x v="1"/>
    <s v="Notebook Nova 14"/>
    <x v="0"/>
    <n v="3846.33"/>
    <n v="0.05"/>
    <n v="3046.5"/>
    <s v="Concluída"/>
    <n v="3846.33"/>
    <n v="192.31650000000002"/>
    <n v="3654.0135"/>
    <n v="3046.5"/>
    <x v="138"/>
    <n v="6.0147033769619931"/>
  </r>
  <r>
    <x v="2"/>
    <s v="VD-0194"/>
    <d v="2025-03-08T00:00:00"/>
    <x v="2"/>
    <x v="1"/>
    <x v="3"/>
    <x v="6"/>
    <x v="4"/>
    <s v="Relógio Fit"/>
    <x v="0"/>
    <n v="653.21"/>
    <n v="0.2"/>
    <n v="322.08"/>
    <s v="Concluída"/>
    <n v="653.21"/>
    <n v="130.64200000000002"/>
    <n v="522.56799999999998"/>
    <n v="322.08"/>
    <x v="139"/>
    <n v="2.6064801883404494"/>
  </r>
  <r>
    <x v="2"/>
    <s v="VD-0186"/>
    <d v="2025-03-09T00:00:00"/>
    <x v="2"/>
    <x v="1"/>
    <x v="0"/>
    <x v="7"/>
    <x v="4"/>
    <s v="Óculos Sol"/>
    <x v="0"/>
    <n v="355.7"/>
    <n v="0.25"/>
    <n v="154.94999999999999"/>
    <s v="Concluída"/>
    <n v="355.7"/>
    <n v="88.924999999999997"/>
    <n v="266.77499999999998"/>
    <n v="154.94999999999999"/>
    <x v="140"/>
    <n v="2.385647216633132"/>
  </r>
  <r>
    <x v="2"/>
    <s v="VD-0200"/>
    <d v="2025-03-09T00:00:00"/>
    <x v="6"/>
    <x v="0"/>
    <x v="3"/>
    <x v="1"/>
    <x v="2"/>
    <s v="Panela Pressão 6L"/>
    <x v="0"/>
    <n v="438.16"/>
    <n v="0.05"/>
    <n v="240.29"/>
    <s v="Concluída"/>
    <n v="438.16"/>
    <n v="21.908000000000001"/>
    <n v="416.25200000000001"/>
    <n v="240.29"/>
    <x v="141"/>
    <n v="2.3655789318148233"/>
  </r>
  <r>
    <x v="2"/>
    <s v="VD-0164"/>
    <d v="2025-03-10T00:00:00"/>
    <x v="4"/>
    <x v="2"/>
    <x v="2"/>
    <x v="10"/>
    <x v="2"/>
    <s v="Cadeira Escritório"/>
    <x v="0"/>
    <n v="1158.8"/>
    <n v="0"/>
    <n v="877.16"/>
    <s v="Devolvida"/>
    <n v="1158.8"/>
    <n v="0"/>
    <n v="0"/>
    <n v="0"/>
    <x v="2"/>
    <s v="sem Valor"/>
  </r>
  <r>
    <x v="2"/>
    <s v="VD-0171"/>
    <d v="2025-03-10T00:00:00"/>
    <x v="3"/>
    <x v="2"/>
    <x v="3"/>
    <x v="11"/>
    <x v="2"/>
    <s v="Air Fryer 5L"/>
    <x v="0"/>
    <n v="674.3"/>
    <n v="0.05"/>
    <n v="371.85"/>
    <s v="Concluída"/>
    <n v="674.3"/>
    <n v="33.714999999999996"/>
    <n v="640.58499999999992"/>
    <n v="371.85"/>
    <x v="142"/>
    <n v="2.3837051370309048"/>
  </r>
  <r>
    <x v="2"/>
    <s v="VD-0175"/>
    <d v="2025-03-10T00:00:00"/>
    <x v="3"/>
    <x v="2"/>
    <x v="3"/>
    <x v="6"/>
    <x v="2"/>
    <s v="Cadeira Escritório"/>
    <x v="0"/>
    <n v="1205.47"/>
    <n v="0.2"/>
    <n v="879.89"/>
    <s v="Concluída"/>
    <n v="1205.47"/>
    <n v="241.09400000000002"/>
    <n v="964.37599999999998"/>
    <n v="879.89"/>
    <x v="143"/>
    <n v="11.414624908268827"/>
  </r>
  <r>
    <x v="2"/>
    <s v="VD-0159"/>
    <d v="2025-03-11T00:00:00"/>
    <x v="0"/>
    <x v="0"/>
    <x v="3"/>
    <x v="10"/>
    <x v="2"/>
    <s v="Air Fryer 5L"/>
    <x v="1"/>
    <n v="694.83"/>
    <n v="0.03"/>
    <n v="408.2"/>
    <s v="Concluída"/>
    <n v="1389.66"/>
    <n v="41.689799999999998"/>
    <n v="1347.9702"/>
    <n v="816.4"/>
    <x v="144"/>
    <n v="2.5358272529197459"/>
  </r>
  <r>
    <x v="2"/>
    <s v="VD-0172"/>
    <d v="2025-03-12T00:00:00"/>
    <x v="2"/>
    <x v="1"/>
    <x v="3"/>
    <x v="3"/>
    <x v="1"/>
    <s v="Notebook Nova 14"/>
    <x v="1"/>
    <n v="4141.63"/>
    <n v="0.2"/>
    <n v="3226.35"/>
    <s v="Concluída"/>
    <n v="8283.26"/>
    <n v="1656.652"/>
    <n v="6626.6080000000002"/>
    <n v="6452.7"/>
    <x v="145"/>
    <n v="38.10410101892947"/>
  </r>
  <r>
    <x v="2"/>
    <s v="VD-0189"/>
    <d v="2025-03-12T00:00:00"/>
    <x v="4"/>
    <x v="2"/>
    <x v="1"/>
    <x v="11"/>
    <x v="2"/>
    <s v="Kit Lençol 4p"/>
    <x v="0"/>
    <n v="301.44"/>
    <n v="0.1"/>
    <n v="131.41999999999999"/>
    <s v="Concluída"/>
    <n v="301.44"/>
    <n v="30.144000000000002"/>
    <n v="271.29599999999999"/>
    <n v="131.41999999999999"/>
    <x v="146"/>
    <n v="1.9395464554319539"/>
  </r>
  <r>
    <x v="2"/>
    <s v="VD-0146"/>
    <d v="2025-03-13T00:00:00"/>
    <x v="5"/>
    <x v="1"/>
    <x v="1"/>
    <x v="5"/>
    <x v="4"/>
    <s v="Relógio Fit"/>
    <x v="0"/>
    <n v="746.25"/>
    <n v="0.1"/>
    <n v="368.44"/>
    <s v="Concluída"/>
    <n v="746.25"/>
    <n v="74.625"/>
    <n v="671.625"/>
    <n v="368.44"/>
    <x v="147"/>
    <n v="2.2152316242558174"/>
  </r>
  <r>
    <x v="2"/>
    <s v="VD-0173"/>
    <d v="2025-03-14T00:00:00"/>
    <x v="0"/>
    <x v="0"/>
    <x v="1"/>
    <x v="4"/>
    <x v="4"/>
    <s v="Relógio Fit"/>
    <x v="0"/>
    <n v="665.45"/>
    <n v="0.15"/>
    <n v="318.44"/>
    <s v="Concluída"/>
    <n v="665.45"/>
    <n v="99.81750000000001"/>
    <n v="565.63250000000005"/>
    <n v="318.44"/>
    <x v="148"/>
    <n v="2.2882267868159429"/>
  </r>
  <r>
    <x v="2"/>
    <s v="VD-0188"/>
    <d v="2025-03-14T00:00:00"/>
    <x v="6"/>
    <x v="0"/>
    <x v="3"/>
    <x v="9"/>
    <x v="2"/>
    <s v="Panela Pressão 6L"/>
    <x v="0"/>
    <n v="484.88"/>
    <n v="0.1"/>
    <n v="266.35000000000002"/>
    <s v="Concluída"/>
    <n v="484.88"/>
    <n v="48.488"/>
    <n v="436.392"/>
    <n v="266.35000000000002"/>
    <x v="149"/>
    <n v="2.5663777184460312"/>
  </r>
  <r>
    <x v="2"/>
    <s v="VD-0195"/>
    <d v="2025-03-14T00:00:00"/>
    <x v="5"/>
    <x v="1"/>
    <x v="3"/>
    <x v="4"/>
    <x v="2"/>
    <s v="Tapete Sala"/>
    <x v="1"/>
    <n v="515.1"/>
    <n v="0.15"/>
    <n v="268.51"/>
    <s v="Concluída"/>
    <n v="1030.2"/>
    <n v="154.53"/>
    <n v="875.67000000000007"/>
    <n v="537.02"/>
    <x v="150"/>
    <n v="2.5857670160933113"/>
  </r>
  <r>
    <x v="2"/>
    <s v="VD-0144"/>
    <d v="2025-03-15T00:00:00"/>
    <x v="7"/>
    <x v="3"/>
    <x v="0"/>
    <x v="4"/>
    <x v="1"/>
    <s v="Monitor 27 Ultra"/>
    <x v="1"/>
    <n v="1360.51"/>
    <n v="0.1"/>
    <n v="962.99"/>
    <s v="Concluída"/>
    <n v="2721.02"/>
    <n v="272.10200000000003"/>
    <n v="2448.9180000000001"/>
    <n v="1925.98"/>
    <x v="151"/>
    <n v="4.6829987493737297"/>
  </r>
  <r>
    <x v="2"/>
    <s v="VD-0161"/>
    <d v="2025-03-15T00:00:00"/>
    <x v="4"/>
    <x v="2"/>
    <x v="1"/>
    <x v="11"/>
    <x v="3"/>
    <s v="Colchonete Pro"/>
    <x v="0"/>
    <n v="143.47999999999999"/>
    <n v="0.08"/>
    <n v="57.87"/>
    <s v="Concluída"/>
    <n v="143.47999999999999"/>
    <n v="11.478399999999999"/>
    <n v="132.0016"/>
    <n v="57.87"/>
    <x v="152"/>
    <n v="1.7806387559421355"/>
  </r>
  <r>
    <x v="2"/>
    <s v="VD-0183"/>
    <d v="2025-03-15T00:00:00"/>
    <x v="0"/>
    <x v="0"/>
    <x v="2"/>
    <x v="0"/>
    <x v="1"/>
    <s v="Monitor 27 Ultra"/>
    <x v="0"/>
    <n v="1250.6199999999999"/>
    <n v="0.03"/>
    <n v="896.71"/>
    <s v="Concluída"/>
    <n v="1250.6199999999999"/>
    <n v="37.518599999999992"/>
    <n v="1213.1014"/>
    <n v="896.71"/>
    <x v="153"/>
    <n v="3.8341794372413411"/>
  </r>
  <r>
    <x v="2"/>
    <s v="VD-0148"/>
    <d v="2025-03-16T00:00:00"/>
    <x v="6"/>
    <x v="0"/>
    <x v="1"/>
    <x v="7"/>
    <x v="4"/>
    <s v="Relógio Fit"/>
    <x v="0"/>
    <n v="674.24"/>
    <n v="0"/>
    <n v="322.48"/>
    <s v="Concluída"/>
    <n v="674.24"/>
    <n v="0"/>
    <n v="674.24"/>
    <n v="322.48"/>
    <x v="154"/>
    <n v="1.9167614282465317"/>
  </r>
  <r>
    <x v="2"/>
    <s v="VD-0150"/>
    <d v="2025-03-16T00:00:00"/>
    <x v="3"/>
    <x v="2"/>
    <x v="0"/>
    <x v="10"/>
    <x v="2"/>
    <s v="Panela Pressão 6L"/>
    <x v="0"/>
    <n v="456.69"/>
    <n v="0.2"/>
    <n v="254.28"/>
    <s v="Concluída"/>
    <n v="456.69"/>
    <n v="91.338000000000008"/>
    <n v="365.35199999999998"/>
    <n v="254.28"/>
    <x v="155"/>
    <n v="3.2893258426966296"/>
  </r>
  <r>
    <x v="2"/>
    <s v="VD-0160"/>
    <d v="2025-03-16T00:00:00"/>
    <x v="3"/>
    <x v="2"/>
    <x v="3"/>
    <x v="0"/>
    <x v="3"/>
    <s v="Halteres 10kg"/>
    <x v="0"/>
    <n v="330.54"/>
    <n v="0.05"/>
    <n v="187.2"/>
    <s v="Concluída"/>
    <n v="330.54"/>
    <n v="16.527000000000001"/>
    <n v="314.01300000000003"/>
    <n v="187.2"/>
    <x v="156"/>
    <n v="2.4761893496723517"/>
  </r>
  <r>
    <x v="2"/>
    <s v="VD-0193"/>
    <d v="2025-03-16T00:00:00"/>
    <x v="7"/>
    <x v="3"/>
    <x v="3"/>
    <x v="5"/>
    <x v="0"/>
    <s v="Creme Facial"/>
    <x v="0"/>
    <n v="157.96"/>
    <n v="0.2"/>
    <n v="53.81"/>
    <s v="Concluída"/>
    <n v="157.96"/>
    <n v="31.592000000000002"/>
    <n v="126.36800000000001"/>
    <n v="53.81"/>
    <x v="157"/>
    <n v="1.7416136056671903"/>
  </r>
  <r>
    <x v="2"/>
    <s v="VD-0138"/>
    <d v="2025-03-17T00:00:00"/>
    <x v="6"/>
    <x v="0"/>
    <x v="0"/>
    <x v="11"/>
    <x v="4"/>
    <s v="Óculos Sol"/>
    <x v="0"/>
    <n v="395.75"/>
    <n v="0.1"/>
    <n v="170.71"/>
    <s v="Concluída"/>
    <n v="395.75"/>
    <n v="39.575000000000003"/>
    <n v="356.17500000000001"/>
    <n v="170.71"/>
    <x v="158"/>
    <n v="1.9204432103092228"/>
  </r>
  <r>
    <x v="2"/>
    <s v="VD-0149"/>
    <d v="2025-03-17T00:00:00"/>
    <x v="6"/>
    <x v="0"/>
    <x v="0"/>
    <x v="11"/>
    <x v="4"/>
    <s v="Relógio Fit"/>
    <x v="1"/>
    <n v="695.17"/>
    <n v="0.25"/>
    <n v="327.69"/>
    <s v="Concluída"/>
    <n v="1390.34"/>
    <n v="347.58499999999998"/>
    <n v="1042.7549999999999"/>
    <n v="655.38"/>
    <x v="159"/>
    <n v="2.6918489835430788"/>
  </r>
  <r>
    <x v="2"/>
    <s v="VD-0141"/>
    <d v="2025-03-18T00:00:00"/>
    <x v="5"/>
    <x v="1"/>
    <x v="1"/>
    <x v="2"/>
    <x v="3"/>
    <s v="Bike Urbana"/>
    <x v="0"/>
    <n v="2173.89"/>
    <n v="0"/>
    <n v="1454.23"/>
    <s v="Concluída"/>
    <n v="2173.89"/>
    <n v="0"/>
    <n v="2173.89"/>
    <n v="1454.23"/>
    <x v="160"/>
    <n v="3.0207181168885313"/>
  </r>
  <r>
    <x v="2"/>
    <s v="VD-0142"/>
    <d v="2025-03-18T00:00:00"/>
    <x v="3"/>
    <x v="2"/>
    <x v="1"/>
    <x v="11"/>
    <x v="1"/>
    <s v="Teclado Mecânico"/>
    <x v="0"/>
    <n v="429.21"/>
    <n v="0.05"/>
    <n v="258.7"/>
    <s v="Concluída"/>
    <n v="429.21"/>
    <n v="21.4605"/>
    <n v="407.74949999999995"/>
    <n v="258.7"/>
    <x v="161"/>
    <n v="2.7356649971989175"/>
  </r>
  <r>
    <x v="2"/>
    <s v="VD-0147"/>
    <d v="2025-03-18T00:00:00"/>
    <x v="4"/>
    <x v="2"/>
    <x v="3"/>
    <x v="8"/>
    <x v="1"/>
    <s v="Fone Wave"/>
    <x v="1"/>
    <n v="238.7"/>
    <n v="0.2"/>
    <n v="113.23"/>
    <s v="Concluída"/>
    <n v="477.4"/>
    <n v="95.48"/>
    <n v="381.91999999999996"/>
    <n v="226.46"/>
    <x v="162"/>
    <n v="2.4567091213173811"/>
  </r>
  <r>
    <x v="2"/>
    <s v="VD-0152"/>
    <d v="2025-03-18T00:00:00"/>
    <x v="5"/>
    <x v="1"/>
    <x v="3"/>
    <x v="9"/>
    <x v="2"/>
    <s v="Air Fryer 5L"/>
    <x v="0"/>
    <n v="719.68"/>
    <n v="0.05"/>
    <n v="409.51"/>
    <s v="Concluída"/>
    <n v="719.68"/>
    <n v="35.984000000000002"/>
    <n v="683.69599999999991"/>
    <n v="409.51"/>
    <x v="163"/>
    <n v="2.493548175326239"/>
  </r>
  <r>
    <x v="2"/>
    <s v="VD-0196"/>
    <d v="2025-03-18T00:00:00"/>
    <x v="7"/>
    <x v="3"/>
    <x v="2"/>
    <x v="1"/>
    <x v="4"/>
    <s v="Óculos Sol"/>
    <x v="0"/>
    <n v="391.81"/>
    <n v="0"/>
    <n v="176.75"/>
    <s v="Concluída"/>
    <n v="391.81"/>
    <n v="0"/>
    <n v="391.81"/>
    <n v="176.75"/>
    <x v="164"/>
    <n v="1.8218636659536873"/>
  </r>
  <r>
    <x v="2"/>
    <s v="VD-0178"/>
    <d v="2025-03-19T00:00:00"/>
    <x v="6"/>
    <x v="0"/>
    <x v="0"/>
    <x v="11"/>
    <x v="4"/>
    <s v="Óculos Sol"/>
    <x v="0"/>
    <n v="379.95"/>
    <n v="0.05"/>
    <n v="162.44999999999999"/>
    <s v="Concluída"/>
    <n v="379.95"/>
    <n v="18.997499999999999"/>
    <n v="360.95249999999999"/>
    <n v="162.44999999999999"/>
    <x v="165"/>
    <n v="1.8183776022972002"/>
  </r>
  <r>
    <x v="2"/>
    <s v="VD-0182"/>
    <d v="2025-03-19T00:00:00"/>
    <x v="7"/>
    <x v="3"/>
    <x v="1"/>
    <x v="1"/>
    <x v="0"/>
    <s v="Secador Pro"/>
    <x v="0"/>
    <n v="461.22"/>
    <n v="0.08"/>
    <n v="247.04"/>
    <s v="Concluída"/>
    <n v="461.22"/>
    <n v="36.897600000000004"/>
    <n v="424.32240000000002"/>
    <n v="247.04"/>
    <x v="166"/>
    <n v="2.3934829402129032"/>
  </r>
  <r>
    <x v="2"/>
    <s v="VD-0197"/>
    <d v="2025-03-19T00:00:00"/>
    <x v="4"/>
    <x v="2"/>
    <x v="3"/>
    <x v="6"/>
    <x v="2"/>
    <s v="Panela Pressão 6L"/>
    <x v="0"/>
    <n v="475.04"/>
    <n v="0.2"/>
    <n v="266.02999999999997"/>
    <s v="Concluída"/>
    <n v="475.04"/>
    <n v="95.00800000000001"/>
    <n v="380.03200000000004"/>
    <n v="266.02999999999997"/>
    <x v="167"/>
    <n v="3.3335555516569868"/>
  </r>
  <r>
    <x v="2"/>
    <s v="VD-0198"/>
    <d v="2025-03-19T00:00:00"/>
    <x v="2"/>
    <x v="1"/>
    <x v="3"/>
    <x v="6"/>
    <x v="3"/>
    <s v="Colchonete Pro"/>
    <x v="0"/>
    <n v="147.74"/>
    <n v="0.05"/>
    <n v="59.31"/>
    <s v="Concluída"/>
    <n v="147.74"/>
    <n v="7.3870000000000005"/>
    <n v="140.35300000000001"/>
    <n v="59.31"/>
    <x v="168"/>
    <n v="1.7318337179028416"/>
  </r>
  <r>
    <x v="2"/>
    <s v="VD-0156"/>
    <d v="2025-03-20T00:00:00"/>
    <x v="4"/>
    <x v="2"/>
    <x v="0"/>
    <x v="5"/>
    <x v="1"/>
    <s v="Teclado Mecânico"/>
    <x v="0"/>
    <n v="434.14"/>
    <n v="0.1"/>
    <n v="242.44"/>
    <s v="Concluída"/>
    <n v="434.14"/>
    <n v="43.414000000000001"/>
    <n v="390.726"/>
    <n v="242.44"/>
    <x v="169"/>
    <n v="2.6349486802530246"/>
  </r>
  <r>
    <x v="2"/>
    <s v="VD-0157"/>
    <d v="2025-03-20T00:00:00"/>
    <x v="4"/>
    <x v="2"/>
    <x v="3"/>
    <x v="2"/>
    <x v="0"/>
    <s v="Creme Facial"/>
    <x v="0"/>
    <n v="146.26"/>
    <n v="0.1"/>
    <n v="49.16"/>
    <s v="Concluída"/>
    <n v="146.26"/>
    <n v="14.625999999999999"/>
    <n v="131.63399999999999"/>
    <n v="49.16"/>
    <x v="170"/>
    <n v="1.5960666391832579"/>
  </r>
  <r>
    <x v="2"/>
    <s v="VD-0192"/>
    <d v="2025-03-20T00:00:00"/>
    <x v="1"/>
    <x v="0"/>
    <x v="2"/>
    <x v="8"/>
    <x v="2"/>
    <s v="Panela Pressão 6L"/>
    <x v="0"/>
    <n v="458.53"/>
    <n v="0.12"/>
    <n v="257.73"/>
    <s v="Concluída"/>
    <n v="458.53"/>
    <n v="55.023599999999995"/>
    <n v="403.50639999999999"/>
    <n v="257.73"/>
    <x v="171"/>
    <n v="2.7679816486070452"/>
  </r>
  <r>
    <x v="2"/>
    <s v="VD-0185"/>
    <d v="2025-03-21T00:00:00"/>
    <x v="6"/>
    <x v="0"/>
    <x v="0"/>
    <x v="3"/>
    <x v="1"/>
    <s v="Monitor 27 Ultra"/>
    <x v="0"/>
    <n v="1383.1"/>
    <n v="0.1"/>
    <n v="989.84"/>
    <s v="Concluída"/>
    <n v="1383.1"/>
    <n v="138.31"/>
    <n v="1244.79"/>
    <n v="989.84"/>
    <x v="172"/>
    <n v="4.8824867621102186"/>
  </r>
  <r>
    <x v="2"/>
    <s v="VD-0191"/>
    <d v="2025-03-21T00:00:00"/>
    <x v="6"/>
    <x v="0"/>
    <x v="1"/>
    <x v="11"/>
    <x v="0"/>
    <s v="Creme Facial"/>
    <x v="1"/>
    <n v="146.76"/>
    <n v="0"/>
    <n v="50.16"/>
    <s v="Cancelada"/>
    <n v="293.52"/>
    <n v="0"/>
    <n v="0"/>
    <n v="0"/>
    <x v="2"/>
    <s v="sem Valor"/>
  </r>
  <r>
    <x v="2"/>
    <s v="VD-0202"/>
    <d v="2025-03-21T00:00:00"/>
    <x v="3"/>
    <x v="2"/>
    <x v="1"/>
    <x v="9"/>
    <x v="2"/>
    <s v="Tapete Sala"/>
    <x v="0"/>
    <n v="506"/>
    <n v="0.08"/>
    <n v="270.24"/>
    <s v="Concluída"/>
    <n v="506"/>
    <n v="40.480000000000004"/>
    <n v="465.52"/>
    <n v="270.24"/>
    <x v="136"/>
    <n v="2.3838590741499388"/>
  </r>
  <r>
    <x v="2"/>
    <s v="VD-0134"/>
    <d v="2025-03-22T00:00:00"/>
    <x v="5"/>
    <x v="1"/>
    <x v="3"/>
    <x v="0"/>
    <x v="1"/>
    <s v="Notebook Nova 14"/>
    <x v="0"/>
    <n v="3770.62"/>
    <n v="0.03"/>
    <n v="3049.82"/>
    <s v="Concluída"/>
    <n v="3770.62"/>
    <n v="113.11859999999999"/>
    <n v="3657.5014000000001"/>
    <n v="3049.82"/>
    <x v="173"/>
    <n v="6.0187812231870197"/>
  </r>
  <r>
    <x v="2"/>
    <s v="VD-0154"/>
    <d v="2025-03-22T00:00:00"/>
    <x v="3"/>
    <x v="2"/>
    <x v="0"/>
    <x v="0"/>
    <x v="3"/>
    <s v="Colchonete Pro"/>
    <x v="0"/>
    <n v="142.49"/>
    <n v="0.1"/>
    <n v="54.93"/>
    <s v="Concluída"/>
    <n v="142.49"/>
    <n v="14.249000000000002"/>
    <n v="128.24100000000001"/>
    <n v="54.93"/>
    <x v="174"/>
    <n v="1.7492736424274666"/>
  </r>
  <r>
    <x v="2"/>
    <s v="VD-0167"/>
    <d v="2025-03-23T00:00:00"/>
    <x v="3"/>
    <x v="2"/>
    <x v="3"/>
    <x v="4"/>
    <x v="0"/>
    <s v="Creme Facial"/>
    <x v="0"/>
    <n v="146.41"/>
    <n v="0.03"/>
    <n v="50.98"/>
    <s v="Concluída"/>
    <n v="146.41"/>
    <n v="4.3922999999999996"/>
    <n v="142.01769999999999"/>
    <n v="50.98"/>
    <x v="175"/>
    <n v="1.559987785280164"/>
  </r>
  <r>
    <x v="2"/>
    <s v="VD-0179"/>
    <d v="2025-03-23T00:00:00"/>
    <x v="4"/>
    <x v="2"/>
    <x v="3"/>
    <x v="8"/>
    <x v="2"/>
    <s v="Air Fryer 5L"/>
    <x v="0"/>
    <n v="716.64"/>
    <n v="0.05"/>
    <n v="406.42"/>
    <s v="Concluída"/>
    <n v="716.64"/>
    <n v="35.832000000000001"/>
    <n v="680.80799999999999"/>
    <n v="406.42"/>
    <x v="176"/>
    <n v="2.4811872239310757"/>
  </r>
  <r>
    <x v="2"/>
    <s v="VD-0180"/>
    <d v="2025-03-23T00:00:00"/>
    <x v="7"/>
    <x v="3"/>
    <x v="3"/>
    <x v="8"/>
    <x v="3"/>
    <s v="Bike Urbana"/>
    <x v="1"/>
    <n v="2205.2399999999998"/>
    <n v="0.05"/>
    <n v="1575.12"/>
    <s v="Concluída"/>
    <n v="4410.4799999999996"/>
    <n v="220.524"/>
    <n v="4189.9559999999992"/>
    <n v="3150.24"/>
    <x v="177"/>
    <n v="4.0299043200258549"/>
  </r>
  <r>
    <x v="2"/>
    <s v="VD-0184"/>
    <d v="2025-03-23T00:00:00"/>
    <x v="7"/>
    <x v="3"/>
    <x v="1"/>
    <x v="1"/>
    <x v="3"/>
    <s v="Colchonete Pro"/>
    <x v="0"/>
    <n v="139.63999999999999"/>
    <n v="0.08"/>
    <n v="53.89"/>
    <s v="Concluída"/>
    <n v="139.63999999999999"/>
    <n v="11.171199999999999"/>
    <n v="128.46879999999999"/>
    <n v="53.89"/>
    <x v="178"/>
    <n v="1.7225914066732102"/>
  </r>
  <r>
    <x v="2"/>
    <s v="VD-0145"/>
    <d v="2025-03-24T00:00:00"/>
    <x v="7"/>
    <x v="3"/>
    <x v="1"/>
    <x v="8"/>
    <x v="2"/>
    <s v="Tapete Sala"/>
    <x v="1"/>
    <n v="565.65"/>
    <n v="0.05"/>
    <n v="299.61"/>
    <s v="Concluída"/>
    <n v="1131.3"/>
    <n v="56.564999999999998"/>
    <n v="1074.7349999999999"/>
    <n v="599.22"/>
    <x v="179"/>
    <n v="2.2601495220970951"/>
  </r>
  <r>
    <x v="2"/>
    <s v="VD-0158"/>
    <d v="2025-03-24T00:00:00"/>
    <x v="2"/>
    <x v="1"/>
    <x v="1"/>
    <x v="6"/>
    <x v="4"/>
    <s v="Mochila Urban"/>
    <x v="2"/>
    <n v="303.39"/>
    <n v="0"/>
    <n v="144.69"/>
    <s v="Concluída"/>
    <n v="910.17"/>
    <n v="0"/>
    <n v="910.17"/>
    <n v="434.07"/>
    <x v="180"/>
    <n v="1.9117202268431002"/>
  </r>
  <r>
    <x v="2"/>
    <s v="VD-0162"/>
    <d v="2025-03-24T00:00:00"/>
    <x v="3"/>
    <x v="2"/>
    <x v="1"/>
    <x v="2"/>
    <x v="4"/>
    <s v="Mochila Urban"/>
    <x v="0"/>
    <n v="338.83"/>
    <n v="0.05"/>
    <n v="157.09"/>
    <s v="Concluída"/>
    <n v="338.83"/>
    <n v="16.941500000000001"/>
    <n v="321.88849999999996"/>
    <n v="157.09"/>
    <x v="181"/>
    <n v="1.9532246956131278"/>
  </r>
  <r>
    <x v="2"/>
    <s v="VD-0170"/>
    <d v="2025-03-24T00:00:00"/>
    <x v="0"/>
    <x v="0"/>
    <x v="1"/>
    <x v="0"/>
    <x v="4"/>
    <s v="Relógio Fit"/>
    <x v="1"/>
    <n v="643.11"/>
    <n v="0"/>
    <n v="304.79000000000002"/>
    <s v="Concluída"/>
    <n v="1286.22"/>
    <n v="0"/>
    <n v="1286.22"/>
    <n v="609.58000000000004"/>
    <x v="182"/>
    <n v="1.9008926460156066"/>
  </r>
  <r>
    <x v="2"/>
    <s v="VD-0187"/>
    <d v="2025-03-24T00:00:00"/>
    <x v="0"/>
    <x v="0"/>
    <x v="1"/>
    <x v="3"/>
    <x v="4"/>
    <s v="Óculos Sol"/>
    <x v="1"/>
    <n v="356.13"/>
    <n v="0.05"/>
    <n v="151.88"/>
    <s v="Concluída"/>
    <n v="712.26"/>
    <n v="35.613"/>
    <n v="676.64699999999993"/>
    <n v="303.76"/>
    <x v="183"/>
    <n v="1.8146167605735788"/>
  </r>
  <r>
    <x v="2"/>
    <s v="VD-0201"/>
    <d v="2025-03-24T00:00:00"/>
    <x v="7"/>
    <x v="3"/>
    <x v="2"/>
    <x v="6"/>
    <x v="1"/>
    <s v="Fone Wave"/>
    <x v="2"/>
    <n v="235.79"/>
    <n v="0.1"/>
    <n v="110.88"/>
    <s v="Devolvida"/>
    <n v="707.37"/>
    <n v="70.737000000000009"/>
    <n v="0"/>
    <n v="0"/>
    <x v="2"/>
    <s v="sem Valor"/>
  </r>
  <r>
    <x v="2"/>
    <s v="VD-0143"/>
    <d v="2025-03-25T00:00:00"/>
    <x v="5"/>
    <x v="1"/>
    <x v="3"/>
    <x v="2"/>
    <x v="0"/>
    <s v="Creme Facial"/>
    <x v="0"/>
    <n v="152.94"/>
    <n v="0.05"/>
    <n v="54.26"/>
    <s v="Concluída"/>
    <n v="152.94"/>
    <n v="7.6470000000000002"/>
    <n v="145.29300000000001"/>
    <n v="54.26"/>
    <x v="184"/>
    <n v="1.5960475871387296"/>
  </r>
  <r>
    <x v="2"/>
    <s v="VD-0177"/>
    <d v="2025-03-26T00:00:00"/>
    <x v="7"/>
    <x v="3"/>
    <x v="3"/>
    <x v="4"/>
    <x v="3"/>
    <s v="Colchonete Pro"/>
    <x v="0"/>
    <n v="147.94"/>
    <n v="0.15"/>
    <n v="61.47"/>
    <s v="Concluída"/>
    <n v="147.94"/>
    <n v="22.190999999999999"/>
    <n v="125.749"/>
    <n v="61.47"/>
    <x v="185"/>
    <n v="1.9562998802097109"/>
  </r>
  <r>
    <x v="2"/>
    <s v="VD-0137"/>
    <d v="2025-03-27T00:00:00"/>
    <x v="3"/>
    <x v="2"/>
    <x v="3"/>
    <x v="9"/>
    <x v="4"/>
    <s v="Relógio Fit"/>
    <x v="1"/>
    <n v="689.99"/>
    <n v="0.15"/>
    <n v="338.92"/>
    <s v="Concluída"/>
    <n v="1379.98"/>
    <n v="206.99699999999999"/>
    <n v="1172.9829999999999"/>
    <n v="677.84"/>
    <x v="186"/>
    <n v="2.3689782547668052"/>
  </r>
  <r>
    <x v="2"/>
    <s v="VD-0140"/>
    <d v="2025-03-27T00:00:00"/>
    <x v="5"/>
    <x v="1"/>
    <x v="2"/>
    <x v="8"/>
    <x v="1"/>
    <s v="Fone Wave"/>
    <x v="2"/>
    <n v="258.73"/>
    <n v="0.12"/>
    <n v="120.33"/>
    <s v="Concluída"/>
    <n v="776.19"/>
    <n v="93.142800000000008"/>
    <n v="683.04720000000009"/>
    <n v="360.99"/>
    <x v="187"/>
    <n v="2.120887842283917"/>
  </r>
  <r>
    <x v="2"/>
    <s v="VD-0181"/>
    <d v="2025-03-27T00:00:00"/>
    <x v="5"/>
    <x v="1"/>
    <x v="0"/>
    <x v="6"/>
    <x v="3"/>
    <s v="Colchonete Pro"/>
    <x v="1"/>
    <n v="130.38"/>
    <n v="0.05"/>
    <n v="51.09"/>
    <s v="Concluída"/>
    <n v="260.76"/>
    <n v="13.038"/>
    <n v="247.72199999999998"/>
    <n v="102.18"/>
    <x v="188"/>
    <n v="1.7020653831883581"/>
  </r>
  <r>
    <x v="2"/>
    <s v="VD-0153"/>
    <d v="2025-03-28T00:00:00"/>
    <x v="4"/>
    <x v="2"/>
    <x v="0"/>
    <x v="3"/>
    <x v="3"/>
    <s v="Bike Urbana"/>
    <x v="1"/>
    <n v="2215.59"/>
    <n v="0.05"/>
    <n v="1482.24"/>
    <s v="Concluída"/>
    <n v="4431.18"/>
    <n v="221.55900000000003"/>
    <n v="4209.6210000000001"/>
    <n v="2964.48"/>
    <x v="189"/>
    <n v="3.3808387965700271"/>
  </r>
  <r>
    <x v="2"/>
    <s v="VD-0174"/>
    <d v="2025-03-28T00:00:00"/>
    <x v="7"/>
    <x v="3"/>
    <x v="1"/>
    <x v="9"/>
    <x v="1"/>
    <s v="Mouse Pro"/>
    <x v="0"/>
    <n v="182.99"/>
    <n v="0.08"/>
    <n v="84.21"/>
    <s v="Concluída"/>
    <n v="182.99"/>
    <n v="14.639200000000001"/>
    <n v="168.35080000000002"/>
    <n v="84.21"/>
    <x v="190"/>
    <n v="2.0008224309728453"/>
  </r>
  <r>
    <x v="3"/>
    <s v="VD-0246"/>
    <d v="2025-04-01T00:00:00"/>
    <x v="5"/>
    <x v="1"/>
    <x v="3"/>
    <x v="2"/>
    <x v="4"/>
    <s v="Relógio Fit"/>
    <x v="0"/>
    <n v="677.91"/>
    <n v="0.1"/>
    <n v="322.07"/>
    <s v="Concluída"/>
    <n v="677.91"/>
    <n v="67.790999999999997"/>
    <n v="610.11899999999991"/>
    <n v="322.07"/>
    <x v="191"/>
    <n v="2.1181083773941243"/>
  </r>
  <r>
    <x v="3"/>
    <s v="VD-0262"/>
    <d v="2025-04-01T00:00:00"/>
    <x v="7"/>
    <x v="3"/>
    <x v="0"/>
    <x v="4"/>
    <x v="2"/>
    <s v="Kit Lençol 4p"/>
    <x v="0"/>
    <n v="274.66000000000003"/>
    <n v="0.1"/>
    <n v="124.86"/>
    <s v="Concluída"/>
    <n v="274.66000000000003"/>
    <n v="27.466000000000005"/>
    <n v="247.19400000000002"/>
    <n v="124.86"/>
    <x v="192"/>
    <n v="2.0206483888371181"/>
  </r>
  <r>
    <x v="3"/>
    <s v="VD-0211"/>
    <d v="2025-04-02T00:00:00"/>
    <x v="5"/>
    <x v="1"/>
    <x v="3"/>
    <x v="10"/>
    <x v="0"/>
    <s v="Creme Facial"/>
    <x v="1"/>
    <n v="153.49"/>
    <n v="0.2"/>
    <n v="51.71"/>
    <s v="Concluída"/>
    <n v="306.98"/>
    <n v="61.396000000000008"/>
    <n v="245.584"/>
    <n v="103.42"/>
    <x v="193"/>
    <n v="1.727469682901438"/>
  </r>
  <r>
    <x v="3"/>
    <s v="VD-0233"/>
    <d v="2025-04-02T00:00:00"/>
    <x v="2"/>
    <x v="1"/>
    <x v="1"/>
    <x v="5"/>
    <x v="1"/>
    <s v="Teclado Mecânico"/>
    <x v="0"/>
    <n v="396.84"/>
    <n v="0.08"/>
    <n v="229.98"/>
    <s v="Devolvida"/>
    <n v="396.84"/>
    <n v="31.747199999999999"/>
    <n v="0"/>
    <n v="0"/>
    <x v="2"/>
    <s v="sem Valor"/>
  </r>
  <r>
    <x v="3"/>
    <s v="VD-0259"/>
    <d v="2025-04-02T00:00:00"/>
    <x v="6"/>
    <x v="0"/>
    <x v="1"/>
    <x v="10"/>
    <x v="1"/>
    <s v="Teclado Mecânico"/>
    <x v="0"/>
    <n v="412.95"/>
    <n v="0.05"/>
    <n v="248.95"/>
    <s v="Concluída"/>
    <n v="412.95"/>
    <n v="20.647500000000001"/>
    <n v="392.30250000000001"/>
    <n v="248.95"/>
    <x v="194"/>
    <n v="2.7366282415723475"/>
  </r>
  <r>
    <x v="3"/>
    <s v="VD-0238"/>
    <d v="2025-04-03T00:00:00"/>
    <x v="4"/>
    <x v="2"/>
    <x v="3"/>
    <x v="2"/>
    <x v="1"/>
    <s v="Teclado Mecânico"/>
    <x v="1"/>
    <n v="389.39"/>
    <n v="0.1"/>
    <n v="228.25"/>
    <s v="Concluída"/>
    <n v="778.78"/>
    <n v="77.878"/>
    <n v="700.90199999999993"/>
    <n v="456.5"/>
    <x v="195"/>
    <n v="2.8678243222232229"/>
  </r>
  <r>
    <x v="3"/>
    <s v="VD-0241"/>
    <d v="2025-04-03T00:00:00"/>
    <x v="0"/>
    <x v="0"/>
    <x v="3"/>
    <x v="0"/>
    <x v="1"/>
    <s v="Fone Wave"/>
    <x v="0"/>
    <n v="253.95"/>
    <n v="0.15"/>
    <n v="125.92"/>
    <s v="Concluída"/>
    <n v="253.95"/>
    <n v="38.092499999999994"/>
    <n v="215.85749999999999"/>
    <n v="125.92"/>
    <x v="196"/>
    <n v="2.4000833912439195"/>
  </r>
  <r>
    <x v="3"/>
    <s v="VD-0260"/>
    <d v="2025-04-04T00:00:00"/>
    <x v="3"/>
    <x v="2"/>
    <x v="0"/>
    <x v="3"/>
    <x v="2"/>
    <s v="Air Fryer 5L"/>
    <x v="0"/>
    <n v="720.83"/>
    <n v="0.2"/>
    <n v="421.86"/>
    <s v="Concluída"/>
    <n v="720.83"/>
    <n v="144.16600000000003"/>
    <n v="576.66399999999999"/>
    <n v="421.86"/>
    <x v="197"/>
    <n v="3.7251233818247598"/>
  </r>
  <r>
    <x v="3"/>
    <s v="VD-0232"/>
    <d v="2025-04-05T00:00:00"/>
    <x v="0"/>
    <x v="0"/>
    <x v="0"/>
    <x v="6"/>
    <x v="2"/>
    <s v="Cadeira Escritório"/>
    <x v="0"/>
    <n v="1175.29"/>
    <n v="0.05"/>
    <n v="830.69"/>
    <s v="Concluída"/>
    <n v="1175.29"/>
    <n v="58.764499999999998"/>
    <n v="1116.5255"/>
    <n v="830.69"/>
    <x v="198"/>
    <n v="3.9061820522643278"/>
  </r>
  <r>
    <x v="3"/>
    <s v="VD-0257"/>
    <d v="2025-04-06T00:00:00"/>
    <x v="7"/>
    <x v="3"/>
    <x v="3"/>
    <x v="8"/>
    <x v="3"/>
    <s v="Halteres 10kg"/>
    <x v="0"/>
    <n v="371.54"/>
    <n v="0.2"/>
    <n v="215.52"/>
    <s v="Concluída"/>
    <n v="371.54"/>
    <n v="74.308000000000007"/>
    <n v="297.23200000000003"/>
    <n v="215.52"/>
    <x v="199"/>
    <n v="3.6375562952809863"/>
  </r>
  <r>
    <x v="3"/>
    <s v="VD-0266"/>
    <d v="2025-04-06T00:00:00"/>
    <x v="6"/>
    <x v="0"/>
    <x v="0"/>
    <x v="4"/>
    <x v="2"/>
    <s v="Air Fryer 5L"/>
    <x v="0"/>
    <n v="732.33"/>
    <n v="0.15"/>
    <n v="403.09"/>
    <s v="Concluída"/>
    <n v="732.33"/>
    <n v="109.84950000000001"/>
    <n v="622.48050000000001"/>
    <n v="403.09"/>
    <x v="200"/>
    <n v="2.8373174772836558"/>
  </r>
  <r>
    <x v="3"/>
    <s v="VD-0207"/>
    <d v="2025-04-07T00:00:00"/>
    <x v="5"/>
    <x v="1"/>
    <x v="3"/>
    <x v="11"/>
    <x v="4"/>
    <s v="Mochila Urban"/>
    <x v="0"/>
    <n v="337.66"/>
    <n v="0.2"/>
    <n v="159.34"/>
    <s v="Concluída"/>
    <n v="337.66"/>
    <n v="67.532000000000011"/>
    <n v="270.12800000000004"/>
    <n v="159.34"/>
    <x v="201"/>
    <n v="2.438242408925154"/>
  </r>
  <r>
    <x v="3"/>
    <s v="VD-0210"/>
    <d v="2025-04-07T00:00:00"/>
    <x v="7"/>
    <x v="3"/>
    <x v="0"/>
    <x v="3"/>
    <x v="1"/>
    <s v="Fone Wave"/>
    <x v="0"/>
    <n v="237.71"/>
    <n v="0.05"/>
    <n v="112.47"/>
    <s v="Concluída"/>
    <n v="237.71"/>
    <n v="11.8855"/>
    <n v="225.8245"/>
    <n v="112.47"/>
    <x v="202"/>
    <n v="1.9921970455517866"/>
  </r>
  <r>
    <x v="3"/>
    <s v="VD-0214"/>
    <d v="2025-04-07T00:00:00"/>
    <x v="3"/>
    <x v="2"/>
    <x v="0"/>
    <x v="11"/>
    <x v="2"/>
    <s v="Panela Pressão 6L"/>
    <x v="1"/>
    <n v="460.74"/>
    <n v="0.2"/>
    <n v="256.02999999999997"/>
    <s v="Concluída"/>
    <n v="921.48"/>
    <n v="184.29600000000002"/>
    <n v="737.18399999999997"/>
    <n v="512.05999999999995"/>
    <x v="203"/>
    <n v="3.2745686821485043"/>
  </r>
  <r>
    <x v="3"/>
    <s v="VD-0215"/>
    <d v="2025-04-07T00:00:00"/>
    <x v="6"/>
    <x v="0"/>
    <x v="3"/>
    <x v="5"/>
    <x v="1"/>
    <s v="Notebook Nova 14"/>
    <x v="0"/>
    <n v="3651.35"/>
    <n v="0.03"/>
    <n v="2959.72"/>
    <s v="Concluída"/>
    <n v="3651.35"/>
    <n v="109.54049999999999"/>
    <n v="3541.8094999999998"/>
    <n v="2959.72"/>
    <x v="204"/>
    <n v="6.0846476358017103"/>
  </r>
  <r>
    <x v="3"/>
    <s v="VD-0245"/>
    <d v="2025-04-08T00:00:00"/>
    <x v="3"/>
    <x v="2"/>
    <x v="3"/>
    <x v="6"/>
    <x v="2"/>
    <s v="Tapete Sala"/>
    <x v="0"/>
    <n v="567.21"/>
    <n v="0.15"/>
    <n v="285.25"/>
    <s v="Concluída"/>
    <n v="567.21"/>
    <n v="85.081500000000005"/>
    <n v="482.12850000000003"/>
    <n v="285.25"/>
    <x v="205"/>
    <n v="2.4488631313221094"/>
  </r>
  <r>
    <x v="3"/>
    <s v="VD-0242"/>
    <d v="2025-04-09T00:00:00"/>
    <x v="4"/>
    <x v="2"/>
    <x v="3"/>
    <x v="0"/>
    <x v="4"/>
    <s v="Mochila Urban"/>
    <x v="0"/>
    <n v="302.51"/>
    <n v="0.15"/>
    <n v="134.13"/>
    <s v="Concluída"/>
    <n v="302.51"/>
    <n v="45.3765"/>
    <n v="257.13349999999997"/>
    <n v="134.13"/>
    <x v="206"/>
    <n v="2.0904567756202059"/>
  </r>
  <r>
    <x v="3"/>
    <s v="VD-0247"/>
    <d v="2025-04-09T00:00:00"/>
    <x v="1"/>
    <x v="0"/>
    <x v="3"/>
    <x v="4"/>
    <x v="2"/>
    <s v="Air Fryer 5L"/>
    <x v="0"/>
    <n v="675.01"/>
    <n v="0.2"/>
    <n v="372.2"/>
    <s v="Concluída"/>
    <n v="675.01"/>
    <n v="135.00200000000001"/>
    <n v="540.00800000000004"/>
    <n v="372.2"/>
    <x v="207"/>
    <n v="3.2180110602593435"/>
  </r>
  <r>
    <x v="3"/>
    <s v="VD-0248"/>
    <d v="2025-04-09T00:00:00"/>
    <x v="7"/>
    <x v="3"/>
    <x v="3"/>
    <x v="6"/>
    <x v="0"/>
    <s v="Creme Facial"/>
    <x v="0"/>
    <n v="160.26"/>
    <n v="0.05"/>
    <n v="57.03"/>
    <s v="Concluída"/>
    <n v="160.26"/>
    <n v="8.0129999999999999"/>
    <n v="152.24699999999999"/>
    <n v="57.03"/>
    <x v="208"/>
    <n v="1.5989476669082203"/>
  </r>
  <r>
    <x v="3"/>
    <s v="VD-0224"/>
    <d v="2025-04-10T00:00:00"/>
    <x v="7"/>
    <x v="3"/>
    <x v="0"/>
    <x v="9"/>
    <x v="1"/>
    <s v="Mouse Pro"/>
    <x v="0"/>
    <n v="190.42"/>
    <n v="0.1"/>
    <n v="86.45"/>
    <s v="Concluída"/>
    <n v="190.42"/>
    <n v="19.041999999999998"/>
    <n v="171.37799999999999"/>
    <n v="86.45"/>
    <x v="209"/>
    <n v="2.0179210625470989"/>
  </r>
  <r>
    <x v="3"/>
    <s v="VD-0231"/>
    <d v="2025-04-10T00:00:00"/>
    <x v="1"/>
    <x v="0"/>
    <x v="3"/>
    <x v="1"/>
    <x v="0"/>
    <s v="Secador Pro"/>
    <x v="1"/>
    <n v="448.11"/>
    <n v="0.1"/>
    <n v="249.37"/>
    <s v="Concluída"/>
    <n v="896.22"/>
    <n v="89.622000000000014"/>
    <n v="806.59799999999996"/>
    <n v="498.74"/>
    <x v="210"/>
    <n v="2.6200326124382025"/>
  </r>
  <r>
    <x v="3"/>
    <s v="VD-0226"/>
    <d v="2025-04-11T00:00:00"/>
    <x v="2"/>
    <x v="1"/>
    <x v="2"/>
    <x v="1"/>
    <x v="0"/>
    <s v="Balança Smart"/>
    <x v="1"/>
    <n v="224.22"/>
    <n v="0.05"/>
    <n v="94.45"/>
    <s v="Concluída"/>
    <n v="448.44"/>
    <n v="22.422000000000001"/>
    <n v="426.01799999999997"/>
    <n v="188.9"/>
    <x v="211"/>
    <n v="1.7966497693131691"/>
  </r>
  <r>
    <x v="3"/>
    <s v="VD-0244"/>
    <d v="2025-04-11T00:00:00"/>
    <x v="2"/>
    <x v="1"/>
    <x v="0"/>
    <x v="1"/>
    <x v="1"/>
    <s v="Teclado Mecânico"/>
    <x v="0"/>
    <n v="405.12"/>
    <n v="0.1"/>
    <n v="233.65"/>
    <s v="Concluída"/>
    <n v="405.12"/>
    <n v="40.512"/>
    <n v="364.608"/>
    <n v="233.65"/>
    <x v="212"/>
    <n v="2.7841598069610103"/>
  </r>
  <r>
    <x v="3"/>
    <s v="VD-0272"/>
    <d v="2025-04-11T00:00:00"/>
    <x v="4"/>
    <x v="2"/>
    <x v="1"/>
    <x v="8"/>
    <x v="4"/>
    <s v="Óculos Sol"/>
    <x v="1"/>
    <n v="359.66"/>
    <n v="0.05"/>
    <n v="157.33000000000001"/>
    <s v="Concluída"/>
    <n v="719.32"/>
    <n v="35.966000000000001"/>
    <n v="683.35400000000004"/>
    <n v="314.66000000000003"/>
    <x v="213"/>
    <n v="1.8534448621349955"/>
  </r>
  <r>
    <x v="3"/>
    <s v="VD-0222"/>
    <d v="2025-04-12T00:00:00"/>
    <x v="5"/>
    <x v="1"/>
    <x v="0"/>
    <x v="8"/>
    <x v="3"/>
    <s v="Halteres 10kg"/>
    <x v="0"/>
    <n v="366.75"/>
    <n v="0.15"/>
    <n v="202.73"/>
    <s v="Concluída"/>
    <n v="366.75"/>
    <n v="55.012499999999996"/>
    <n v="311.73750000000001"/>
    <n v="202.73"/>
    <x v="214"/>
    <n v="2.8597802903469942"/>
  </r>
  <r>
    <x v="3"/>
    <s v="VD-0230"/>
    <d v="2025-04-12T00:00:00"/>
    <x v="2"/>
    <x v="1"/>
    <x v="1"/>
    <x v="5"/>
    <x v="3"/>
    <s v="Colchonete Pro"/>
    <x v="0"/>
    <n v="136.47999999999999"/>
    <n v="0.15"/>
    <n v="52.96"/>
    <s v="Concluída"/>
    <n v="136.47999999999999"/>
    <n v="20.471999999999998"/>
    <n v="116.008"/>
    <n v="52.96"/>
    <x v="215"/>
    <n v="1.8399949245019669"/>
  </r>
  <r>
    <x v="3"/>
    <s v="VD-0204"/>
    <d v="2025-04-14T00:00:00"/>
    <x v="0"/>
    <x v="0"/>
    <x v="0"/>
    <x v="8"/>
    <x v="2"/>
    <s v="Panela Pressão 6L"/>
    <x v="0"/>
    <n v="444.55"/>
    <n v="0.25"/>
    <n v="236.2"/>
    <s v="Concluída"/>
    <n v="444.55"/>
    <n v="111.1375"/>
    <n v="333.41250000000002"/>
    <n v="236.2"/>
    <x v="216"/>
    <n v="3.4297286871544288"/>
  </r>
  <r>
    <x v="3"/>
    <s v="VD-0205"/>
    <d v="2025-04-14T00:00:00"/>
    <x v="7"/>
    <x v="3"/>
    <x v="3"/>
    <x v="1"/>
    <x v="4"/>
    <s v="Óculos Sol"/>
    <x v="0"/>
    <n v="408.35"/>
    <n v="0.1"/>
    <n v="181.16"/>
    <s v="Concluída"/>
    <n v="408.35"/>
    <n v="40.835000000000008"/>
    <n v="367.51499999999999"/>
    <n v="181.16"/>
    <x v="217"/>
    <n v="1.9721230983874862"/>
  </r>
  <r>
    <x v="3"/>
    <s v="VD-0223"/>
    <d v="2025-04-14T00:00:00"/>
    <x v="7"/>
    <x v="3"/>
    <x v="1"/>
    <x v="12"/>
    <x v="1"/>
    <s v="Fone Wave"/>
    <x v="0"/>
    <n v="266.42"/>
    <n v="0"/>
    <n v="132.33000000000001"/>
    <s v="Concluída"/>
    <n v="266.42"/>
    <n v="0"/>
    <n v="266.42"/>
    <n v="132.33000000000001"/>
    <x v="218"/>
    <n v="1.9868744872846595"/>
  </r>
  <r>
    <x v="3"/>
    <s v="VD-0268"/>
    <d v="2025-04-14T00:00:00"/>
    <x v="2"/>
    <x v="1"/>
    <x v="0"/>
    <x v="11"/>
    <x v="4"/>
    <s v="Óculos Sol"/>
    <x v="0"/>
    <n v="381.24"/>
    <n v="0.05"/>
    <n v="162.88999999999999"/>
    <s v="Concluída"/>
    <n v="381.24"/>
    <n v="19.062000000000001"/>
    <n v="362.178"/>
    <n v="162.88999999999999"/>
    <x v="219"/>
    <n v="1.8173598008911724"/>
  </r>
  <r>
    <x v="3"/>
    <s v="VD-0251"/>
    <d v="2025-04-15T00:00:00"/>
    <x v="3"/>
    <x v="2"/>
    <x v="2"/>
    <x v="6"/>
    <x v="2"/>
    <s v="Kit Lençol 4p"/>
    <x v="1"/>
    <n v="270.61"/>
    <n v="0.1"/>
    <n v="122.31"/>
    <s v="Concluída"/>
    <n v="541.22"/>
    <n v="54.122000000000007"/>
    <n v="487.09800000000001"/>
    <n v="244.62"/>
    <x v="220"/>
    <n v="2.0088337911068219"/>
  </r>
  <r>
    <x v="3"/>
    <s v="VD-0237"/>
    <d v="2025-04-16T00:00:00"/>
    <x v="5"/>
    <x v="1"/>
    <x v="0"/>
    <x v="2"/>
    <x v="2"/>
    <s v="Tapete Sala"/>
    <x v="0"/>
    <n v="525.54"/>
    <n v="0.25"/>
    <n v="278.83999999999997"/>
    <s v="Concluída"/>
    <n v="525.54"/>
    <n v="131.38499999999999"/>
    <n v="394.15499999999997"/>
    <n v="278.83999999999997"/>
    <x v="221"/>
    <n v="3.4180722369162728"/>
  </r>
  <r>
    <x v="3"/>
    <s v="VD-0254"/>
    <d v="2025-04-16T00:00:00"/>
    <x v="1"/>
    <x v="0"/>
    <x v="1"/>
    <x v="10"/>
    <x v="4"/>
    <s v="Relógio Fit"/>
    <x v="0"/>
    <n v="662.88"/>
    <n v="0.15"/>
    <n v="313.31"/>
    <s v="Concluída"/>
    <n v="662.88"/>
    <n v="99.432000000000002"/>
    <n v="563.44799999999998"/>
    <n v="313.31"/>
    <x v="222"/>
    <n v="2.2525485931765665"/>
  </r>
  <r>
    <x v="3"/>
    <s v="VD-0203"/>
    <d v="2025-04-17T00:00:00"/>
    <x v="0"/>
    <x v="0"/>
    <x v="1"/>
    <x v="11"/>
    <x v="2"/>
    <s v="Kit Lençol 4p"/>
    <x v="0"/>
    <n v="271.58999999999997"/>
    <n v="0.05"/>
    <n v="124.02"/>
    <s v="Concluída"/>
    <n v="271.58999999999997"/>
    <n v="13.579499999999999"/>
    <n v="258.01049999999998"/>
    <n v="124.02"/>
    <x v="223"/>
    <n v="1.925588008105052"/>
  </r>
  <r>
    <x v="3"/>
    <s v="VD-0221"/>
    <d v="2025-04-17T00:00:00"/>
    <x v="6"/>
    <x v="0"/>
    <x v="3"/>
    <x v="5"/>
    <x v="2"/>
    <s v="Kit Lençol 4p"/>
    <x v="0"/>
    <n v="288.02999999999997"/>
    <n v="0.05"/>
    <n v="125.64"/>
    <s v="Concluída"/>
    <n v="288.02999999999997"/>
    <n v="14.401499999999999"/>
    <n v="273.62849999999997"/>
    <n v="125.64"/>
    <x v="224"/>
    <n v="1.848984887339219"/>
  </r>
  <r>
    <x v="3"/>
    <s v="VD-0234"/>
    <d v="2025-04-17T00:00:00"/>
    <x v="3"/>
    <x v="2"/>
    <x v="1"/>
    <x v="6"/>
    <x v="2"/>
    <s v="Panela Pressão 6L"/>
    <x v="0"/>
    <n v="445.92"/>
    <n v="0.1"/>
    <n v="244.21"/>
    <s v="Concluída"/>
    <n v="445.92"/>
    <n v="44.592000000000006"/>
    <n v="401.32800000000003"/>
    <n v="244.21"/>
    <x v="225"/>
    <n v="2.5543094998663425"/>
  </r>
  <r>
    <x v="3"/>
    <s v="VD-0235"/>
    <d v="2025-04-17T00:00:00"/>
    <x v="4"/>
    <x v="2"/>
    <x v="1"/>
    <x v="9"/>
    <x v="3"/>
    <s v="Halteres 10kg"/>
    <x v="0"/>
    <n v="385.62"/>
    <n v="0.1"/>
    <n v="218.82"/>
    <s v="Concluída"/>
    <n v="385.62"/>
    <n v="38.562000000000005"/>
    <n v="347.05799999999999"/>
    <n v="218.82"/>
    <x v="226"/>
    <n v="2.7063584896832453"/>
  </r>
  <r>
    <x v="3"/>
    <s v="VD-0255"/>
    <d v="2025-04-17T00:00:00"/>
    <x v="4"/>
    <x v="2"/>
    <x v="2"/>
    <x v="0"/>
    <x v="4"/>
    <s v="Relógio Fit"/>
    <x v="0"/>
    <n v="689.77"/>
    <n v="0"/>
    <n v="336.89"/>
    <s v="Concluída"/>
    <n v="689.77"/>
    <n v="0"/>
    <n v="689.77"/>
    <n v="336.89"/>
    <x v="227"/>
    <n v="1.9546871457719337"/>
  </r>
  <r>
    <x v="3"/>
    <s v="VD-0253"/>
    <d v="2025-04-18T00:00:00"/>
    <x v="7"/>
    <x v="3"/>
    <x v="3"/>
    <x v="5"/>
    <x v="3"/>
    <s v="Colchonete Pro"/>
    <x v="0"/>
    <n v="140.94"/>
    <n v="0.05"/>
    <n v="54.9"/>
    <s v="Concluída"/>
    <n v="140.94"/>
    <n v="7.0470000000000006"/>
    <n v="133.893"/>
    <n v="54.9"/>
    <x v="228"/>
    <n v="1.6949982909878092"/>
  </r>
  <r>
    <x v="3"/>
    <s v="VD-0258"/>
    <d v="2025-04-18T00:00:00"/>
    <x v="6"/>
    <x v="0"/>
    <x v="1"/>
    <x v="1"/>
    <x v="2"/>
    <s v="Cadeira Escritório"/>
    <x v="0"/>
    <n v="1201.1600000000001"/>
    <n v="0.08"/>
    <n v="855.05"/>
    <s v="Concluída"/>
    <n v="1201.1600000000001"/>
    <n v="96.092800000000011"/>
    <n v="1105.0672"/>
    <n v="855.05"/>
    <x v="229"/>
    <n v="4.4199647064281979"/>
  </r>
  <r>
    <x v="3"/>
    <s v="VD-0263"/>
    <d v="2025-04-18T00:00:00"/>
    <x v="2"/>
    <x v="1"/>
    <x v="0"/>
    <x v="10"/>
    <x v="1"/>
    <s v="Teclado Mecânico"/>
    <x v="0"/>
    <n v="417.03"/>
    <n v="0.25"/>
    <n v="245.97"/>
    <s v="Concluída"/>
    <n v="417.03"/>
    <n v="104.25749999999999"/>
    <n v="312.77249999999998"/>
    <n v="245.97"/>
    <x v="230"/>
    <n v="4.6820478275513651"/>
  </r>
  <r>
    <x v="3"/>
    <s v="VD-0206"/>
    <d v="2025-04-19T00:00:00"/>
    <x v="5"/>
    <x v="1"/>
    <x v="3"/>
    <x v="6"/>
    <x v="3"/>
    <s v="Halteres 10kg"/>
    <x v="0"/>
    <n v="360.14"/>
    <n v="0.2"/>
    <n v="208.78"/>
    <s v="Concluída"/>
    <n v="360.14"/>
    <n v="72.028000000000006"/>
    <n v="288.11199999999997"/>
    <n v="208.78"/>
    <x v="231"/>
    <n v="3.6317249029395464"/>
  </r>
  <r>
    <x v="3"/>
    <s v="VD-0209"/>
    <d v="2025-04-19T00:00:00"/>
    <x v="7"/>
    <x v="3"/>
    <x v="2"/>
    <x v="8"/>
    <x v="1"/>
    <s v="Teclado Mecânico"/>
    <x v="2"/>
    <n v="452.55"/>
    <n v="0.12"/>
    <n v="266.20999999999998"/>
    <s v="Concluída"/>
    <n v="1357.65"/>
    <n v="162.91800000000001"/>
    <n v="1194.732"/>
    <n v="798.62999999999988"/>
    <x v="232"/>
    <n v="3.0162230940515316"/>
  </r>
  <r>
    <x v="3"/>
    <s v="VD-0216"/>
    <d v="2025-04-19T00:00:00"/>
    <x v="6"/>
    <x v="0"/>
    <x v="1"/>
    <x v="9"/>
    <x v="1"/>
    <s v="Notebook Nova 14"/>
    <x v="0"/>
    <n v="3790.68"/>
    <n v="0.1"/>
    <n v="2920.39"/>
    <s v="Concluída"/>
    <n v="3790.68"/>
    <n v="379.06799999999998"/>
    <n v="3411.6120000000001"/>
    <n v="2920.39"/>
    <x v="233"/>
    <n v="6.945153107963403"/>
  </r>
  <r>
    <x v="3"/>
    <s v="VD-0227"/>
    <d v="2025-04-19T00:00:00"/>
    <x v="1"/>
    <x v="0"/>
    <x v="0"/>
    <x v="1"/>
    <x v="4"/>
    <s v="Óculos Sol"/>
    <x v="0"/>
    <n v="382.7"/>
    <n v="0.2"/>
    <n v="167.66"/>
    <s v="Devolvida"/>
    <n v="382.7"/>
    <n v="76.540000000000006"/>
    <n v="0"/>
    <n v="0"/>
    <x v="2"/>
    <s v="sem Valor"/>
  </r>
  <r>
    <x v="3"/>
    <s v="VD-0270"/>
    <d v="2025-04-19T00:00:00"/>
    <x v="5"/>
    <x v="1"/>
    <x v="1"/>
    <x v="2"/>
    <x v="4"/>
    <s v="Relógio Fit"/>
    <x v="0"/>
    <n v="709.14"/>
    <n v="0.15"/>
    <n v="350.53"/>
    <s v="Concluída"/>
    <n v="709.14"/>
    <n v="106.371"/>
    <n v="602.76900000000001"/>
    <n v="350.53"/>
    <x v="234"/>
    <n v="2.389674078948933"/>
  </r>
  <r>
    <x v="3"/>
    <s v="VD-0261"/>
    <d v="2025-04-20T00:00:00"/>
    <x v="6"/>
    <x v="0"/>
    <x v="1"/>
    <x v="10"/>
    <x v="0"/>
    <s v="Creme Facial"/>
    <x v="0"/>
    <n v="146.27000000000001"/>
    <n v="0.05"/>
    <n v="52.18"/>
    <s v="Concluída"/>
    <n v="146.27000000000001"/>
    <n v="7.3135000000000012"/>
    <n v="138.95650000000001"/>
    <n v="52.18"/>
    <x v="235"/>
    <n v="1.601314872113994"/>
  </r>
  <r>
    <x v="3"/>
    <s v="VD-0218"/>
    <d v="2025-04-21T00:00:00"/>
    <x v="1"/>
    <x v="0"/>
    <x v="3"/>
    <x v="4"/>
    <x v="1"/>
    <s v="Monitor 27 Ultra"/>
    <x v="0"/>
    <n v="1358.24"/>
    <n v="0.05"/>
    <n v="974.76"/>
    <s v="Concluída"/>
    <n v="1358.24"/>
    <n v="67.912000000000006"/>
    <n v="1290.328"/>
    <n v="974.76"/>
    <x v="236"/>
    <n v="4.0889063529888965"/>
  </r>
  <r>
    <x v="3"/>
    <s v="VD-0220"/>
    <d v="2025-04-21T00:00:00"/>
    <x v="4"/>
    <x v="2"/>
    <x v="0"/>
    <x v="2"/>
    <x v="0"/>
    <s v="Balança Smart"/>
    <x v="0"/>
    <n v="236.92"/>
    <n v="0.15"/>
    <n v="104.62"/>
    <s v="Concluída"/>
    <n v="236.92"/>
    <n v="35.537999999999997"/>
    <n v="201.38200000000001"/>
    <n v="104.62"/>
    <x v="237"/>
    <n v="2.0812095657386163"/>
  </r>
  <r>
    <x v="3"/>
    <s v="VD-0236"/>
    <d v="2025-04-21T00:00:00"/>
    <x v="4"/>
    <x v="2"/>
    <x v="3"/>
    <x v="9"/>
    <x v="2"/>
    <s v="Cadeira Escritório"/>
    <x v="0"/>
    <n v="1173.3800000000001"/>
    <n v="0.1"/>
    <n v="830.66"/>
    <s v="Concluída"/>
    <n v="1173.3800000000001"/>
    <n v="117.33800000000002"/>
    <n v="1056.0420000000001"/>
    <n v="830.66"/>
    <x v="238"/>
    <n v="4.685564951948245"/>
  </r>
  <r>
    <x v="3"/>
    <s v="VD-0240"/>
    <d v="2025-04-21T00:00:00"/>
    <x v="4"/>
    <x v="2"/>
    <x v="3"/>
    <x v="2"/>
    <x v="2"/>
    <s v="Air Fryer 5L"/>
    <x v="1"/>
    <n v="702.16"/>
    <n v="0.2"/>
    <n v="385.59"/>
    <s v="Concluída"/>
    <n v="1404.32"/>
    <n v="280.86399999999998"/>
    <n v="1123.4559999999999"/>
    <n v="771.18"/>
    <x v="239"/>
    <n v="3.1891357912545848"/>
  </r>
  <r>
    <x v="3"/>
    <s v="VD-0243"/>
    <d v="2025-04-21T00:00:00"/>
    <x v="3"/>
    <x v="2"/>
    <x v="0"/>
    <x v="10"/>
    <x v="2"/>
    <s v="Air Fryer 5L"/>
    <x v="0"/>
    <n v="692.09"/>
    <n v="0.2"/>
    <n v="408.64"/>
    <s v="Concluída"/>
    <n v="692.09"/>
    <n v="138.41800000000001"/>
    <n v="553.67200000000003"/>
    <n v="408.64"/>
    <x v="240"/>
    <n v="3.8175850846709682"/>
  </r>
  <r>
    <x v="3"/>
    <s v="VD-0264"/>
    <d v="2025-04-22T00:00:00"/>
    <x v="2"/>
    <x v="1"/>
    <x v="2"/>
    <x v="7"/>
    <x v="0"/>
    <s v="Secador Pro"/>
    <x v="0"/>
    <n v="432.66"/>
    <n v="0.1"/>
    <n v="239.62"/>
    <s v="Concluída"/>
    <n v="432.66"/>
    <n v="43.266000000000005"/>
    <n v="389.39400000000001"/>
    <n v="239.62"/>
    <x v="241"/>
    <n v="2.5998771482366765"/>
  </r>
  <r>
    <x v="3"/>
    <s v="VD-0229"/>
    <d v="2025-04-23T00:00:00"/>
    <x v="1"/>
    <x v="0"/>
    <x v="3"/>
    <x v="1"/>
    <x v="0"/>
    <s v="Creme Facial"/>
    <x v="0"/>
    <n v="149.28"/>
    <n v="0.05"/>
    <n v="52.82"/>
    <s v="Concluída"/>
    <n v="149.28"/>
    <n v="7.4640000000000004"/>
    <n v="141.816"/>
    <n v="52.82"/>
    <x v="242"/>
    <n v="1.5935098206660971"/>
  </r>
  <r>
    <x v="3"/>
    <s v="VD-0208"/>
    <d v="2025-04-24T00:00:00"/>
    <x v="6"/>
    <x v="0"/>
    <x v="3"/>
    <x v="8"/>
    <x v="2"/>
    <s v="Cadeira Escritório"/>
    <x v="0"/>
    <n v="1261.3499999999999"/>
    <n v="0.1"/>
    <n v="891.23"/>
    <s v="Concluída"/>
    <n v="1261.3499999999999"/>
    <n v="126.13499999999999"/>
    <n v="1135.2149999999999"/>
    <n v="891.23"/>
    <x v="243"/>
    <n v="4.6528065249912922"/>
  </r>
  <r>
    <x v="3"/>
    <s v="VD-0267"/>
    <d v="2025-04-24T00:00:00"/>
    <x v="2"/>
    <x v="1"/>
    <x v="2"/>
    <x v="5"/>
    <x v="3"/>
    <s v="Halteres 10kg"/>
    <x v="1"/>
    <n v="352.9"/>
    <n v="0.05"/>
    <n v="189.93"/>
    <s v="Concluída"/>
    <n v="705.8"/>
    <n v="35.29"/>
    <n v="670.51"/>
    <n v="379.86"/>
    <x v="244"/>
    <n v="2.306932736968863"/>
  </r>
  <r>
    <x v="3"/>
    <s v="VD-0213"/>
    <d v="2025-04-25T00:00:00"/>
    <x v="7"/>
    <x v="3"/>
    <x v="1"/>
    <x v="10"/>
    <x v="1"/>
    <s v="Fone Wave"/>
    <x v="1"/>
    <n v="233.3"/>
    <n v="0.15"/>
    <n v="112.76"/>
    <s v="Concluída"/>
    <n v="466.6"/>
    <n v="69.989999999999995"/>
    <n v="396.61"/>
    <n v="225.52"/>
    <x v="245"/>
    <n v="2.3181366532234495"/>
  </r>
  <r>
    <x v="3"/>
    <s v="VD-0269"/>
    <d v="2025-04-25T00:00:00"/>
    <x v="2"/>
    <x v="1"/>
    <x v="3"/>
    <x v="2"/>
    <x v="1"/>
    <s v="Monitor 27 Ultra"/>
    <x v="0"/>
    <n v="1390.43"/>
    <n v="0.1"/>
    <n v="981.72"/>
    <s v="Concluída"/>
    <n v="1390.43"/>
    <n v="139.04300000000001"/>
    <n v="1251.3870000000002"/>
    <n v="981.72"/>
    <x v="246"/>
    <n v="4.6404899375896917"/>
  </r>
  <r>
    <x v="3"/>
    <s v="VD-0225"/>
    <d v="2025-04-26T00:00:00"/>
    <x v="7"/>
    <x v="3"/>
    <x v="0"/>
    <x v="1"/>
    <x v="0"/>
    <s v="Balança Smart"/>
    <x v="0"/>
    <n v="225.5"/>
    <n v="0.15"/>
    <n v="95.87"/>
    <s v="Devolvida"/>
    <n v="225.5"/>
    <n v="33.824999999999996"/>
    <n v="0"/>
    <n v="0"/>
    <x v="2"/>
    <s v="sem Valor"/>
  </r>
  <r>
    <x v="3"/>
    <s v="VD-0228"/>
    <d v="2025-04-26T00:00:00"/>
    <x v="5"/>
    <x v="1"/>
    <x v="3"/>
    <x v="5"/>
    <x v="2"/>
    <s v="Air Fryer 5L"/>
    <x v="0"/>
    <n v="698.11"/>
    <n v="0.2"/>
    <n v="395.36"/>
    <s v="Concluída"/>
    <n v="698.11"/>
    <n v="139.62200000000001"/>
    <n v="558.48800000000006"/>
    <n v="395.36"/>
    <x v="247"/>
    <n v="3.4236182629591481"/>
  </r>
  <r>
    <x v="3"/>
    <s v="VD-0249"/>
    <d v="2025-04-26T00:00:00"/>
    <x v="2"/>
    <x v="1"/>
    <x v="1"/>
    <x v="1"/>
    <x v="1"/>
    <s v="Mouse Pro"/>
    <x v="0"/>
    <n v="200.64"/>
    <n v="0.05"/>
    <n v="89.46"/>
    <s v="Concluída"/>
    <n v="200.64"/>
    <n v="10.032"/>
    <n v="190.60799999999998"/>
    <n v="89.46"/>
    <x v="248"/>
    <n v="1.884446553565073"/>
  </r>
  <r>
    <x v="3"/>
    <s v="VD-0256"/>
    <d v="2025-04-26T00:00:00"/>
    <x v="1"/>
    <x v="0"/>
    <x v="1"/>
    <x v="11"/>
    <x v="1"/>
    <s v="Fone Wave"/>
    <x v="0"/>
    <n v="242.24"/>
    <n v="0.15"/>
    <n v="120.53"/>
    <s v="Concluída"/>
    <n v="242.24"/>
    <n v="36.335999999999999"/>
    <n v="205.904"/>
    <n v="120.53"/>
    <x v="249"/>
    <n v="2.41178813221824"/>
  </r>
  <r>
    <x v="3"/>
    <s v="VD-0265"/>
    <d v="2025-04-26T00:00:00"/>
    <x v="0"/>
    <x v="0"/>
    <x v="1"/>
    <x v="1"/>
    <x v="4"/>
    <s v="Relógio Fit"/>
    <x v="1"/>
    <n v="709.54"/>
    <n v="0.05"/>
    <n v="353.45"/>
    <s v="Concluída"/>
    <n v="1419.08"/>
    <n v="70.953999999999994"/>
    <n v="1348.126"/>
    <n v="706.9"/>
    <x v="250"/>
    <n v="2.1024194277836519"/>
  </r>
  <r>
    <x v="3"/>
    <s v="VD-0219"/>
    <d v="2025-04-27T00:00:00"/>
    <x v="4"/>
    <x v="2"/>
    <x v="0"/>
    <x v="5"/>
    <x v="1"/>
    <s v="Notebook Nova 14"/>
    <x v="0"/>
    <n v="3925.34"/>
    <n v="0.25"/>
    <n v="3153.27"/>
    <s v="Concluída"/>
    <n v="3925.34"/>
    <n v="981.33500000000004"/>
    <n v="2944.0050000000001"/>
    <n v="3153.27"/>
    <x v="251"/>
    <n v="-14.06831051537525"/>
  </r>
  <r>
    <x v="3"/>
    <s v="VD-0239"/>
    <d v="2025-04-27T00:00:00"/>
    <x v="1"/>
    <x v="0"/>
    <x v="1"/>
    <x v="1"/>
    <x v="1"/>
    <s v="Teclado Mecânico"/>
    <x v="1"/>
    <n v="419.78"/>
    <n v="0.05"/>
    <n v="241.54"/>
    <s v="Concluída"/>
    <n v="839.56"/>
    <n v="41.978000000000002"/>
    <n v="797.58199999999999"/>
    <n v="483.08"/>
    <x v="252"/>
    <n v="2.5360156692167299"/>
  </r>
  <r>
    <x v="3"/>
    <s v="VD-0250"/>
    <d v="2025-04-27T00:00:00"/>
    <x v="3"/>
    <x v="2"/>
    <x v="2"/>
    <x v="0"/>
    <x v="3"/>
    <s v="Halteres 10kg"/>
    <x v="0"/>
    <n v="356.52"/>
    <n v="0.05"/>
    <n v="203.25"/>
    <s v="Concluída"/>
    <n v="356.52"/>
    <n v="17.826000000000001"/>
    <n v="338.69399999999996"/>
    <n v="203.25"/>
    <x v="253"/>
    <n v="2.5006201825108536"/>
  </r>
  <r>
    <x v="3"/>
    <s v="VD-0252"/>
    <d v="2025-04-27T00:00:00"/>
    <x v="5"/>
    <x v="1"/>
    <x v="0"/>
    <x v="11"/>
    <x v="1"/>
    <s v="Notebook Nova 14"/>
    <x v="0"/>
    <n v="4020"/>
    <n v="0.1"/>
    <n v="3069.57"/>
    <s v="Concluída"/>
    <n v="4020"/>
    <n v="402"/>
    <n v="3618"/>
    <n v="3069.57"/>
    <x v="254"/>
    <n v="6.5970132924894722"/>
  </r>
  <r>
    <x v="3"/>
    <s v="VD-0212"/>
    <d v="2025-04-28T00:00:00"/>
    <x v="4"/>
    <x v="2"/>
    <x v="1"/>
    <x v="3"/>
    <x v="0"/>
    <s v="Creme Facial"/>
    <x v="0"/>
    <n v="138.27000000000001"/>
    <n v="0.1"/>
    <n v="47.07"/>
    <s v="Concluída"/>
    <n v="138.27000000000001"/>
    <n v="13.827000000000002"/>
    <n v="124.44300000000001"/>
    <n v="47.07"/>
    <x v="255"/>
    <n v="1.6083517506106779"/>
  </r>
  <r>
    <x v="3"/>
    <s v="VD-0217"/>
    <d v="2025-04-28T00:00:00"/>
    <x v="7"/>
    <x v="3"/>
    <x v="0"/>
    <x v="4"/>
    <x v="2"/>
    <s v="Panela Pressão 6L"/>
    <x v="0"/>
    <n v="445.25"/>
    <n v="0.2"/>
    <n v="235.47"/>
    <s v="Concluída"/>
    <n v="445.25"/>
    <n v="89.050000000000011"/>
    <n v="356.2"/>
    <n v="235.47"/>
    <x v="256"/>
    <n v="2.9503851569618158"/>
  </r>
  <r>
    <x v="3"/>
    <s v="VD-0271"/>
    <d v="2025-04-28T00:00:00"/>
    <x v="7"/>
    <x v="3"/>
    <x v="1"/>
    <x v="11"/>
    <x v="1"/>
    <s v="Monitor 27 Ultra"/>
    <x v="0"/>
    <n v="1206.58"/>
    <n v="0"/>
    <n v="859.18"/>
    <s v="Concluída"/>
    <n v="1206.58"/>
    <n v="0"/>
    <n v="1206.58"/>
    <n v="859.18"/>
    <x v="257"/>
    <n v="3.4731721358664362"/>
  </r>
  <r>
    <x v="3"/>
    <s v="VD-0273"/>
    <d v="2025-04-28T00:00:00"/>
    <x v="4"/>
    <x v="2"/>
    <x v="1"/>
    <x v="1"/>
    <x v="4"/>
    <s v="Óculos Sol"/>
    <x v="0"/>
    <n v="396.67"/>
    <n v="0.1"/>
    <n v="179.43"/>
    <s v="Concluída"/>
    <n v="396.67"/>
    <n v="39.667000000000002"/>
    <n v="357.00300000000004"/>
    <n v="179.43"/>
    <x v="258"/>
    <n v="2.0104576709297022"/>
  </r>
  <r>
    <x v="4"/>
    <s v="VD-0278"/>
    <d v="2025-05-01T00:00:00"/>
    <x v="0"/>
    <x v="0"/>
    <x v="3"/>
    <x v="3"/>
    <x v="3"/>
    <s v="Colchonete Pro"/>
    <x v="0"/>
    <n v="149.57"/>
    <n v="0.2"/>
    <n v="60.07"/>
    <s v="Concluída"/>
    <n v="149.57"/>
    <n v="29.914000000000001"/>
    <n v="119.65599999999999"/>
    <n v="60.07"/>
    <x v="259"/>
    <n v="2.0081227133890511"/>
  </r>
  <r>
    <x v="4"/>
    <s v="VD-0279"/>
    <d v="2025-05-01T00:00:00"/>
    <x v="0"/>
    <x v="0"/>
    <x v="1"/>
    <x v="10"/>
    <x v="2"/>
    <s v="Kit Lençol 4p"/>
    <x v="0"/>
    <n v="271.14999999999998"/>
    <n v="0.05"/>
    <n v="117.91"/>
    <s v="Concluída"/>
    <n v="271.14999999999998"/>
    <n v="13.557499999999999"/>
    <n v="257.59249999999997"/>
    <n v="117.91"/>
    <x v="260"/>
    <n v="1.8441286489001845"/>
  </r>
  <r>
    <x v="4"/>
    <s v="VD-0329"/>
    <d v="2025-05-01T00:00:00"/>
    <x v="5"/>
    <x v="1"/>
    <x v="1"/>
    <x v="0"/>
    <x v="0"/>
    <s v="Secador Pro"/>
    <x v="0"/>
    <n v="435.4"/>
    <n v="0"/>
    <n v="235.96"/>
    <s v="Concluída"/>
    <n v="435.4"/>
    <n v="0"/>
    <n v="435.4"/>
    <n v="235.96"/>
    <x v="261"/>
    <n v="2.1831127156036905"/>
  </r>
  <r>
    <x v="4"/>
    <s v="VD-0284"/>
    <d v="2025-05-02T00:00:00"/>
    <x v="1"/>
    <x v="0"/>
    <x v="1"/>
    <x v="2"/>
    <x v="1"/>
    <s v="Teclado Mecânico"/>
    <x v="0"/>
    <n v="394.78"/>
    <n v="0.08"/>
    <n v="224.86"/>
    <s v="Concluída"/>
    <n v="394.78"/>
    <n v="31.5824"/>
    <n v="363.19759999999997"/>
    <n v="224.86"/>
    <x v="262"/>
    <n v="2.6254438417321109"/>
  </r>
  <r>
    <x v="4"/>
    <s v="VD-0313"/>
    <d v="2025-05-02T00:00:00"/>
    <x v="2"/>
    <x v="1"/>
    <x v="1"/>
    <x v="1"/>
    <x v="3"/>
    <s v="Bike Urbana"/>
    <x v="0"/>
    <n v="2357.2199999999998"/>
    <n v="0.15"/>
    <n v="1572.73"/>
    <s v="Concluída"/>
    <n v="2357.2199999999998"/>
    <n v="353.58299999999997"/>
    <n v="2003.6369999999997"/>
    <n v="1572.73"/>
    <x v="263"/>
    <n v="4.6498130687132049"/>
  </r>
  <r>
    <x v="4"/>
    <s v="VD-0327"/>
    <d v="2025-05-02T00:00:00"/>
    <x v="0"/>
    <x v="0"/>
    <x v="1"/>
    <x v="11"/>
    <x v="1"/>
    <s v="Monitor 27 Ultra"/>
    <x v="1"/>
    <n v="1370.46"/>
    <n v="0.1"/>
    <n v="959.05"/>
    <s v="Concluída"/>
    <n v="2740.92"/>
    <n v="274.09200000000004"/>
    <n v="2466.828"/>
    <n v="1918.1"/>
    <x v="264"/>
    <n v="4.4955387733084509"/>
  </r>
  <r>
    <x v="4"/>
    <s v="VD-0332"/>
    <d v="2025-05-02T00:00:00"/>
    <x v="7"/>
    <x v="3"/>
    <x v="3"/>
    <x v="0"/>
    <x v="0"/>
    <s v="Balança Smart"/>
    <x v="0"/>
    <n v="254.74"/>
    <n v="0.15"/>
    <n v="113.39"/>
    <s v="Concluída"/>
    <n v="254.74"/>
    <n v="38.210999999999999"/>
    <n v="216.529"/>
    <n v="113.39"/>
    <x v="265"/>
    <n v="2.0993901433987143"/>
  </r>
  <r>
    <x v="4"/>
    <s v="VD-0324"/>
    <d v="2025-05-03T00:00:00"/>
    <x v="3"/>
    <x v="2"/>
    <x v="1"/>
    <x v="2"/>
    <x v="4"/>
    <s v="Mochila Urban"/>
    <x v="0"/>
    <n v="333.44"/>
    <n v="0"/>
    <n v="154.66"/>
    <s v="Concluída"/>
    <n v="333.44"/>
    <n v="0"/>
    <n v="333.44"/>
    <n v="154.66"/>
    <x v="266"/>
    <n v="1.8650855800425103"/>
  </r>
  <r>
    <x v="4"/>
    <s v="VD-0328"/>
    <d v="2025-05-03T00:00:00"/>
    <x v="1"/>
    <x v="0"/>
    <x v="0"/>
    <x v="10"/>
    <x v="1"/>
    <s v="Fone Wave"/>
    <x v="0"/>
    <n v="234.98"/>
    <n v="0.2"/>
    <n v="108.83"/>
    <s v="Concluída"/>
    <n v="234.98"/>
    <n v="46.996000000000002"/>
    <n v="187.98399999999998"/>
    <n v="108.83"/>
    <x v="267"/>
    <n v="2.3749147231978172"/>
  </r>
  <r>
    <x v="4"/>
    <s v="VD-0337"/>
    <d v="2025-05-03T00:00:00"/>
    <x v="5"/>
    <x v="1"/>
    <x v="0"/>
    <x v="7"/>
    <x v="1"/>
    <s v="Notebook Nova 14"/>
    <x v="0"/>
    <n v="4142.5"/>
    <n v="0.15"/>
    <n v="3241.53"/>
    <s v="Concluída"/>
    <n v="4142.5"/>
    <n v="621.375"/>
    <n v="3521.125"/>
    <n v="3241.53"/>
    <x v="268"/>
    <n v="12.593662261485372"/>
  </r>
  <r>
    <x v="4"/>
    <s v="VD-0346"/>
    <d v="2025-05-03T00:00:00"/>
    <x v="5"/>
    <x v="1"/>
    <x v="2"/>
    <x v="6"/>
    <x v="4"/>
    <s v="Óculos Sol"/>
    <x v="0"/>
    <n v="354.91"/>
    <n v="0.05"/>
    <n v="160.74"/>
    <s v="Concluída"/>
    <n v="354.91"/>
    <n v="17.745500000000003"/>
    <n v="337.16450000000003"/>
    <n v="160.74"/>
    <x v="269"/>
    <n v="1.9110979484141941"/>
  </r>
  <r>
    <x v="4"/>
    <s v="VD-0275"/>
    <d v="2025-05-04T00:00:00"/>
    <x v="3"/>
    <x v="2"/>
    <x v="3"/>
    <x v="6"/>
    <x v="0"/>
    <s v="Secador Pro"/>
    <x v="0"/>
    <n v="411.71"/>
    <n v="0.15"/>
    <n v="235.05"/>
    <s v="Concluída"/>
    <n v="411.71"/>
    <n v="61.756499999999996"/>
    <n v="349.95349999999996"/>
    <n v="235.05"/>
    <x v="270"/>
    <n v="3.0456295935284836"/>
  </r>
  <r>
    <x v="4"/>
    <s v="VD-0307"/>
    <d v="2025-05-04T00:00:00"/>
    <x v="3"/>
    <x v="2"/>
    <x v="3"/>
    <x v="2"/>
    <x v="3"/>
    <s v="Halteres 10kg"/>
    <x v="0"/>
    <n v="387.02"/>
    <n v="0.03"/>
    <n v="220.87"/>
    <s v="Concluída"/>
    <n v="387.02"/>
    <n v="11.6106"/>
    <n v="375.40940000000001"/>
    <n v="220.87"/>
    <x v="271"/>
    <n v="2.4292148151215809"/>
  </r>
  <r>
    <x v="4"/>
    <s v="VD-0321"/>
    <d v="2025-05-04T00:00:00"/>
    <x v="4"/>
    <x v="2"/>
    <x v="1"/>
    <x v="0"/>
    <x v="4"/>
    <s v="Mochila Urban"/>
    <x v="1"/>
    <n v="332.01"/>
    <n v="0.1"/>
    <n v="156.19999999999999"/>
    <s v="Concluída"/>
    <n v="664.02"/>
    <n v="66.402000000000001"/>
    <n v="597.61799999999994"/>
    <n v="312.39999999999998"/>
    <x v="272"/>
    <n v="2.0953025405128711"/>
  </r>
  <r>
    <x v="4"/>
    <s v="VD-0326"/>
    <d v="2025-05-04T00:00:00"/>
    <x v="7"/>
    <x v="3"/>
    <x v="3"/>
    <x v="3"/>
    <x v="4"/>
    <s v="Relógio Fit"/>
    <x v="0"/>
    <n v="704.84"/>
    <n v="0.1"/>
    <n v="348.02"/>
    <s v="Concluída"/>
    <n v="704.84"/>
    <n v="70.484000000000009"/>
    <n v="634.35599999999999"/>
    <n v="348.02"/>
    <x v="273"/>
    <n v="2.2154252346893157"/>
  </r>
  <r>
    <x v="4"/>
    <s v="VD-0280"/>
    <d v="2025-05-05T00:00:00"/>
    <x v="6"/>
    <x v="0"/>
    <x v="1"/>
    <x v="10"/>
    <x v="1"/>
    <s v="Monitor 27 Ultra"/>
    <x v="0"/>
    <n v="1211.33"/>
    <n v="0"/>
    <n v="852.99"/>
    <s v="Concluída"/>
    <n v="1211.33"/>
    <n v="0"/>
    <n v="1211.33"/>
    <n v="852.99"/>
    <x v="274"/>
    <n v="3.3803929229223648"/>
  </r>
  <r>
    <x v="4"/>
    <s v="VD-0303"/>
    <d v="2025-05-05T00:00:00"/>
    <x v="1"/>
    <x v="0"/>
    <x v="3"/>
    <x v="2"/>
    <x v="0"/>
    <s v="Balança Smart"/>
    <x v="1"/>
    <n v="225.49"/>
    <n v="0.1"/>
    <n v="100.35"/>
    <s v="Concluída"/>
    <n v="450.98"/>
    <n v="45.098000000000006"/>
    <n v="405.88200000000001"/>
    <n v="200.7"/>
    <x v="275"/>
    <n v="1.9781559785946135"/>
  </r>
  <r>
    <x v="4"/>
    <s v="VD-0341"/>
    <d v="2025-05-05T00:00:00"/>
    <x v="4"/>
    <x v="2"/>
    <x v="1"/>
    <x v="1"/>
    <x v="3"/>
    <s v="Esteira Compacta"/>
    <x v="0"/>
    <n v="2605.1"/>
    <n v="0.15"/>
    <n v="1789.05"/>
    <s v="Concluída"/>
    <n v="2605.1"/>
    <n v="390.76499999999999"/>
    <n v="2214.335"/>
    <n v="1789.05"/>
    <x v="276"/>
    <n v="5.2067084425738024"/>
  </r>
  <r>
    <x v="4"/>
    <s v="VD-0286"/>
    <d v="2025-05-06T00:00:00"/>
    <x v="4"/>
    <x v="2"/>
    <x v="3"/>
    <x v="7"/>
    <x v="4"/>
    <s v="Mochila Urban"/>
    <x v="1"/>
    <n v="337.65"/>
    <n v="0.15"/>
    <n v="157.36000000000001"/>
    <s v="Concluída"/>
    <n v="675.3"/>
    <n v="101.29499999999999"/>
    <n v="574.005"/>
    <n v="314.72000000000003"/>
    <x v="277"/>
    <n v="2.2137994870509288"/>
  </r>
  <r>
    <x v="4"/>
    <s v="VD-0292"/>
    <d v="2025-05-06T00:00:00"/>
    <x v="0"/>
    <x v="0"/>
    <x v="3"/>
    <x v="3"/>
    <x v="1"/>
    <s v="Mouse Pro"/>
    <x v="0"/>
    <n v="195.29"/>
    <n v="0.15"/>
    <n v="88.34"/>
    <s v="Concluída"/>
    <n v="195.29"/>
    <n v="29.293499999999998"/>
    <n v="165.9965"/>
    <n v="88.34"/>
    <x v="278"/>
    <n v="2.1375738025793076"/>
  </r>
  <r>
    <x v="4"/>
    <s v="VD-0340"/>
    <d v="2025-05-08T00:00:00"/>
    <x v="7"/>
    <x v="3"/>
    <x v="3"/>
    <x v="6"/>
    <x v="1"/>
    <s v="Fone Wave"/>
    <x v="0"/>
    <n v="262.35000000000002"/>
    <n v="0.2"/>
    <n v="121.81"/>
    <s v="Concluída"/>
    <n v="262.35000000000002"/>
    <n v="52.470000000000006"/>
    <n v="209.88000000000002"/>
    <n v="121.81"/>
    <x v="279"/>
    <n v="2.3831043488134434"/>
  </r>
  <r>
    <x v="4"/>
    <s v="VD-0301"/>
    <d v="2025-05-10T00:00:00"/>
    <x v="3"/>
    <x v="2"/>
    <x v="0"/>
    <x v="1"/>
    <x v="2"/>
    <s v="Tapete Sala"/>
    <x v="0"/>
    <n v="561.22"/>
    <n v="0.05"/>
    <n v="288.63"/>
    <s v="Concluída"/>
    <n v="561.22"/>
    <n v="28.061000000000003"/>
    <n v="533.15899999999999"/>
    <n v="288.63"/>
    <x v="280"/>
    <n v="2.1803507968380029"/>
  </r>
  <r>
    <x v="4"/>
    <s v="VD-0276"/>
    <d v="2025-05-11T00:00:00"/>
    <x v="1"/>
    <x v="0"/>
    <x v="1"/>
    <x v="4"/>
    <x v="1"/>
    <s v="Notebook Nova 14"/>
    <x v="0"/>
    <n v="4002.43"/>
    <n v="0.08"/>
    <n v="3070.48"/>
    <s v="Concluída"/>
    <n v="4002.43"/>
    <n v="320.19439999999997"/>
    <n v="3682.2356"/>
    <n v="3070.48"/>
    <x v="281"/>
    <n v="6.0191285539519379"/>
  </r>
  <r>
    <x v="4"/>
    <s v="VD-0291"/>
    <d v="2025-05-11T00:00:00"/>
    <x v="2"/>
    <x v="1"/>
    <x v="2"/>
    <x v="4"/>
    <x v="1"/>
    <s v="Teclado Mecânico"/>
    <x v="0"/>
    <n v="389.6"/>
    <n v="0"/>
    <n v="229.27"/>
    <s v="Concluída"/>
    <n v="389.6"/>
    <n v="0"/>
    <n v="389.6"/>
    <n v="229.27"/>
    <x v="282"/>
    <n v="2.4299881494417761"/>
  </r>
  <r>
    <x v="4"/>
    <s v="VD-0314"/>
    <d v="2025-05-11T00:00:00"/>
    <x v="6"/>
    <x v="0"/>
    <x v="1"/>
    <x v="7"/>
    <x v="1"/>
    <s v="Fone Wave"/>
    <x v="1"/>
    <n v="239.16"/>
    <n v="0.05"/>
    <n v="113.98"/>
    <s v="Concluída"/>
    <n v="478.32"/>
    <n v="23.916"/>
    <n v="454.404"/>
    <n v="227.96"/>
    <x v="283"/>
    <n v="2.0066948119623396"/>
  </r>
  <r>
    <x v="4"/>
    <s v="VD-0320"/>
    <d v="2025-05-11T00:00:00"/>
    <x v="4"/>
    <x v="2"/>
    <x v="3"/>
    <x v="3"/>
    <x v="1"/>
    <s v="Teclado Mecânico"/>
    <x v="0"/>
    <n v="420.48"/>
    <n v="0.05"/>
    <n v="237.8"/>
    <s v="Cancelada"/>
    <n v="420.48"/>
    <n v="21.024000000000001"/>
    <n v="0"/>
    <n v="0"/>
    <x v="2"/>
    <s v="sem Valor"/>
  </r>
  <r>
    <x v="4"/>
    <s v="VD-0339"/>
    <d v="2025-05-11T00:00:00"/>
    <x v="4"/>
    <x v="2"/>
    <x v="3"/>
    <x v="9"/>
    <x v="1"/>
    <s v="Monitor 27 Ultra"/>
    <x v="0"/>
    <n v="1369.16"/>
    <n v="0.05"/>
    <n v="925.5"/>
    <s v="Cancelada"/>
    <n v="1369.16"/>
    <n v="68.458000000000013"/>
    <n v="0"/>
    <n v="0"/>
    <x v="2"/>
    <s v="sem Valor"/>
  </r>
  <r>
    <x v="4"/>
    <s v="VD-0287"/>
    <d v="2025-05-12T00:00:00"/>
    <x v="3"/>
    <x v="2"/>
    <x v="1"/>
    <x v="7"/>
    <x v="1"/>
    <s v="Notebook Nova 14"/>
    <x v="0"/>
    <n v="4059.38"/>
    <n v="0.15"/>
    <n v="3153.48"/>
    <s v="Concluída"/>
    <n v="4059.38"/>
    <n v="608.90700000000004"/>
    <n v="3450.473"/>
    <n v="3153.48"/>
    <x v="284"/>
    <n v="11.618028034330777"/>
  </r>
  <r>
    <x v="4"/>
    <s v="VD-0295"/>
    <d v="2025-05-12T00:00:00"/>
    <x v="3"/>
    <x v="2"/>
    <x v="1"/>
    <x v="3"/>
    <x v="0"/>
    <s v="Balança Smart"/>
    <x v="0"/>
    <n v="255.25"/>
    <n v="0.05"/>
    <n v="108.18"/>
    <s v="Concluída"/>
    <n v="255.25"/>
    <n v="12.762500000000001"/>
    <n v="242.48750000000001"/>
    <n v="108.18"/>
    <x v="285"/>
    <n v="1.8054650708262756"/>
  </r>
  <r>
    <x v="4"/>
    <s v="VD-0296"/>
    <d v="2025-05-12T00:00:00"/>
    <x v="7"/>
    <x v="3"/>
    <x v="0"/>
    <x v="4"/>
    <x v="1"/>
    <s v="Notebook Nova 14"/>
    <x v="0"/>
    <n v="3709.02"/>
    <n v="0.25"/>
    <n v="2921.29"/>
    <s v="Concluída"/>
    <n v="3709.02"/>
    <n v="927.255"/>
    <n v="2781.7649999999999"/>
    <n v="2921.29"/>
    <x v="286"/>
    <n v="-19.937394732126844"/>
  </r>
  <r>
    <x v="4"/>
    <s v="VD-0298"/>
    <d v="2025-05-12T00:00:00"/>
    <x v="2"/>
    <x v="1"/>
    <x v="1"/>
    <x v="8"/>
    <x v="1"/>
    <s v="Teclado Mecânico"/>
    <x v="1"/>
    <n v="395.99"/>
    <n v="0"/>
    <n v="223.17"/>
    <s v="Concluída"/>
    <n v="791.98"/>
    <n v="0"/>
    <n v="791.98"/>
    <n v="446.34"/>
    <x v="287"/>
    <n v="2.2913435944913783"/>
  </r>
  <r>
    <x v="4"/>
    <s v="VD-0311"/>
    <d v="2025-05-12T00:00:00"/>
    <x v="0"/>
    <x v="0"/>
    <x v="3"/>
    <x v="3"/>
    <x v="0"/>
    <s v="Creme Facial"/>
    <x v="0"/>
    <n v="142.99"/>
    <n v="0.05"/>
    <n v="50.47"/>
    <s v="Concluída"/>
    <n v="142.99"/>
    <n v="7.1495000000000006"/>
    <n v="135.84050000000002"/>
    <n v="50.47"/>
    <x v="288"/>
    <n v="1.5911878224913756"/>
  </r>
  <r>
    <x v="4"/>
    <s v="VD-0282"/>
    <d v="2025-05-13T00:00:00"/>
    <x v="1"/>
    <x v="0"/>
    <x v="0"/>
    <x v="2"/>
    <x v="2"/>
    <s v="Tapete Sala"/>
    <x v="1"/>
    <n v="492.5"/>
    <n v="0.05"/>
    <n v="249.16"/>
    <s v="Concluída"/>
    <n v="985"/>
    <n v="49.25"/>
    <n v="935.75"/>
    <n v="498.32"/>
    <x v="289"/>
    <n v="2.1391994147635049"/>
  </r>
  <r>
    <x v="4"/>
    <s v="VD-0293"/>
    <d v="2025-05-13T00:00:00"/>
    <x v="1"/>
    <x v="0"/>
    <x v="1"/>
    <x v="11"/>
    <x v="0"/>
    <s v="Creme Facial"/>
    <x v="1"/>
    <n v="140.41"/>
    <n v="0.08"/>
    <n v="51.06"/>
    <s v="Concluída"/>
    <n v="280.82"/>
    <n v="22.465599999999998"/>
    <n v="258.3544"/>
    <n v="102.12"/>
    <x v="290"/>
    <n v="1.653633258744553"/>
  </r>
  <r>
    <x v="4"/>
    <s v="VD-0299"/>
    <d v="2025-05-13T00:00:00"/>
    <x v="6"/>
    <x v="0"/>
    <x v="3"/>
    <x v="4"/>
    <x v="0"/>
    <s v="Creme Facial"/>
    <x v="1"/>
    <n v="140.07"/>
    <n v="0.1"/>
    <n v="49.68"/>
    <s v="Cancelada"/>
    <n v="280.14"/>
    <n v="28.013999999999999"/>
    <n v="0"/>
    <n v="0"/>
    <x v="2"/>
    <s v="sem Valor"/>
  </r>
  <r>
    <x v="4"/>
    <s v="VD-0312"/>
    <d v="2025-05-13T00:00:00"/>
    <x v="1"/>
    <x v="0"/>
    <x v="0"/>
    <x v="5"/>
    <x v="2"/>
    <s v="Cadeira Escritório"/>
    <x v="0"/>
    <n v="1116.82"/>
    <n v="0.1"/>
    <n v="831.71"/>
    <s v="Concluída"/>
    <n v="1116.82"/>
    <n v="111.682"/>
    <n v="1005.1379999999999"/>
    <n v="831.71"/>
    <x v="291"/>
    <n v="5.7957077288557821"/>
  </r>
  <r>
    <x v="4"/>
    <s v="VD-0304"/>
    <d v="2025-05-14T00:00:00"/>
    <x v="5"/>
    <x v="1"/>
    <x v="3"/>
    <x v="7"/>
    <x v="3"/>
    <s v="Bike Urbana"/>
    <x v="0"/>
    <n v="2190.69"/>
    <n v="0.03"/>
    <n v="1453.87"/>
    <s v="Concluída"/>
    <n v="2190.69"/>
    <n v="65.720699999999994"/>
    <n v="2124.9693000000002"/>
    <n v="1453.87"/>
    <x v="292"/>
    <n v="3.1664007099992495"/>
  </r>
  <r>
    <x v="4"/>
    <s v="VD-0315"/>
    <d v="2025-05-15T00:00:00"/>
    <x v="2"/>
    <x v="1"/>
    <x v="0"/>
    <x v="3"/>
    <x v="1"/>
    <s v="Notebook Nova 14"/>
    <x v="0"/>
    <n v="3751.38"/>
    <n v="0.1"/>
    <n v="2981.03"/>
    <s v="Concluída"/>
    <n v="3751.38"/>
    <n v="375.13800000000003"/>
    <n v="3376.2420000000002"/>
    <n v="2981.03"/>
    <x v="293"/>
    <n v="8.5428630709593847"/>
  </r>
  <r>
    <x v="4"/>
    <s v="VD-0317"/>
    <d v="2025-05-15T00:00:00"/>
    <x v="2"/>
    <x v="1"/>
    <x v="0"/>
    <x v="3"/>
    <x v="1"/>
    <s v="Fone Wave"/>
    <x v="0"/>
    <n v="265.41000000000003"/>
    <n v="0.2"/>
    <n v="126.88"/>
    <s v="Concluída"/>
    <n v="265.41000000000003"/>
    <n v="53.082000000000008"/>
    <n v="212.32800000000003"/>
    <n v="126.88"/>
    <x v="294"/>
    <n v="2.484879692912648"/>
  </r>
  <r>
    <x v="4"/>
    <s v="VD-0331"/>
    <d v="2025-05-15T00:00:00"/>
    <x v="4"/>
    <x v="2"/>
    <x v="3"/>
    <x v="5"/>
    <x v="2"/>
    <s v="Air Fryer 5L"/>
    <x v="2"/>
    <n v="739.14"/>
    <n v="0.2"/>
    <n v="416.08"/>
    <s v="Concluída"/>
    <n v="2217.42"/>
    <n v="443.48400000000004"/>
    <n v="1773.9360000000001"/>
    <n v="1248.24"/>
    <x v="295"/>
    <n v="3.3744521548575594"/>
  </r>
  <r>
    <x v="4"/>
    <s v="VD-0335"/>
    <d v="2025-05-15T00:00:00"/>
    <x v="1"/>
    <x v="0"/>
    <x v="3"/>
    <x v="8"/>
    <x v="2"/>
    <s v="Panela Pressão 6L"/>
    <x v="0"/>
    <n v="475.46"/>
    <n v="0.2"/>
    <n v="268.88"/>
    <s v="Concluída"/>
    <n v="475.46"/>
    <n v="95.091999999999999"/>
    <n v="380.36799999999999"/>
    <n v="268.88"/>
    <x v="296"/>
    <n v="3.4117393800229623"/>
  </r>
  <r>
    <x v="4"/>
    <s v="VD-0342"/>
    <d v="2025-05-15T00:00:00"/>
    <x v="1"/>
    <x v="0"/>
    <x v="3"/>
    <x v="5"/>
    <x v="2"/>
    <s v="Air Fryer 5L"/>
    <x v="0"/>
    <n v="682.71"/>
    <n v="0.05"/>
    <n v="403.57"/>
    <s v="Concluída"/>
    <n v="682.71"/>
    <n v="34.1355"/>
    <n v="648.57450000000006"/>
    <n v="403.57"/>
    <x v="297"/>
    <n v="2.6471942352079241"/>
  </r>
  <r>
    <x v="4"/>
    <s v="VD-0289"/>
    <d v="2025-05-16T00:00:00"/>
    <x v="1"/>
    <x v="0"/>
    <x v="3"/>
    <x v="11"/>
    <x v="3"/>
    <s v="Bike Urbana"/>
    <x v="0"/>
    <n v="2123.63"/>
    <n v="0.15"/>
    <n v="1413.85"/>
    <s v="Concluída"/>
    <n v="2123.63"/>
    <n v="318.54450000000003"/>
    <n v="1805.0855000000001"/>
    <n v="1413.85"/>
    <x v="298"/>
    <n v="4.6138080516722004"/>
  </r>
  <r>
    <x v="4"/>
    <s v="VD-0334"/>
    <d v="2025-05-16T00:00:00"/>
    <x v="3"/>
    <x v="2"/>
    <x v="1"/>
    <x v="0"/>
    <x v="4"/>
    <s v="Relógio Fit"/>
    <x v="1"/>
    <n v="721.81"/>
    <n v="0.05"/>
    <n v="355.13"/>
    <s v="Concluída"/>
    <n v="1443.62"/>
    <n v="72.180999999999997"/>
    <n v="1371.4389999999999"/>
    <n v="710.26"/>
    <x v="299"/>
    <n v="2.0742325451957795"/>
  </r>
  <r>
    <x v="4"/>
    <s v="VD-0336"/>
    <d v="2025-05-16T00:00:00"/>
    <x v="7"/>
    <x v="3"/>
    <x v="1"/>
    <x v="4"/>
    <x v="3"/>
    <s v="Halteres 10kg"/>
    <x v="0"/>
    <n v="386.18"/>
    <n v="0.15"/>
    <n v="209.13"/>
    <s v="Concluída"/>
    <n v="386.18"/>
    <n v="57.927"/>
    <n v="328.25299999999999"/>
    <n v="209.13"/>
    <x v="300"/>
    <n v="2.755580366511925"/>
  </r>
  <r>
    <x v="4"/>
    <s v="VD-0338"/>
    <d v="2025-05-16T00:00:00"/>
    <x v="1"/>
    <x v="0"/>
    <x v="3"/>
    <x v="1"/>
    <x v="1"/>
    <s v="Fone Wave"/>
    <x v="1"/>
    <n v="262.61"/>
    <n v="0.15"/>
    <n v="125.79"/>
    <s v="Concluída"/>
    <n v="525.22"/>
    <n v="78.783000000000001"/>
    <n v="446.43700000000001"/>
    <n v="251.58"/>
    <x v="301"/>
    <n v="2.2911006532995994"/>
  </r>
  <r>
    <x v="4"/>
    <s v="VD-0288"/>
    <d v="2025-05-17T00:00:00"/>
    <x v="0"/>
    <x v="0"/>
    <x v="0"/>
    <x v="2"/>
    <x v="3"/>
    <s v="Colchonete Pro"/>
    <x v="0"/>
    <n v="148.87"/>
    <n v="0.15"/>
    <n v="60.8"/>
    <s v="Concluída"/>
    <n v="148.87"/>
    <n v="22.330500000000001"/>
    <n v="126.5395"/>
    <n v="60.8"/>
    <x v="302"/>
    <n v="1.9248625255744263"/>
  </r>
  <r>
    <x v="4"/>
    <s v="VD-0308"/>
    <d v="2025-05-17T00:00:00"/>
    <x v="2"/>
    <x v="1"/>
    <x v="0"/>
    <x v="6"/>
    <x v="0"/>
    <s v="Balança Smart"/>
    <x v="0"/>
    <n v="256.95"/>
    <n v="0.1"/>
    <n v="109.13"/>
    <s v="Concluída"/>
    <n v="256.95"/>
    <n v="25.695"/>
    <n v="231.255"/>
    <n v="109.13"/>
    <x v="303"/>
    <n v="1.8935926305015354"/>
  </r>
  <r>
    <x v="4"/>
    <s v="VD-0310"/>
    <d v="2025-05-17T00:00:00"/>
    <x v="5"/>
    <x v="1"/>
    <x v="0"/>
    <x v="6"/>
    <x v="4"/>
    <s v="Óculos Sol"/>
    <x v="0"/>
    <n v="392.62"/>
    <n v="0.05"/>
    <n v="178.85"/>
    <s v="Concluída"/>
    <n v="392.62"/>
    <n v="19.631"/>
    <n v="372.98900000000003"/>
    <n v="178.85"/>
    <x v="304"/>
    <n v="1.9212471476622417"/>
  </r>
  <r>
    <x v="4"/>
    <s v="VD-0322"/>
    <d v="2025-05-17T00:00:00"/>
    <x v="1"/>
    <x v="0"/>
    <x v="3"/>
    <x v="0"/>
    <x v="3"/>
    <s v="Colchonete Pro"/>
    <x v="2"/>
    <n v="143.44999999999999"/>
    <n v="0.1"/>
    <n v="58.64"/>
    <s v="Concluída"/>
    <n v="430.34999999999997"/>
    <n v="43.034999999999997"/>
    <n v="387.31499999999994"/>
    <n v="175.92000000000002"/>
    <x v="305"/>
    <n v="1.8321861917263893"/>
  </r>
  <r>
    <x v="4"/>
    <s v="VD-0325"/>
    <d v="2025-05-17T00:00:00"/>
    <x v="7"/>
    <x v="3"/>
    <x v="0"/>
    <x v="7"/>
    <x v="4"/>
    <s v="Relógio Fit"/>
    <x v="0"/>
    <n v="744.39"/>
    <n v="0.1"/>
    <n v="349.64"/>
    <s v="Concluída"/>
    <n v="744.39"/>
    <n v="74.439000000000007"/>
    <n v="669.95100000000002"/>
    <n v="349.64"/>
    <x v="306"/>
    <n v="2.0915641361052226"/>
  </r>
  <r>
    <x v="4"/>
    <s v="VD-0330"/>
    <d v="2025-05-17T00:00:00"/>
    <x v="5"/>
    <x v="1"/>
    <x v="2"/>
    <x v="8"/>
    <x v="1"/>
    <s v="Mouse Pro"/>
    <x v="0"/>
    <n v="181.58"/>
    <n v="0.05"/>
    <n v="80.22"/>
    <s v="Concluída"/>
    <n v="181.58"/>
    <n v="9.0790000000000006"/>
    <n v="172.501"/>
    <n v="80.22"/>
    <x v="307"/>
    <n v="1.8693013729803534"/>
  </r>
  <r>
    <x v="4"/>
    <s v="VD-0345"/>
    <d v="2025-05-18T00:00:00"/>
    <x v="4"/>
    <x v="2"/>
    <x v="0"/>
    <x v="2"/>
    <x v="1"/>
    <s v="Monitor 27 Ultra"/>
    <x v="0"/>
    <n v="1219.3800000000001"/>
    <n v="0.05"/>
    <n v="844.35"/>
    <s v="Concluída"/>
    <n v="1219.3800000000001"/>
    <n v="60.969000000000008"/>
    <n v="1158.4110000000001"/>
    <n v="844.35"/>
    <x v="308"/>
    <n v="3.6884904524917133"/>
  </r>
  <r>
    <x v="4"/>
    <s v="VD-0283"/>
    <d v="2025-05-19T00:00:00"/>
    <x v="6"/>
    <x v="0"/>
    <x v="1"/>
    <x v="4"/>
    <x v="4"/>
    <s v="Óculos Sol"/>
    <x v="0"/>
    <n v="397.06"/>
    <n v="0"/>
    <n v="172.87"/>
    <s v="Concluída"/>
    <n v="397.06"/>
    <n v="0"/>
    <n v="397.06"/>
    <n v="172.87"/>
    <x v="309"/>
    <n v="1.7710870243989474"/>
  </r>
  <r>
    <x v="4"/>
    <s v="VD-0290"/>
    <d v="2025-05-19T00:00:00"/>
    <x v="2"/>
    <x v="1"/>
    <x v="2"/>
    <x v="7"/>
    <x v="2"/>
    <s v="Panela Pressão 6L"/>
    <x v="0"/>
    <n v="420.47"/>
    <n v="0.1"/>
    <n v="238.84"/>
    <s v="Concluída"/>
    <n v="420.47"/>
    <n v="42.047000000000004"/>
    <n v="378.423"/>
    <n v="238.84"/>
    <x v="310"/>
    <n v="2.711096623514325"/>
  </r>
  <r>
    <x v="4"/>
    <s v="VD-0294"/>
    <d v="2025-05-19T00:00:00"/>
    <x v="0"/>
    <x v="0"/>
    <x v="3"/>
    <x v="4"/>
    <x v="2"/>
    <s v="Air Fryer 5L"/>
    <x v="1"/>
    <n v="726.94"/>
    <n v="0.1"/>
    <n v="401.81"/>
    <s v="Concluída"/>
    <n v="1453.88"/>
    <n v="145.38800000000001"/>
    <n v="1308.4920000000002"/>
    <n v="803.62"/>
    <x v="311"/>
    <n v="2.5917301811152127"/>
  </r>
  <r>
    <x v="4"/>
    <s v="VD-0281"/>
    <d v="2025-05-20T00:00:00"/>
    <x v="0"/>
    <x v="0"/>
    <x v="3"/>
    <x v="7"/>
    <x v="1"/>
    <s v="Monitor 27 Ultra"/>
    <x v="0"/>
    <n v="1339.4"/>
    <n v="0.15"/>
    <n v="913.39"/>
    <s v="Concluída"/>
    <n v="1339.4"/>
    <n v="200.91"/>
    <n v="1138.49"/>
    <n v="913.39"/>
    <x v="312"/>
    <n v="5.0577076854731224"/>
  </r>
  <r>
    <x v="4"/>
    <s v="VD-0323"/>
    <d v="2025-05-20T00:00:00"/>
    <x v="7"/>
    <x v="3"/>
    <x v="1"/>
    <x v="7"/>
    <x v="2"/>
    <s v="Panela Pressão 6L"/>
    <x v="0"/>
    <n v="475.84"/>
    <n v="0.15"/>
    <n v="255.55"/>
    <s v="Concluída"/>
    <n v="475.84"/>
    <n v="71.375999999999991"/>
    <n v="404.464"/>
    <n v="255.55"/>
    <x v="313"/>
    <n v="2.716091166713674"/>
  </r>
  <r>
    <x v="4"/>
    <s v="VD-0274"/>
    <d v="2025-05-21T00:00:00"/>
    <x v="2"/>
    <x v="1"/>
    <x v="1"/>
    <x v="0"/>
    <x v="1"/>
    <s v="Fone Wave"/>
    <x v="0"/>
    <n v="232.71"/>
    <n v="0.08"/>
    <n v="109.56"/>
    <s v="Concluída"/>
    <n v="232.71"/>
    <n v="18.616800000000001"/>
    <n v="214.0932"/>
    <n v="109.56"/>
    <x v="314"/>
    <n v="2.0480880715409078"/>
  </r>
  <r>
    <x v="4"/>
    <s v="VD-0297"/>
    <d v="2025-05-21T00:00:00"/>
    <x v="4"/>
    <x v="2"/>
    <x v="3"/>
    <x v="11"/>
    <x v="0"/>
    <s v="Creme Facial"/>
    <x v="0"/>
    <n v="159.63999999999999"/>
    <n v="0.15"/>
    <n v="54.21"/>
    <s v="Concluída"/>
    <n v="159.63999999999999"/>
    <n v="23.945999999999998"/>
    <n v="135.69399999999999"/>
    <n v="54.21"/>
    <x v="315"/>
    <n v="1.6652839821314616"/>
  </r>
  <r>
    <x v="4"/>
    <s v="VD-0309"/>
    <d v="2025-05-21T00:00:00"/>
    <x v="1"/>
    <x v="0"/>
    <x v="2"/>
    <x v="0"/>
    <x v="1"/>
    <s v="Fone Wave"/>
    <x v="0"/>
    <n v="229.59"/>
    <n v="0.1"/>
    <n v="109.54"/>
    <s v="Concluída"/>
    <n v="229.59"/>
    <n v="22.959000000000003"/>
    <n v="206.631"/>
    <n v="109.54"/>
    <x v="316"/>
    <n v="2.1282199173970811"/>
  </r>
  <r>
    <x v="4"/>
    <s v="VD-0318"/>
    <d v="2025-05-21T00:00:00"/>
    <x v="1"/>
    <x v="0"/>
    <x v="1"/>
    <x v="5"/>
    <x v="4"/>
    <s v="Relógio Fit"/>
    <x v="0"/>
    <n v="688.99"/>
    <n v="0.1"/>
    <n v="322.93"/>
    <s v="Concluída"/>
    <n v="688.99"/>
    <n v="68.899000000000001"/>
    <n v="620.09100000000001"/>
    <n v="322.93"/>
    <x v="317"/>
    <n v="2.0867173013955398"/>
  </r>
  <r>
    <x v="4"/>
    <s v="VD-0347"/>
    <d v="2025-05-21T00:00:00"/>
    <x v="6"/>
    <x v="0"/>
    <x v="0"/>
    <x v="2"/>
    <x v="2"/>
    <s v="Kit Lençol 4p"/>
    <x v="0"/>
    <n v="302.49"/>
    <n v="0.15"/>
    <n v="128.99"/>
    <s v="Concluída"/>
    <n v="302.49"/>
    <n v="45.3735"/>
    <n v="257.11650000000003"/>
    <n v="128.99"/>
    <x v="318"/>
    <n v="2.0067394332944395"/>
  </r>
  <r>
    <x v="4"/>
    <s v="VD-0300"/>
    <d v="2025-05-23T00:00:00"/>
    <x v="4"/>
    <x v="2"/>
    <x v="1"/>
    <x v="7"/>
    <x v="2"/>
    <s v="Air Fryer 5L"/>
    <x v="0"/>
    <n v="689.05"/>
    <n v="0.1"/>
    <n v="394.69"/>
    <s v="Concluída"/>
    <n v="689.05"/>
    <n v="68.905000000000001"/>
    <n v="620.14499999999998"/>
    <n v="394.69"/>
    <x v="319"/>
    <n v="2.7506375995209686"/>
  </r>
  <r>
    <x v="4"/>
    <s v="VD-0344"/>
    <d v="2025-05-23T00:00:00"/>
    <x v="5"/>
    <x v="1"/>
    <x v="0"/>
    <x v="2"/>
    <x v="4"/>
    <s v="Óculos Sol"/>
    <x v="0"/>
    <n v="403.5"/>
    <n v="0.25"/>
    <n v="180.4"/>
    <s v="Concluída"/>
    <n v="403.5"/>
    <n v="100.875"/>
    <n v="302.625"/>
    <n v="180.4"/>
    <x v="320"/>
    <n v="2.4759664553078342"/>
  </r>
  <r>
    <x v="4"/>
    <s v="VD-0285"/>
    <d v="2025-05-24T00:00:00"/>
    <x v="3"/>
    <x v="2"/>
    <x v="1"/>
    <x v="1"/>
    <x v="1"/>
    <s v="Fone Wave"/>
    <x v="0"/>
    <n v="255.49"/>
    <n v="0.08"/>
    <n v="122.35"/>
    <s v="Concluída"/>
    <n v="255.49"/>
    <n v="20.4392"/>
    <n v="235.05080000000001"/>
    <n v="122.35"/>
    <x v="321"/>
    <n v="2.0856178483205086"/>
  </r>
  <r>
    <x v="4"/>
    <s v="VD-0277"/>
    <d v="2025-05-25T00:00:00"/>
    <x v="6"/>
    <x v="0"/>
    <x v="3"/>
    <x v="1"/>
    <x v="2"/>
    <s v="Kit Lençol 4p"/>
    <x v="0"/>
    <n v="292.43"/>
    <n v="0.1"/>
    <n v="127"/>
    <s v="Concluída"/>
    <n v="292.43"/>
    <n v="29.243000000000002"/>
    <n v="263.18700000000001"/>
    <n v="127"/>
    <x v="322"/>
    <n v="1.9325412851446906"/>
  </r>
  <r>
    <x v="4"/>
    <s v="VD-0333"/>
    <d v="2025-05-25T00:00:00"/>
    <x v="0"/>
    <x v="0"/>
    <x v="2"/>
    <x v="6"/>
    <x v="1"/>
    <s v="Monitor 27 Ultra"/>
    <x v="1"/>
    <n v="1300.18"/>
    <n v="0.05"/>
    <n v="894.55"/>
    <s v="Concluída"/>
    <n v="2600.36"/>
    <n v="130.018"/>
    <n v="2470.3420000000001"/>
    <n v="1789.1"/>
    <x v="323"/>
    <n v="3.6262326750259075"/>
  </r>
  <r>
    <x v="4"/>
    <s v="VD-0343"/>
    <d v="2025-05-25T00:00:00"/>
    <x v="1"/>
    <x v="0"/>
    <x v="3"/>
    <x v="5"/>
    <x v="4"/>
    <s v="Óculos Sol"/>
    <x v="0"/>
    <n v="376.54"/>
    <n v="0.2"/>
    <n v="164.76"/>
    <s v="Concluída"/>
    <n v="376.54"/>
    <n v="75.308000000000007"/>
    <n v="301.23200000000003"/>
    <n v="164.76"/>
    <x v="324"/>
    <n v="2.207280614338472"/>
  </r>
  <r>
    <x v="4"/>
    <s v="VD-0302"/>
    <d v="2025-05-26T00:00:00"/>
    <x v="2"/>
    <x v="1"/>
    <x v="3"/>
    <x v="2"/>
    <x v="4"/>
    <s v="Relógio Fit"/>
    <x v="0"/>
    <n v="739.38"/>
    <n v="0.15"/>
    <n v="351.38"/>
    <s v="Concluída"/>
    <n v="739.38"/>
    <n v="110.907"/>
    <n v="628.47299999999996"/>
    <n v="351.38"/>
    <x v="325"/>
    <n v="2.2680941055890984"/>
  </r>
  <r>
    <x v="4"/>
    <s v="VD-0306"/>
    <d v="2025-05-26T00:00:00"/>
    <x v="5"/>
    <x v="1"/>
    <x v="3"/>
    <x v="7"/>
    <x v="4"/>
    <s v="Relógio Fit"/>
    <x v="1"/>
    <n v="708.07"/>
    <n v="0.05"/>
    <n v="344.34"/>
    <s v="Concluída"/>
    <n v="1416.14"/>
    <n v="70.807000000000002"/>
    <n v="1345.3330000000001"/>
    <n v="688.68"/>
    <x v="326"/>
    <n v="2.0487730962928667"/>
  </r>
  <r>
    <x v="4"/>
    <s v="VD-0316"/>
    <d v="2025-05-27T00:00:00"/>
    <x v="1"/>
    <x v="0"/>
    <x v="3"/>
    <x v="6"/>
    <x v="0"/>
    <s v="Creme Facial"/>
    <x v="0"/>
    <n v="139.11000000000001"/>
    <n v="0.05"/>
    <n v="48.68"/>
    <s v="Concluída"/>
    <n v="139.11000000000001"/>
    <n v="6.9555000000000007"/>
    <n v="132.15450000000001"/>
    <n v="48.68"/>
    <x v="327"/>
    <n v="1.5831721064516708"/>
  </r>
  <r>
    <x v="4"/>
    <s v="VD-0305"/>
    <d v="2025-05-28T00:00:00"/>
    <x v="7"/>
    <x v="3"/>
    <x v="2"/>
    <x v="3"/>
    <x v="2"/>
    <s v="Panela Pressão 6L"/>
    <x v="0"/>
    <n v="459.77"/>
    <n v="0.1"/>
    <n v="262.02"/>
    <s v="Cancelada"/>
    <n v="459.77"/>
    <n v="45.977000000000004"/>
    <n v="0"/>
    <n v="0"/>
    <x v="2"/>
    <s v="sem Valor"/>
  </r>
  <r>
    <x v="4"/>
    <s v="VD-0319"/>
    <d v="2025-05-28T00:00:00"/>
    <x v="7"/>
    <x v="3"/>
    <x v="2"/>
    <x v="7"/>
    <x v="2"/>
    <s v="Tapete Sala"/>
    <x v="0"/>
    <n v="542.41999999999996"/>
    <n v="0.03"/>
    <n v="277.60000000000002"/>
    <s v="Concluída"/>
    <n v="542.41999999999996"/>
    <n v="16.272599999999997"/>
    <n v="526.14739999999995"/>
    <n v="277.60000000000002"/>
    <x v="328"/>
    <n v="2.1168895751876708"/>
  </r>
  <r>
    <x v="5"/>
    <s v="VD-0373"/>
    <d v="2025-06-01T00:00:00"/>
    <x v="1"/>
    <x v="0"/>
    <x v="0"/>
    <x v="10"/>
    <x v="2"/>
    <s v="Panela Pressão 6L"/>
    <x v="0"/>
    <n v="417.98"/>
    <n v="0.2"/>
    <n v="230.18"/>
    <s v="Concluída"/>
    <n v="417.98"/>
    <n v="83.596000000000004"/>
    <n v="334.38400000000001"/>
    <n v="230.18"/>
    <x v="329"/>
    <n v="3.2089363172239067"/>
  </r>
  <r>
    <x v="5"/>
    <s v="VD-0402"/>
    <d v="2025-06-01T00:00:00"/>
    <x v="7"/>
    <x v="3"/>
    <x v="3"/>
    <x v="2"/>
    <x v="0"/>
    <s v="Creme Facial"/>
    <x v="0"/>
    <n v="155.6"/>
    <n v="0.03"/>
    <n v="54.5"/>
    <s v="Concluída"/>
    <n v="155.6"/>
    <n v="4.6679999999999993"/>
    <n v="150.93199999999999"/>
    <n v="54.5"/>
    <x v="330"/>
    <n v="1.5651650904264145"/>
  </r>
  <r>
    <x v="5"/>
    <s v="VD-0403"/>
    <d v="2025-06-01T00:00:00"/>
    <x v="5"/>
    <x v="1"/>
    <x v="3"/>
    <x v="7"/>
    <x v="1"/>
    <s v="Teclado Mecânico"/>
    <x v="0"/>
    <n v="416.8"/>
    <n v="0.15"/>
    <n v="242.15"/>
    <s v="Concluída"/>
    <n v="416.8"/>
    <n v="62.519999999999996"/>
    <n v="354.28000000000003"/>
    <n v="242.15"/>
    <x v="331"/>
    <n v="3.1595469544278956"/>
  </r>
  <r>
    <x v="5"/>
    <s v="VD-0404"/>
    <d v="2025-06-01T00:00:00"/>
    <x v="5"/>
    <x v="1"/>
    <x v="0"/>
    <x v="8"/>
    <x v="3"/>
    <s v="Esteira Compacta"/>
    <x v="0"/>
    <n v="2627.18"/>
    <n v="0.2"/>
    <n v="1908"/>
    <s v="Concluída"/>
    <n v="2627.18"/>
    <n v="525.43600000000004"/>
    <n v="2101.7439999999997"/>
    <n v="1908"/>
    <x v="332"/>
    <n v="10.848046907259079"/>
  </r>
  <r>
    <x v="5"/>
    <s v="VD-0420"/>
    <d v="2025-06-01T00:00:00"/>
    <x v="4"/>
    <x v="2"/>
    <x v="3"/>
    <x v="9"/>
    <x v="1"/>
    <s v="Monitor 27 Ultra"/>
    <x v="0"/>
    <n v="1308.97"/>
    <n v="0.03"/>
    <n v="906.24"/>
    <s v="Concluída"/>
    <n v="1308.97"/>
    <n v="39.269100000000002"/>
    <n v="1269.7009"/>
    <n v="906.24"/>
    <x v="333"/>
    <n v="3.4933631100346694"/>
  </r>
  <r>
    <x v="5"/>
    <s v="VD-0376"/>
    <d v="2025-06-02T00:00:00"/>
    <x v="5"/>
    <x v="1"/>
    <x v="1"/>
    <x v="1"/>
    <x v="0"/>
    <s v="Secador Pro"/>
    <x v="0"/>
    <n v="428.99"/>
    <n v="0.1"/>
    <n v="230.41"/>
    <s v="Concluída"/>
    <n v="428.99"/>
    <n v="42.899000000000001"/>
    <n v="386.09100000000001"/>
    <n v="230.41"/>
    <x v="334"/>
    <n v="2.4800136175898149"/>
  </r>
  <r>
    <x v="5"/>
    <s v="VD-0385"/>
    <d v="2025-06-02T00:00:00"/>
    <x v="2"/>
    <x v="1"/>
    <x v="1"/>
    <x v="3"/>
    <x v="3"/>
    <s v="Esteira Compacta"/>
    <x v="0"/>
    <n v="2905.28"/>
    <n v="0"/>
    <n v="2073.2199999999998"/>
    <s v="Concluída"/>
    <n v="2905.28"/>
    <n v="0"/>
    <n v="2905.28"/>
    <n v="2073.2199999999998"/>
    <x v="335"/>
    <n v="3.4916712737062219"/>
  </r>
  <r>
    <x v="5"/>
    <s v="VD-0416"/>
    <d v="2025-06-03T00:00:00"/>
    <x v="0"/>
    <x v="0"/>
    <x v="3"/>
    <x v="5"/>
    <x v="0"/>
    <s v="Balança Smart"/>
    <x v="1"/>
    <n v="255.02"/>
    <n v="0.05"/>
    <n v="109.83"/>
    <s v="Concluída"/>
    <n v="510.04"/>
    <n v="25.502000000000002"/>
    <n v="484.53800000000001"/>
    <n v="219.66"/>
    <x v="336"/>
    <n v="1.8292874455409658"/>
  </r>
  <r>
    <x v="5"/>
    <s v="VD-0388"/>
    <d v="2025-06-04T00:00:00"/>
    <x v="4"/>
    <x v="2"/>
    <x v="3"/>
    <x v="9"/>
    <x v="1"/>
    <s v="Fone Wave"/>
    <x v="1"/>
    <n v="252.96"/>
    <n v="0.2"/>
    <n v="123.01"/>
    <s v="Concluída"/>
    <n v="505.92"/>
    <n v="101.18400000000001"/>
    <n v="404.73599999999999"/>
    <n v="246.02"/>
    <x v="337"/>
    <n v="2.5500642657325034"/>
  </r>
  <r>
    <x v="5"/>
    <s v="VD-0380"/>
    <d v="2025-06-05T00:00:00"/>
    <x v="0"/>
    <x v="0"/>
    <x v="1"/>
    <x v="8"/>
    <x v="4"/>
    <s v="Relógio Fit"/>
    <x v="0"/>
    <n v="690.29"/>
    <n v="0.15"/>
    <n v="329.58"/>
    <s v="Concluída"/>
    <n v="690.29"/>
    <n v="103.54349999999999"/>
    <n v="586.74649999999997"/>
    <n v="329.58"/>
    <x v="338"/>
    <n v="2.2815821656397706"/>
  </r>
  <r>
    <x v="5"/>
    <s v="VD-0411"/>
    <d v="2025-06-05T00:00:00"/>
    <x v="0"/>
    <x v="0"/>
    <x v="3"/>
    <x v="2"/>
    <x v="4"/>
    <s v="Relógio Fit"/>
    <x v="0"/>
    <n v="669.68"/>
    <n v="0.05"/>
    <n v="328.45"/>
    <s v="Concluída"/>
    <n v="669.68"/>
    <n v="33.484000000000002"/>
    <n v="636.19599999999991"/>
    <n v="328.45"/>
    <x v="339"/>
    <n v="2.0672762602925792"/>
  </r>
  <r>
    <x v="5"/>
    <s v="VD-0423"/>
    <d v="2025-06-05T00:00:00"/>
    <x v="3"/>
    <x v="2"/>
    <x v="2"/>
    <x v="6"/>
    <x v="0"/>
    <s v="Creme Facial"/>
    <x v="0"/>
    <n v="153.81"/>
    <n v="0.05"/>
    <n v="53.83"/>
    <s v="Concluída"/>
    <n v="153.81"/>
    <n v="7.6905000000000001"/>
    <n v="146.11950000000002"/>
    <n v="53.83"/>
    <x v="340"/>
    <n v="1.5832732867769355"/>
  </r>
  <r>
    <x v="5"/>
    <s v="VD-0349"/>
    <d v="2025-06-06T00:00:00"/>
    <x v="4"/>
    <x v="2"/>
    <x v="0"/>
    <x v="7"/>
    <x v="2"/>
    <s v="Kit Lençol 4p"/>
    <x v="2"/>
    <n v="306.85000000000002"/>
    <n v="0.1"/>
    <n v="130.99"/>
    <s v="Concluída"/>
    <n v="920.55000000000007"/>
    <n v="92.055000000000007"/>
    <n v="828.49500000000012"/>
    <n v="392.97"/>
    <x v="341"/>
    <n v="1.9022903392457378"/>
  </r>
  <r>
    <x v="5"/>
    <s v="VD-0408"/>
    <d v="2025-06-06T00:00:00"/>
    <x v="1"/>
    <x v="0"/>
    <x v="0"/>
    <x v="6"/>
    <x v="0"/>
    <s v="Creme Facial"/>
    <x v="0"/>
    <n v="153.65"/>
    <n v="0.1"/>
    <n v="53.93"/>
    <s v="Concluída"/>
    <n v="153.65"/>
    <n v="15.365000000000002"/>
    <n v="138.285"/>
    <n v="53.93"/>
    <x v="342"/>
    <n v="1.6393219133424222"/>
  </r>
  <r>
    <x v="5"/>
    <s v="VD-0348"/>
    <d v="2025-06-07T00:00:00"/>
    <x v="0"/>
    <x v="0"/>
    <x v="1"/>
    <x v="10"/>
    <x v="4"/>
    <s v="Relógio Fit"/>
    <x v="1"/>
    <n v="665.2"/>
    <n v="0"/>
    <n v="310.64"/>
    <s v="Concluída"/>
    <n v="1330.4"/>
    <n v="0"/>
    <n v="1330.4"/>
    <n v="621.28"/>
    <x v="343"/>
    <n v="1.8761281588447651"/>
  </r>
  <r>
    <x v="5"/>
    <s v="VD-0397"/>
    <d v="2025-06-07T00:00:00"/>
    <x v="5"/>
    <x v="1"/>
    <x v="0"/>
    <x v="5"/>
    <x v="2"/>
    <s v="Kit Lençol 4p"/>
    <x v="0"/>
    <n v="303.51"/>
    <n v="0.05"/>
    <n v="138.13"/>
    <s v="Concluída"/>
    <n v="303.51"/>
    <n v="15.1755"/>
    <n v="288.33449999999999"/>
    <n v="138.13"/>
    <x v="344"/>
    <n v="1.9196129277085574"/>
  </r>
  <r>
    <x v="5"/>
    <s v="VD-0360"/>
    <d v="2025-06-08T00:00:00"/>
    <x v="7"/>
    <x v="3"/>
    <x v="3"/>
    <x v="1"/>
    <x v="1"/>
    <s v="Notebook Nova 14"/>
    <x v="1"/>
    <n v="3894.08"/>
    <n v="0.1"/>
    <n v="2922.7"/>
    <s v="Concluída"/>
    <n v="7788.16"/>
    <n v="778.81600000000003"/>
    <n v="7009.3440000000001"/>
    <n v="5845.4"/>
    <x v="345"/>
    <n v="6.0220629171162852"/>
  </r>
  <r>
    <x v="5"/>
    <s v="VD-0379"/>
    <d v="2025-06-08T00:00:00"/>
    <x v="5"/>
    <x v="1"/>
    <x v="1"/>
    <x v="3"/>
    <x v="4"/>
    <s v="Mochila Urban"/>
    <x v="0"/>
    <n v="322.92"/>
    <n v="0.05"/>
    <n v="152.62"/>
    <s v="Concluída"/>
    <n v="322.92"/>
    <n v="16.146000000000001"/>
    <n v="306.774"/>
    <n v="152.62"/>
    <x v="346"/>
    <n v="1.9900489121268343"/>
  </r>
  <r>
    <x v="5"/>
    <s v="VD-0355"/>
    <d v="2025-06-09T00:00:00"/>
    <x v="3"/>
    <x v="2"/>
    <x v="1"/>
    <x v="5"/>
    <x v="3"/>
    <s v="Halteres 10kg"/>
    <x v="0"/>
    <n v="356.4"/>
    <n v="0.15"/>
    <n v="203.21"/>
    <s v="Devolvida"/>
    <n v="356.4"/>
    <n v="53.459999999999994"/>
    <n v="0"/>
    <n v="0"/>
    <x v="2"/>
    <s v="sem Valor"/>
  </r>
  <r>
    <x v="5"/>
    <s v="VD-0365"/>
    <d v="2025-06-09T00:00:00"/>
    <x v="1"/>
    <x v="0"/>
    <x v="3"/>
    <x v="5"/>
    <x v="1"/>
    <s v="Teclado Mecânico"/>
    <x v="0"/>
    <n v="398.29"/>
    <n v="0.1"/>
    <n v="232.42"/>
    <s v="Concluída"/>
    <n v="398.29"/>
    <n v="39.829000000000008"/>
    <n v="358.46100000000001"/>
    <n v="232.42"/>
    <x v="347"/>
    <n v="2.8440031418347993"/>
  </r>
  <r>
    <x v="5"/>
    <s v="VD-0366"/>
    <d v="2025-06-09T00:00:00"/>
    <x v="3"/>
    <x v="2"/>
    <x v="0"/>
    <x v="2"/>
    <x v="4"/>
    <s v="Relógio Fit"/>
    <x v="0"/>
    <n v="750.1"/>
    <n v="0.1"/>
    <n v="356.46"/>
    <s v="Cancelada"/>
    <n v="750.1"/>
    <n v="75.010000000000005"/>
    <n v="0"/>
    <n v="0"/>
    <x v="2"/>
    <s v="sem Valor"/>
  </r>
  <r>
    <x v="5"/>
    <s v="VD-0369"/>
    <d v="2025-06-09T00:00:00"/>
    <x v="1"/>
    <x v="0"/>
    <x v="1"/>
    <x v="0"/>
    <x v="3"/>
    <s v="Colchonete Pro"/>
    <x v="0"/>
    <n v="141.03"/>
    <n v="0.05"/>
    <n v="58.2"/>
    <s v="Concluída"/>
    <n v="141.03"/>
    <n v="7.0515000000000008"/>
    <n v="133.9785"/>
    <n v="58.2"/>
    <x v="348"/>
    <n v="1.7680278707021122"/>
  </r>
  <r>
    <x v="5"/>
    <s v="VD-0409"/>
    <d v="2025-06-09T00:00:00"/>
    <x v="5"/>
    <x v="1"/>
    <x v="1"/>
    <x v="7"/>
    <x v="0"/>
    <s v="Creme Facial"/>
    <x v="0"/>
    <n v="148.76"/>
    <n v="0"/>
    <n v="50.81"/>
    <s v="Concluída"/>
    <n v="148.76"/>
    <n v="0"/>
    <n v="148.76"/>
    <n v="50.81"/>
    <x v="349"/>
    <n v="1.5187340479836653"/>
  </r>
  <r>
    <x v="5"/>
    <s v="VD-0367"/>
    <d v="2025-06-10T00:00:00"/>
    <x v="6"/>
    <x v="0"/>
    <x v="0"/>
    <x v="7"/>
    <x v="1"/>
    <s v="Mouse Pro"/>
    <x v="1"/>
    <n v="188.68"/>
    <n v="0.25"/>
    <n v="83.36"/>
    <s v="Concluída"/>
    <n v="377.36"/>
    <n v="94.34"/>
    <n v="283.02"/>
    <n v="166.72"/>
    <x v="350"/>
    <n v="2.4335339638865006"/>
  </r>
  <r>
    <x v="5"/>
    <s v="VD-0371"/>
    <d v="2025-06-10T00:00:00"/>
    <x v="4"/>
    <x v="2"/>
    <x v="3"/>
    <x v="7"/>
    <x v="0"/>
    <s v="Creme Facial"/>
    <x v="0"/>
    <n v="143.72"/>
    <n v="0.03"/>
    <n v="51.5"/>
    <s v="Concluída"/>
    <n v="143.72"/>
    <n v="4.3115999999999994"/>
    <n v="139.4084"/>
    <n v="51.5"/>
    <x v="351"/>
    <n v="1.5858370758653326"/>
  </r>
  <r>
    <x v="5"/>
    <s v="VD-0375"/>
    <d v="2025-06-11T00:00:00"/>
    <x v="0"/>
    <x v="0"/>
    <x v="3"/>
    <x v="11"/>
    <x v="2"/>
    <s v="Kit Lençol 4p"/>
    <x v="1"/>
    <n v="287.87"/>
    <n v="0.03"/>
    <n v="128.53"/>
    <s v="Concluída"/>
    <n v="575.74"/>
    <n v="17.272199999999998"/>
    <n v="558.46780000000001"/>
    <n v="257.06"/>
    <x v="352"/>
    <n v="1.8528644580531757"/>
  </r>
  <r>
    <x v="5"/>
    <s v="VD-0393"/>
    <d v="2025-06-11T00:00:00"/>
    <x v="1"/>
    <x v="0"/>
    <x v="0"/>
    <x v="0"/>
    <x v="1"/>
    <s v="Notebook Nova 14"/>
    <x v="0"/>
    <n v="3638.2"/>
    <n v="0.2"/>
    <n v="2759.07"/>
    <s v="Concluída"/>
    <n v="3638.2"/>
    <n v="727.64"/>
    <n v="2910.56"/>
    <n v="2759.07"/>
    <x v="353"/>
    <n v="19.212885338966295"/>
  </r>
  <r>
    <x v="5"/>
    <s v="VD-0359"/>
    <d v="2025-06-12T00:00:00"/>
    <x v="5"/>
    <x v="1"/>
    <x v="1"/>
    <x v="5"/>
    <x v="1"/>
    <s v="Monitor 27 Ultra"/>
    <x v="0"/>
    <n v="1241.52"/>
    <n v="0.15"/>
    <n v="886.23"/>
    <s v="Concluída"/>
    <n v="1241.52"/>
    <n v="186.22799999999998"/>
    <n v="1055.2919999999999"/>
    <n v="886.23"/>
    <x v="354"/>
    <n v="6.2420413812684137"/>
  </r>
  <r>
    <x v="5"/>
    <s v="VD-0382"/>
    <d v="2025-06-12T00:00:00"/>
    <x v="2"/>
    <x v="1"/>
    <x v="3"/>
    <x v="10"/>
    <x v="1"/>
    <s v="Fone Wave"/>
    <x v="0"/>
    <n v="237.5"/>
    <n v="0.05"/>
    <n v="114.83"/>
    <s v="Devolvida"/>
    <n v="237.5"/>
    <n v="11.875"/>
    <n v="0"/>
    <n v="0"/>
    <x v="2"/>
    <s v="sem Valor"/>
  </r>
  <r>
    <x v="5"/>
    <s v="VD-0383"/>
    <d v="2025-06-12T00:00:00"/>
    <x v="0"/>
    <x v="0"/>
    <x v="3"/>
    <x v="1"/>
    <x v="2"/>
    <s v="Air Fryer 5L"/>
    <x v="0"/>
    <n v="668.21"/>
    <n v="0.05"/>
    <n v="375.06"/>
    <s v="Concluída"/>
    <n v="668.21"/>
    <n v="33.410500000000006"/>
    <n v="634.79950000000008"/>
    <n v="375.06"/>
    <x v="355"/>
    <n v="2.4439852236567789"/>
  </r>
  <r>
    <x v="5"/>
    <s v="VD-0394"/>
    <d v="2025-06-12T00:00:00"/>
    <x v="7"/>
    <x v="3"/>
    <x v="3"/>
    <x v="2"/>
    <x v="1"/>
    <s v="Notebook Nova 14"/>
    <x v="0"/>
    <n v="4133.7"/>
    <n v="0.05"/>
    <n v="3177.2"/>
    <s v="Concluída"/>
    <n v="4133.7"/>
    <n v="206.685"/>
    <n v="3927.0149999999999"/>
    <n v="3177.2"/>
    <x v="356"/>
    <n v="5.2373118702613306"/>
  </r>
  <r>
    <x v="5"/>
    <s v="VD-0415"/>
    <d v="2025-06-12T00:00:00"/>
    <x v="4"/>
    <x v="2"/>
    <x v="2"/>
    <x v="8"/>
    <x v="4"/>
    <s v="Relógio Fit"/>
    <x v="0"/>
    <n v="670.66"/>
    <n v="0.12"/>
    <n v="320.16000000000003"/>
    <s v="Concluída"/>
    <n v="670.66"/>
    <n v="80.479199999999992"/>
    <n v="590.18079999999998"/>
    <n v="320.16000000000003"/>
    <x v="357"/>
    <n v="2.1856864360078929"/>
  </r>
  <r>
    <x v="5"/>
    <s v="VD-0352"/>
    <d v="2025-06-13T00:00:00"/>
    <x v="2"/>
    <x v="1"/>
    <x v="0"/>
    <x v="7"/>
    <x v="0"/>
    <s v="Balança Smart"/>
    <x v="0"/>
    <n v="256.49"/>
    <n v="0.1"/>
    <n v="110.48"/>
    <s v="Concluída"/>
    <n v="256.49"/>
    <n v="25.649000000000001"/>
    <n v="230.84100000000001"/>
    <n v="110.48"/>
    <x v="358"/>
    <n v="1.9179053015511669"/>
  </r>
  <r>
    <x v="5"/>
    <s v="VD-0368"/>
    <d v="2025-06-13T00:00:00"/>
    <x v="5"/>
    <x v="1"/>
    <x v="3"/>
    <x v="9"/>
    <x v="0"/>
    <s v="Secador Pro"/>
    <x v="1"/>
    <n v="448.87"/>
    <n v="0.15"/>
    <n v="256.27999999999997"/>
    <s v="Concluída"/>
    <n v="897.74"/>
    <n v="134.661"/>
    <n v="763.07899999999995"/>
    <n v="512.55999999999995"/>
    <x v="359"/>
    <n v="3.0459925195294564"/>
  </r>
  <r>
    <x v="5"/>
    <s v="VD-0401"/>
    <d v="2025-06-13T00:00:00"/>
    <x v="6"/>
    <x v="0"/>
    <x v="0"/>
    <x v="1"/>
    <x v="4"/>
    <s v="Relógio Fit"/>
    <x v="1"/>
    <n v="745.18"/>
    <n v="0.05"/>
    <n v="348.91"/>
    <s v="Concluída"/>
    <n v="1490.36"/>
    <n v="74.518000000000001"/>
    <n v="1415.8419999999999"/>
    <n v="697.82"/>
    <x v="360"/>
    <n v="1.9718643718437601"/>
  </r>
  <r>
    <x v="5"/>
    <s v="VD-0419"/>
    <d v="2025-06-13T00:00:00"/>
    <x v="4"/>
    <x v="2"/>
    <x v="3"/>
    <x v="6"/>
    <x v="1"/>
    <s v="Mouse Pro"/>
    <x v="1"/>
    <n v="201.64"/>
    <n v="0.15"/>
    <n v="91.7"/>
    <s v="Concluída"/>
    <n v="403.28"/>
    <n v="60.49199999999999"/>
    <n v="342.78800000000001"/>
    <n v="183.4"/>
    <x v="361"/>
    <n v="2.1506512409968126"/>
  </r>
  <r>
    <x v="5"/>
    <s v="VD-0351"/>
    <d v="2025-06-14T00:00:00"/>
    <x v="7"/>
    <x v="3"/>
    <x v="0"/>
    <x v="4"/>
    <x v="4"/>
    <s v="Óculos Sol"/>
    <x v="0"/>
    <n v="383.74"/>
    <n v="0.2"/>
    <n v="172.1"/>
    <s v="Concluída"/>
    <n v="383.74"/>
    <n v="76.748000000000005"/>
    <n v="306.99200000000002"/>
    <n v="172.1"/>
    <x v="362"/>
    <n v="2.2758354832013756"/>
  </r>
  <r>
    <x v="5"/>
    <s v="VD-0405"/>
    <d v="2025-06-14T00:00:00"/>
    <x v="6"/>
    <x v="0"/>
    <x v="3"/>
    <x v="9"/>
    <x v="0"/>
    <s v="Balança Smart"/>
    <x v="0"/>
    <n v="243"/>
    <n v="0.1"/>
    <n v="106.42"/>
    <s v="Concluída"/>
    <n v="243"/>
    <n v="24.3"/>
    <n v="218.7"/>
    <n v="106.42"/>
    <x v="363"/>
    <n v="1.9478090488065551"/>
  </r>
  <r>
    <x v="5"/>
    <s v="VD-0362"/>
    <d v="2025-06-15T00:00:00"/>
    <x v="2"/>
    <x v="1"/>
    <x v="2"/>
    <x v="5"/>
    <x v="4"/>
    <s v="Óculos Sol"/>
    <x v="0"/>
    <n v="374.13"/>
    <n v="0.12"/>
    <n v="161.49"/>
    <s v="Concluída"/>
    <n v="374.13"/>
    <n v="44.895599999999995"/>
    <n v="329.23439999999999"/>
    <n v="161.49"/>
    <x v="364"/>
    <n v="1.9627147016532298"/>
  </r>
  <r>
    <x v="5"/>
    <s v="VD-0374"/>
    <d v="2025-06-15T00:00:00"/>
    <x v="2"/>
    <x v="1"/>
    <x v="1"/>
    <x v="5"/>
    <x v="0"/>
    <s v="Secador Pro"/>
    <x v="0"/>
    <n v="444.94"/>
    <n v="0.05"/>
    <n v="241.94"/>
    <s v="Concluída"/>
    <n v="444.94"/>
    <n v="22.247"/>
    <n v="422.69299999999998"/>
    <n v="241.94"/>
    <x v="365"/>
    <n v="2.3385116706223412"/>
  </r>
  <r>
    <x v="5"/>
    <s v="VD-0381"/>
    <d v="2025-06-15T00:00:00"/>
    <x v="3"/>
    <x v="2"/>
    <x v="1"/>
    <x v="5"/>
    <x v="3"/>
    <s v="Halteres 10kg"/>
    <x v="0"/>
    <n v="362.26"/>
    <n v="0.1"/>
    <n v="196.82"/>
    <s v="Concluída"/>
    <n v="362.26"/>
    <n v="36.225999999999999"/>
    <n v="326.03399999999999"/>
    <n v="196.82"/>
    <x v="366"/>
    <n v="2.5232095593356756"/>
  </r>
  <r>
    <x v="5"/>
    <s v="VD-0407"/>
    <d v="2025-06-15T00:00:00"/>
    <x v="0"/>
    <x v="0"/>
    <x v="3"/>
    <x v="3"/>
    <x v="3"/>
    <s v="Halteres 10kg"/>
    <x v="0"/>
    <n v="387.03"/>
    <n v="0.1"/>
    <n v="219.64"/>
    <s v="Concluída"/>
    <n v="387.03"/>
    <n v="38.703000000000003"/>
    <n v="348.327"/>
    <n v="219.64"/>
    <x v="367"/>
    <n v="2.7067769083124169"/>
  </r>
  <r>
    <x v="5"/>
    <s v="VD-0357"/>
    <d v="2025-06-16T00:00:00"/>
    <x v="3"/>
    <x v="2"/>
    <x v="0"/>
    <x v="8"/>
    <x v="3"/>
    <s v="Bike Urbana"/>
    <x v="0"/>
    <n v="2146.52"/>
    <n v="0.1"/>
    <n v="1520.65"/>
    <s v="Concluída"/>
    <n v="2146.52"/>
    <n v="214.65200000000002"/>
    <n v="1931.8679999999999"/>
    <n v="1520.65"/>
    <x v="368"/>
    <n v="4.6979169199791855"/>
  </r>
  <r>
    <x v="5"/>
    <s v="VD-0389"/>
    <d v="2025-06-16T00:00:00"/>
    <x v="0"/>
    <x v="0"/>
    <x v="3"/>
    <x v="3"/>
    <x v="1"/>
    <s v="Mouse Pro"/>
    <x v="0"/>
    <n v="183.49"/>
    <n v="0.2"/>
    <n v="82.91"/>
    <s v="Concluída"/>
    <n v="183.49"/>
    <n v="36.698"/>
    <n v="146.792"/>
    <n v="82.91"/>
    <x v="369"/>
    <n v="2.297861682477067"/>
  </r>
  <r>
    <x v="5"/>
    <s v="VD-0392"/>
    <d v="2025-06-17T00:00:00"/>
    <x v="3"/>
    <x v="2"/>
    <x v="3"/>
    <x v="2"/>
    <x v="4"/>
    <s v="Mochila Urban"/>
    <x v="0"/>
    <n v="334.03"/>
    <n v="0.03"/>
    <n v="150.56"/>
    <s v="Concluída"/>
    <n v="334.03"/>
    <n v="10.020899999999999"/>
    <n v="324.00909999999999"/>
    <n v="150.56"/>
    <x v="370"/>
    <n v="1.8680356369678484"/>
  </r>
  <r>
    <x v="5"/>
    <s v="VD-0399"/>
    <d v="2025-06-17T00:00:00"/>
    <x v="0"/>
    <x v="0"/>
    <x v="0"/>
    <x v="9"/>
    <x v="4"/>
    <s v="Relógio Fit"/>
    <x v="1"/>
    <n v="673.43"/>
    <n v="0.15"/>
    <n v="333.09"/>
    <s v="Concluída"/>
    <n v="1346.86"/>
    <n v="202.02899999999997"/>
    <n v="1144.8309999999999"/>
    <n v="666.18"/>
    <x v="371"/>
    <n v="2.3917864999759741"/>
  </r>
  <r>
    <x v="5"/>
    <s v="VD-0406"/>
    <d v="2025-06-17T00:00:00"/>
    <x v="0"/>
    <x v="0"/>
    <x v="3"/>
    <x v="1"/>
    <x v="2"/>
    <s v="Air Fryer 5L"/>
    <x v="1"/>
    <n v="721.91"/>
    <n v="0.05"/>
    <n v="400.66"/>
    <s v="Concluída"/>
    <n v="1443.82"/>
    <n v="72.191000000000003"/>
    <n v="1371.6289999999999"/>
    <n v="801.32"/>
    <x v="372"/>
    <n v="2.4050628694269252"/>
  </r>
  <r>
    <x v="5"/>
    <s v="VD-0417"/>
    <d v="2025-06-17T00:00:00"/>
    <x v="1"/>
    <x v="0"/>
    <x v="1"/>
    <x v="2"/>
    <x v="4"/>
    <s v="Mochila Urban"/>
    <x v="1"/>
    <n v="302.02999999999997"/>
    <n v="0.08"/>
    <n v="141.19999999999999"/>
    <s v="Concluída"/>
    <n v="604.05999999999995"/>
    <n v="48.324799999999996"/>
    <n v="555.73519999999996"/>
    <n v="282.39999999999998"/>
    <x v="373"/>
    <n v="2.0331636759553837"/>
  </r>
  <r>
    <x v="5"/>
    <s v="VD-0358"/>
    <d v="2025-06-18T00:00:00"/>
    <x v="4"/>
    <x v="2"/>
    <x v="1"/>
    <x v="10"/>
    <x v="3"/>
    <s v="Bike Urbana"/>
    <x v="1"/>
    <n v="2418.2600000000002"/>
    <n v="0.1"/>
    <n v="1693.5"/>
    <s v="Concluída"/>
    <n v="4836.5200000000004"/>
    <n v="483.65200000000004"/>
    <n v="4352.8680000000004"/>
    <n v="3387"/>
    <x v="374"/>
    <n v="4.5066903552038156"/>
  </r>
  <r>
    <x v="5"/>
    <s v="VD-0384"/>
    <d v="2025-06-18T00:00:00"/>
    <x v="5"/>
    <x v="1"/>
    <x v="0"/>
    <x v="10"/>
    <x v="1"/>
    <s v="Mouse Pro"/>
    <x v="1"/>
    <n v="183.58"/>
    <n v="0.1"/>
    <n v="83.28"/>
    <s v="Cancelada"/>
    <n v="367.16"/>
    <n v="36.716000000000001"/>
    <n v="0"/>
    <n v="0"/>
    <x v="2"/>
    <s v="sem Valor"/>
  </r>
  <r>
    <x v="5"/>
    <s v="VD-0387"/>
    <d v="2025-06-18T00:00:00"/>
    <x v="2"/>
    <x v="1"/>
    <x v="0"/>
    <x v="6"/>
    <x v="1"/>
    <s v="Fone Wave"/>
    <x v="1"/>
    <n v="231.24"/>
    <n v="0.25"/>
    <n v="108.06"/>
    <s v="Concluída"/>
    <n v="462.48"/>
    <n v="115.62"/>
    <n v="346.86"/>
    <n v="216.12"/>
    <x v="375"/>
    <n v="2.6530518586507572"/>
  </r>
  <r>
    <x v="5"/>
    <s v="VD-0395"/>
    <d v="2025-06-18T00:00:00"/>
    <x v="4"/>
    <x v="2"/>
    <x v="3"/>
    <x v="7"/>
    <x v="4"/>
    <s v="Relógio Fit"/>
    <x v="0"/>
    <n v="650.47"/>
    <n v="0.2"/>
    <n v="311.97000000000003"/>
    <s v="Concluída"/>
    <n v="650.47"/>
    <n v="130.09400000000002"/>
    <n v="520.37599999999998"/>
    <n v="311.97000000000003"/>
    <x v="376"/>
    <n v="2.4969338694663308"/>
  </r>
  <r>
    <x v="5"/>
    <s v="VD-0413"/>
    <d v="2025-06-18T00:00:00"/>
    <x v="6"/>
    <x v="0"/>
    <x v="3"/>
    <x v="7"/>
    <x v="1"/>
    <s v="Mouse Pro"/>
    <x v="0"/>
    <n v="176.64"/>
    <n v="0.05"/>
    <n v="79.94"/>
    <s v="Concluída"/>
    <n v="176.64"/>
    <n v="8.831999999999999"/>
    <n v="167.80799999999999"/>
    <n v="79.94"/>
    <x v="377"/>
    <n v="1.9097737515363955"/>
  </r>
  <r>
    <x v="5"/>
    <s v="VD-0422"/>
    <d v="2025-06-18T00:00:00"/>
    <x v="0"/>
    <x v="0"/>
    <x v="3"/>
    <x v="1"/>
    <x v="2"/>
    <s v="Kit Lençol 4p"/>
    <x v="1"/>
    <n v="269.18"/>
    <n v="0.15"/>
    <n v="114.89"/>
    <s v="Concluída"/>
    <n v="538.36"/>
    <n v="80.754000000000005"/>
    <n v="457.60599999999999"/>
    <n v="229.78"/>
    <x v="378"/>
    <n v="2.0085767208308094"/>
  </r>
  <r>
    <x v="5"/>
    <s v="VD-0353"/>
    <d v="2025-06-19T00:00:00"/>
    <x v="0"/>
    <x v="0"/>
    <x v="1"/>
    <x v="6"/>
    <x v="1"/>
    <s v="Notebook Nova 14"/>
    <x v="1"/>
    <n v="4159.1400000000003"/>
    <n v="0.08"/>
    <n v="3224.69"/>
    <s v="Concluída"/>
    <n v="8318.2800000000007"/>
    <n v="665.46240000000012"/>
    <n v="7652.8176000000003"/>
    <n v="6449.38"/>
    <x v="379"/>
    <n v="6.3591312087971978"/>
  </r>
  <r>
    <x v="5"/>
    <s v="VD-0370"/>
    <d v="2025-06-19T00:00:00"/>
    <x v="5"/>
    <x v="1"/>
    <x v="3"/>
    <x v="2"/>
    <x v="1"/>
    <s v="Teclado Mecânico"/>
    <x v="0"/>
    <n v="427.15"/>
    <n v="0.2"/>
    <n v="255.15"/>
    <s v="Concluída"/>
    <n v="427.15"/>
    <n v="85.43"/>
    <n v="341.71999999999997"/>
    <n v="255.15"/>
    <x v="380"/>
    <n v="3.9473258634630946"/>
  </r>
  <r>
    <x v="5"/>
    <s v="VD-0356"/>
    <d v="2025-06-20T00:00:00"/>
    <x v="2"/>
    <x v="1"/>
    <x v="3"/>
    <x v="4"/>
    <x v="2"/>
    <s v="Cadeira Escritório"/>
    <x v="0"/>
    <n v="1243.8800000000001"/>
    <n v="0.1"/>
    <n v="921.95"/>
    <s v="Concluída"/>
    <n v="1243.8800000000001"/>
    <n v="124.38800000000002"/>
    <n v="1119.4920000000002"/>
    <n v="921.95"/>
    <x v="381"/>
    <n v="5.6671087667432714"/>
  </r>
  <r>
    <x v="5"/>
    <s v="VD-0350"/>
    <d v="2025-06-21T00:00:00"/>
    <x v="5"/>
    <x v="1"/>
    <x v="3"/>
    <x v="4"/>
    <x v="1"/>
    <s v="Teclado Mecânico"/>
    <x v="0"/>
    <n v="434.45"/>
    <n v="0.05"/>
    <n v="245.54"/>
    <s v="Concluída"/>
    <n v="434.45"/>
    <n v="21.7225"/>
    <n v="412.72749999999996"/>
    <n v="245.54"/>
    <x v="382"/>
    <n v="2.46865046728972"/>
  </r>
  <r>
    <x v="5"/>
    <s v="VD-0363"/>
    <d v="2025-06-21T00:00:00"/>
    <x v="3"/>
    <x v="2"/>
    <x v="1"/>
    <x v="11"/>
    <x v="0"/>
    <s v="Creme Facial"/>
    <x v="0"/>
    <n v="146.44999999999999"/>
    <n v="0"/>
    <n v="51.12"/>
    <s v="Concluída"/>
    <n v="146.44999999999999"/>
    <n v="0"/>
    <n v="146.44999999999999"/>
    <n v="51.12"/>
    <x v="383"/>
    <n v="1.5362425259624464"/>
  </r>
  <r>
    <x v="5"/>
    <s v="VD-0378"/>
    <d v="2025-06-21T00:00:00"/>
    <x v="5"/>
    <x v="1"/>
    <x v="3"/>
    <x v="8"/>
    <x v="4"/>
    <s v="Óculos Sol"/>
    <x v="0"/>
    <n v="362.12"/>
    <n v="0.05"/>
    <n v="160.85"/>
    <s v="Concluída"/>
    <n v="362.12"/>
    <n v="18.106000000000002"/>
    <n v="344.01400000000001"/>
    <n v="160.85"/>
    <x v="384"/>
    <n v="1.8781747504968225"/>
  </r>
  <r>
    <x v="5"/>
    <s v="VD-0361"/>
    <d v="2025-06-22T00:00:00"/>
    <x v="6"/>
    <x v="0"/>
    <x v="2"/>
    <x v="0"/>
    <x v="2"/>
    <s v="Panela Pressão 6L"/>
    <x v="0"/>
    <n v="447.97"/>
    <n v="0"/>
    <n v="255.12"/>
    <s v="Concluída"/>
    <n v="447.97"/>
    <n v="0"/>
    <n v="447.97"/>
    <n v="255.12"/>
    <x v="385"/>
    <n v="2.3228934404977961"/>
  </r>
  <r>
    <x v="5"/>
    <s v="VD-0377"/>
    <d v="2025-06-22T00:00:00"/>
    <x v="6"/>
    <x v="0"/>
    <x v="2"/>
    <x v="3"/>
    <x v="4"/>
    <s v="Óculos Sol"/>
    <x v="1"/>
    <n v="396.83"/>
    <n v="0.03"/>
    <n v="175.01"/>
    <s v="Cancelada"/>
    <n v="793.66"/>
    <n v="23.809799999999999"/>
    <n v="0"/>
    <n v="0"/>
    <x v="2"/>
    <s v="sem Valor"/>
  </r>
  <r>
    <x v="5"/>
    <s v="VD-0364"/>
    <d v="2025-06-23T00:00:00"/>
    <x v="1"/>
    <x v="0"/>
    <x v="0"/>
    <x v="7"/>
    <x v="2"/>
    <s v="Cadeira Escritório"/>
    <x v="2"/>
    <n v="1151.1099999999999"/>
    <n v="0.1"/>
    <n v="818.64"/>
    <s v="Concluída"/>
    <n v="3453.33"/>
    <n v="345.33300000000003"/>
    <n v="3107.9969999999998"/>
    <n v="2455.92"/>
    <x v="386"/>
    <n v="4.7663036727257682"/>
  </r>
  <r>
    <x v="5"/>
    <s v="VD-0372"/>
    <d v="2025-06-23T00:00:00"/>
    <x v="5"/>
    <x v="1"/>
    <x v="3"/>
    <x v="4"/>
    <x v="2"/>
    <s v="Cadeira Escritório"/>
    <x v="1"/>
    <n v="1118.4000000000001"/>
    <n v="0.15"/>
    <n v="822.72"/>
    <s v="Concluída"/>
    <n v="2236.8000000000002"/>
    <n v="335.52000000000004"/>
    <n v="1901.2800000000002"/>
    <n v="1645.44"/>
    <x v="387"/>
    <n v="7.4315196998123794"/>
  </r>
  <r>
    <x v="5"/>
    <s v="VD-0400"/>
    <d v="2025-06-23T00:00:00"/>
    <x v="1"/>
    <x v="0"/>
    <x v="1"/>
    <x v="6"/>
    <x v="0"/>
    <s v="Creme Facial"/>
    <x v="0"/>
    <n v="155.94999999999999"/>
    <n v="0.08"/>
    <n v="55.02"/>
    <s v="Concluída"/>
    <n v="155.94999999999999"/>
    <n v="12.475999999999999"/>
    <n v="143.47399999999999"/>
    <n v="55.02"/>
    <x v="388"/>
    <n v="1.6220182241617114"/>
  </r>
  <r>
    <x v="5"/>
    <s v="VD-0412"/>
    <d v="2025-06-23T00:00:00"/>
    <x v="3"/>
    <x v="2"/>
    <x v="3"/>
    <x v="10"/>
    <x v="1"/>
    <s v="Monitor 27 Ultra"/>
    <x v="0"/>
    <n v="1237.33"/>
    <n v="0.2"/>
    <n v="897.65"/>
    <s v="Concluída"/>
    <n v="1237.33"/>
    <n v="247.46600000000001"/>
    <n v="989.86399999999992"/>
    <n v="897.65"/>
    <x v="389"/>
    <n v="10.734422105103352"/>
  </r>
  <r>
    <x v="5"/>
    <s v="VD-0354"/>
    <d v="2025-06-24T00:00:00"/>
    <x v="1"/>
    <x v="0"/>
    <x v="3"/>
    <x v="7"/>
    <x v="4"/>
    <s v="Relógio Fit"/>
    <x v="0"/>
    <n v="710.83"/>
    <n v="0.2"/>
    <n v="329.9"/>
    <s v="Concluída"/>
    <n v="710.83"/>
    <n v="142.16600000000003"/>
    <n v="568.66399999999999"/>
    <n v="329.9"/>
    <x v="390"/>
    <n v="2.3816990836139449"/>
  </r>
  <r>
    <x v="5"/>
    <s v="VD-0390"/>
    <d v="2025-06-24T00:00:00"/>
    <x v="3"/>
    <x v="2"/>
    <x v="3"/>
    <x v="0"/>
    <x v="0"/>
    <s v="Creme Facial"/>
    <x v="0"/>
    <n v="148.12"/>
    <n v="0.2"/>
    <n v="53.14"/>
    <s v="Concluída"/>
    <n v="148.12"/>
    <n v="29.624000000000002"/>
    <n v="118.49600000000001"/>
    <n v="53.14"/>
    <x v="391"/>
    <n v="1.8130852561356263"/>
  </r>
  <r>
    <x v="5"/>
    <s v="VD-0410"/>
    <d v="2025-06-24T00:00:00"/>
    <x v="1"/>
    <x v="0"/>
    <x v="0"/>
    <x v="5"/>
    <x v="3"/>
    <s v="Halteres 10kg"/>
    <x v="0"/>
    <n v="385.98"/>
    <n v="0.05"/>
    <n v="210.27"/>
    <s v="Concluída"/>
    <n v="385.98"/>
    <n v="19.299000000000003"/>
    <n v="366.68100000000004"/>
    <n v="210.27"/>
    <x v="392"/>
    <n v="2.3443427891900184"/>
  </r>
  <r>
    <x v="5"/>
    <s v="VD-0391"/>
    <d v="2025-06-25T00:00:00"/>
    <x v="1"/>
    <x v="0"/>
    <x v="3"/>
    <x v="5"/>
    <x v="0"/>
    <s v="Creme Facial"/>
    <x v="1"/>
    <n v="150.5"/>
    <n v="0.1"/>
    <n v="52.61"/>
    <s v="Concluída"/>
    <n v="301"/>
    <n v="30.1"/>
    <n v="270.89999999999998"/>
    <n v="105.22"/>
    <x v="393"/>
    <n v="1.6350796716562048"/>
  </r>
  <r>
    <x v="5"/>
    <s v="VD-0396"/>
    <d v="2025-06-25T00:00:00"/>
    <x v="2"/>
    <x v="1"/>
    <x v="3"/>
    <x v="0"/>
    <x v="2"/>
    <s v="Cadeira Escritório"/>
    <x v="0"/>
    <n v="1283.3399999999999"/>
    <n v="0.03"/>
    <n v="959.44"/>
    <s v="Concluída"/>
    <n v="1283.3399999999999"/>
    <n v="38.5002"/>
    <n v="1244.8398"/>
    <n v="959.44"/>
    <x v="394"/>
    <n v="4.3617402675124524"/>
  </r>
  <r>
    <x v="5"/>
    <s v="VD-0414"/>
    <d v="2025-06-25T00:00:00"/>
    <x v="2"/>
    <x v="1"/>
    <x v="1"/>
    <x v="3"/>
    <x v="1"/>
    <s v="Mouse Pro"/>
    <x v="0"/>
    <n v="188.72"/>
    <n v="0.1"/>
    <n v="84.08"/>
    <s v="Concluída"/>
    <n v="188.72"/>
    <n v="18.872"/>
    <n v="169.84800000000001"/>
    <n v="84.08"/>
    <x v="395"/>
    <n v="1.9803190000932747"/>
  </r>
  <r>
    <x v="5"/>
    <s v="VD-0418"/>
    <d v="2025-06-25T00:00:00"/>
    <x v="3"/>
    <x v="2"/>
    <x v="1"/>
    <x v="3"/>
    <x v="2"/>
    <s v="Panela Pressão 6L"/>
    <x v="0"/>
    <n v="453.14"/>
    <n v="0"/>
    <n v="242.48"/>
    <s v="Concluída"/>
    <n v="453.14"/>
    <n v="0"/>
    <n v="453.14"/>
    <n v="242.48"/>
    <x v="396"/>
    <n v="2.1510490838317669"/>
  </r>
  <r>
    <x v="5"/>
    <s v="VD-0386"/>
    <d v="2025-06-26T00:00:00"/>
    <x v="7"/>
    <x v="3"/>
    <x v="0"/>
    <x v="6"/>
    <x v="3"/>
    <s v="Esteira Compacta"/>
    <x v="0"/>
    <n v="2987.86"/>
    <n v="0.2"/>
    <n v="2100.4499999999998"/>
    <s v="Concluída"/>
    <n v="2987.86"/>
    <n v="597.572"/>
    <n v="2390.288"/>
    <n v="2100.4499999999998"/>
    <x v="397"/>
    <n v="8.2469793470835384"/>
  </r>
  <r>
    <x v="5"/>
    <s v="VD-0398"/>
    <d v="2025-06-28T00:00:00"/>
    <x v="0"/>
    <x v="0"/>
    <x v="0"/>
    <x v="8"/>
    <x v="2"/>
    <s v="Air Fryer 5L"/>
    <x v="0"/>
    <n v="673.96"/>
    <n v="0.2"/>
    <n v="375.23"/>
    <s v="Cancelada"/>
    <n v="673.96"/>
    <n v="134.792"/>
    <n v="0"/>
    <n v="0"/>
    <x v="2"/>
    <s v="sem Valor"/>
  </r>
  <r>
    <x v="5"/>
    <s v="VD-0421"/>
    <d v="2025-06-28T00:00:00"/>
    <x v="5"/>
    <x v="1"/>
    <x v="3"/>
    <x v="2"/>
    <x v="0"/>
    <s v="Creme Facial"/>
    <x v="1"/>
    <n v="156.81"/>
    <n v="0.05"/>
    <n v="56.18"/>
    <s v="Concluída"/>
    <n v="313.62"/>
    <n v="15.681000000000001"/>
    <n v="297.93900000000002"/>
    <n v="112.36"/>
    <x v="398"/>
    <n v="1.6054564363424741"/>
  </r>
  <r>
    <x v="6"/>
    <s v="VD-0432"/>
    <d v="2025-07-01T00:00:00"/>
    <x v="7"/>
    <x v="3"/>
    <x v="1"/>
    <x v="0"/>
    <x v="0"/>
    <s v="Creme Facial"/>
    <x v="2"/>
    <n v="155.65"/>
    <n v="0.1"/>
    <n v="55.9"/>
    <s v="Concluída"/>
    <n v="466.95000000000005"/>
    <n v="46.695000000000007"/>
    <n v="420.25500000000005"/>
    <n v="167.7"/>
    <x v="399"/>
    <n v="1.6640137791768128"/>
  </r>
  <r>
    <x v="6"/>
    <s v="VD-0446"/>
    <d v="2025-07-01T00:00:00"/>
    <x v="1"/>
    <x v="0"/>
    <x v="1"/>
    <x v="11"/>
    <x v="2"/>
    <s v="Kit Lençol 4p"/>
    <x v="0"/>
    <n v="276.17"/>
    <n v="0.05"/>
    <n v="119.34"/>
    <s v="Cancelada"/>
    <n v="276.17"/>
    <n v="13.808500000000002"/>
    <n v="0"/>
    <n v="0"/>
    <x v="2"/>
    <s v="sem Valor"/>
  </r>
  <r>
    <x v="6"/>
    <s v="VD-0424"/>
    <d v="2025-07-02T00:00:00"/>
    <x v="6"/>
    <x v="0"/>
    <x v="1"/>
    <x v="4"/>
    <x v="3"/>
    <s v="Colchonete Pro"/>
    <x v="0"/>
    <n v="129.41999999999999"/>
    <n v="0.08"/>
    <n v="52.38"/>
    <s v="Concluída"/>
    <n v="129.41999999999999"/>
    <n v="10.353599999999998"/>
    <n v="119.06639999999999"/>
    <n v="52.38"/>
    <x v="400"/>
    <n v="1.7854675016195207"/>
  </r>
  <r>
    <x v="6"/>
    <s v="VD-0483"/>
    <d v="2025-07-02T00:00:00"/>
    <x v="5"/>
    <x v="1"/>
    <x v="0"/>
    <x v="5"/>
    <x v="1"/>
    <s v="Monitor 27 Ultra"/>
    <x v="0"/>
    <n v="1278.4100000000001"/>
    <n v="0.25"/>
    <n v="894.85"/>
    <s v="Concluída"/>
    <n v="1278.4100000000001"/>
    <n v="319.60250000000002"/>
    <n v="958.80750000000012"/>
    <n v="894.85"/>
    <x v="401"/>
    <n v="14.991322362506331"/>
  </r>
  <r>
    <x v="6"/>
    <s v="VD-0451"/>
    <d v="2025-07-03T00:00:00"/>
    <x v="6"/>
    <x v="0"/>
    <x v="0"/>
    <x v="3"/>
    <x v="2"/>
    <s v="Air Fryer 5L"/>
    <x v="0"/>
    <n v="663.99"/>
    <n v="0.1"/>
    <n v="363.67"/>
    <s v="Concluída"/>
    <n v="663.99"/>
    <n v="66.399000000000001"/>
    <n v="597.59100000000001"/>
    <n v="363.67"/>
    <x v="402"/>
    <n v="2.5546701664237075"/>
  </r>
  <r>
    <x v="6"/>
    <s v="VD-0466"/>
    <d v="2025-07-03T00:00:00"/>
    <x v="1"/>
    <x v="0"/>
    <x v="3"/>
    <x v="11"/>
    <x v="0"/>
    <s v="Secador Pro"/>
    <x v="0"/>
    <n v="395.17"/>
    <n v="0.15"/>
    <n v="224.21"/>
    <s v="Concluída"/>
    <n v="395.17"/>
    <n v="59.275500000000001"/>
    <n v="335.89449999999999"/>
    <n v="224.21"/>
    <x v="403"/>
    <n v="3.0075301407088721"/>
  </r>
  <r>
    <x v="6"/>
    <s v="VD-0478"/>
    <d v="2025-07-03T00:00:00"/>
    <x v="6"/>
    <x v="0"/>
    <x v="3"/>
    <x v="7"/>
    <x v="2"/>
    <s v="Tapete Sala"/>
    <x v="1"/>
    <n v="528.29999999999995"/>
    <n v="0.05"/>
    <n v="280.12"/>
    <s v="Concluída"/>
    <n v="1056.5999999999999"/>
    <n v="52.83"/>
    <n v="1003.7699999999999"/>
    <n v="560.24"/>
    <x v="404"/>
    <n v="2.2631389083038354"/>
  </r>
  <r>
    <x v="6"/>
    <s v="VD-0481"/>
    <d v="2025-07-03T00:00:00"/>
    <x v="4"/>
    <x v="2"/>
    <x v="1"/>
    <x v="7"/>
    <x v="3"/>
    <s v="Colchonete Pro"/>
    <x v="1"/>
    <n v="128.69"/>
    <n v="0.15"/>
    <n v="53.52"/>
    <s v="Concluída"/>
    <n v="257.38"/>
    <n v="38.606999999999999"/>
    <n v="218.773"/>
    <n v="107.04"/>
    <x v="405"/>
    <n v="1.9579980847198233"/>
  </r>
  <r>
    <x v="6"/>
    <s v="VD-0494"/>
    <d v="2025-07-03T00:00:00"/>
    <x v="7"/>
    <x v="3"/>
    <x v="0"/>
    <x v="0"/>
    <x v="1"/>
    <s v="Fone Wave"/>
    <x v="0"/>
    <n v="232.73"/>
    <n v="0.25"/>
    <n v="116.13"/>
    <s v="Concluída"/>
    <n v="232.73"/>
    <n v="58.182499999999997"/>
    <n v="174.54749999999999"/>
    <n v="116.13"/>
    <x v="406"/>
    <n v="2.9879316985492363"/>
  </r>
  <r>
    <x v="6"/>
    <s v="VD-0498"/>
    <d v="2025-07-03T00:00:00"/>
    <x v="4"/>
    <x v="2"/>
    <x v="1"/>
    <x v="7"/>
    <x v="1"/>
    <s v="Mouse Pro"/>
    <x v="1"/>
    <n v="189.66"/>
    <n v="0.15"/>
    <n v="84.42"/>
    <s v="Concluída"/>
    <n v="379.32"/>
    <n v="56.897999999999996"/>
    <n v="322.42200000000003"/>
    <n v="168.84"/>
    <x v="407"/>
    <n v="2.0993475797945069"/>
  </r>
  <r>
    <x v="6"/>
    <s v="VD-0442"/>
    <d v="2025-07-04T00:00:00"/>
    <x v="7"/>
    <x v="3"/>
    <x v="1"/>
    <x v="9"/>
    <x v="0"/>
    <s v="Secador Pro"/>
    <x v="0"/>
    <n v="402.77"/>
    <n v="0.08"/>
    <n v="226.56"/>
    <s v="Concluída"/>
    <n v="402.77"/>
    <n v="32.221600000000002"/>
    <n v="370.54839999999996"/>
    <n v="226.56"/>
    <x v="408"/>
    <n v="2.5734600842845681"/>
  </r>
  <r>
    <x v="6"/>
    <s v="VD-0459"/>
    <d v="2025-07-04T00:00:00"/>
    <x v="5"/>
    <x v="1"/>
    <x v="3"/>
    <x v="6"/>
    <x v="2"/>
    <s v="Tapete Sala"/>
    <x v="1"/>
    <n v="570.23"/>
    <n v="0.2"/>
    <n v="284.69"/>
    <s v="Cancelada"/>
    <n v="1140.46"/>
    <n v="228.09200000000001"/>
    <n v="0"/>
    <n v="0"/>
    <x v="2"/>
    <s v="sem Valor"/>
  </r>
  <r>
    <x v="6"/>
    <s v="VD-0482"/>
    <d v="2025-07-04T00:00:00"/>
    <x v="6"/>
    <x v="0"/>
    <x v="0"/>
    <x v="1"/>
    <x v="4"/>
    <s v="Mochila Urban"/>
    <x v="0"/>
    <n v="336.01"/>
    <n v="0.05"/>
    <n v="153.11000000000001"/>
    <s v="Devolvida"/>
    <n v="336.01"/>
    <n v="16.8005"/>
    <n v="0"/>
    <n v="0"/>
    <x v="2"/>
    <s v="sem Valor"/>
  </r>
  <r>
    <x v="6"/>
    <s v="VD-0450"/>
    <d v="2025-07-05T00:00:00"/>
    <x v="2"/>
    <x v="1"/>
    <x v="3"/>
    <x v="0"/>
    <x v="0"/>
    <s v="Creme Facial"/>
    <x v="0"/>
    <n v="147.76"/>
    <n v="0.15"/>
    <n v="51.32"/>
    <s v="Concluída"/>
    <n v="147.76"/>
    <n v="22.163999999999998"/>
    <n v="125.59599999999999"/>
    <n v="51.32"/>
    <x v="409"/>
    <n v="1.6909365070816955"/>
  </r>
  <r>
    <x v="6"/>
    <s v="VD-0457"/>
    <d v="2025-07-05T00:00:00"/>
    <x v="3"/>
    <x v="2"/>
    <x v="1"/>
    <x v="0"/>
    <x v="4"/>
    <s v="Óculos Sol"/>
    <x v="0"/>
    <n v="393.56"/>
    <n v="0"/>
    <n v="169.72"/>
    <s v="Concluída"/>
    <n v="393.56"/>
    <n v="0"/>
    <n v="393.56"/>
    <n v="169.72"/>
    <x v="410"/>
    <n v="1.7582201572551823"/>
  </r>
  <r>
    <x v="6"/>
    <s v="VD-0448"/>
    <d v="2025-07-06T00:00:00"/>
    <x v="4"/>
    <x v="2"/>
    <x v="3"/>
    <x v="7"/>
    <x v="1"/>
    <s v="Mouse Pro"/>
    <x v="0"/>
    <n v="176.26"/>
    <n v="0.05"/>
    <n v="79.459999999999994"/>
    <s v="Concluída"/>
    <n v="176.26"/>
    <n v="8.8130000000000006"/>
    <n v="167.447"/>
    <n v="79.459999999999994"/>
    <x v="411"/>
    <n v="1.903087956175344"/>
  </r>
  <r>
    <x v="6"/>
    <s v="VD-0479"/>
    <d v="2025-07-06T00:00:00"/>
    <x v="2"/>
    <x v="1"/>
    <x v="0"/>
    <x v="5"/>
    <x v="2"/>
    <s v="Air Fryer 5L"/>
    <x v="0"/>
    <n v="655.43"/>
    <n v="0.05"/>
    <n v="370.85"/>
    <s v="Concluída"/>
    <n v="655.43"/>
    <n v="32.771499999999996"/>
    <n v="622.6585"/>
    <n v="370.85"/>
    <x v="412"/>
    <n v="2.4727461543196521"/>
  </r>
  <r>
    <x v="6"/>
    <s v="VD-0490"/>
    <d v="2025-07-06T00:00:00"/>
    <x v="5"/>
    <x v="1"/>
    <x v="1"/>
    <x v="10"/>
    <x v="4"/>
    <s v="Relógio Fit"/>
    <x v="0"/>
    <n v="710.42"/>
    <n v="0"/>
    <n v="347.46"/>
    <s v="Concluída"/>
    <n v="710.42"/>
    <n v="0"/>
    <n v="710.42"/>
    <n v="347.46"/>
    <x v="413"/>
    <n v="1.9572955697597532"/>
  </r>
  <r>
    <x v="6"/>
    <s v="VD-0501"/>
    <d v="2025-07-06T00:00:00"/>
    <x v="2"/>
    <x v="1"/>
    <x v="1"/>
    <x v="3"/>
    <x v="1"/>
    <s v="Monitor 27 Ultra"/>
    <x v="0"/>
    <n v="1358.03"/>
    <n v="0.1"/>
    <n v="913.31"/>
    <s v="Concluída"/>
    <n v="1358.03"/>
    <n v="135.803"/>
    <n v="1222.2269999999999"/>
    <n v="913.31"/>
    <x v="414"/>
    <n v="3.9564899309523276"/>
  </r>
  <r>
    <x v="6"/>
    <s v="VD-0453"/>
    <d v="2025-07-07T00:00:00"/>
    <x v="2"/>
    <x v="1"/>
    <x v="1"/>
    <x v="2"/>
    <x v="4"/>
    <s v="Relógio Fit"/>
    <x v="0"/>
    <n v="708.67"/>
    <n v="0.08"/>
    <n v="340.84"/>
    <s v="Concluída"/>
    <n v="708.67"/>
    <n v="56.693599999999996"/>
    <n v="651.97640000000001"/>
    <n v="340.84"/>
    <x v="415"/>
    <n v="2.0954680969504049"/>
  </r>
  <r>
    <x v="6"/>
    <s v="VD-0455"/>
    <d v="2025-07-07T00:00:00"/>
    <x v="5"/>
    <x v="1"/>
    <x v="3"/>
    <x v="8"/>
    <x v="4"/>
    <s v="Mochila Urban"/>
    <x v="1"/>
    <n v="309.94"/>
    <n v="0.05"/>
    <n v="143.79"/>
    <s v="Concluída"/>
    <n v="619.88"/>
    <n v="30.994"/>
    <n v="588.88599999999997"/>
    <n v="287.58"/>
    <x v="416"/>
    <n v="1.9544449828413639"/>
  </r>
  <r>
    <x v="6"/>
    <s v="VD-0465"/>
    <d v="2025-07-07T00:00:00"/>
    <x v="5"/>
    <x v="1"/>
    <x v="1"/>
    <x v="4"/>
    <x v="2"/>
    <s v="Kit Lençol 4p"/>
    <x v="0"/>
    <n v="294.54000000000002"/>
    <n v="0.15"/>
    <n v="133.28"/>
    <s v="Concluída"/>
    <n v="294.54000000000002"/>
    <n v="44.181000000000004"/>
    <n v="250.35900000000001"/>
    <n v="133.28"/>
    <x v="417"/>
    <n v="2.1383766516625524"/>
  </r>
  <r>
    <x v="6"/>
    <s v="VD-0426"/>
    <d v="2025-07-09T00:00:00"/>
    <x v="1"/>
    <x v="0"/>
    <x v="1"/>
    <x v="1"/>
    <x v="3"/>
    <s v="Colchonete Pro"/>
    <x v="0"/>
    <n v="149.06"/>
    <n v="0.05"/>
    <n v="59.59"/>
    <s v="Concluída"/>
    <n v="149.06"/>
    <n v="7.4530000000000003"/>
    <n v="141.607"/>
    <n v="59.59"/>
    <x v="418"/>
    <n v="1.7265566894668178"/>
  </r>
  <r>
    <x v="6"/>
    <s v="VD-0428"/>
    <d v="2025-07-09T00:00:00"/>
    <x v="0"/>
    <x v="0"/>
    <x v="0"/>
    <x v="2"/>
    <x v="4"/>
    <s v="Óculos Sol"/>
    <x v="0"/>
    <n v="403.91"/>
    <n v="0.2"/>
    <n v="172.67"/>
    <s v="Concluída"/>
    <n v="403.91"/>
    <n v="80.782000000000011"/>
    <n v="323.12800000000004"/>
    <n v="172.67"/>
    <x v="419"/>
    <n v="2.1476292387244276"/>
  </r>
  <r>
    <x v="6"/>
    <s v="VD-0427"/>
    <d v="2025-07-10T00:00:00"/>
    <x v="1"/>
    <x v="0"/>
    <x v="3"/>
    <x v="3"/>
    <x v="1"/>
    <s v="Monitor 27 Ultra"/>
    <x v="0"/>
    <n v="1387.94"/>
    <n v="0.05"/>
    <n v="958.67"/>
    <s v="Devolvida"/>
    <n v="1387.94"/>
    <n v="69.397000000000006"/>
    <n v="0"/>
    <n v="0"/>
    <x v="2"/>
    <s v="sem Valor"/>
  </r>
  <r>
    <x v="6"/>
    <s v="VD-0452"/>
    <d v="2025-07-10T00:00:00"/>
    <x v="2"/>
    <x v="1"/>
    <x v="0"/>
    <x v="2"/>
    <x v="1"/>
    <s v="Monitor 27 Ultra"/>
    <x v="0"/>
    <n v="1381.97"/>
    <n v="0.05"/>
    <n v="962.43"/>
    <s v="Concluída"/>
    <n v="1381.97"/>
    <n v="69.098500000000001"/>
    <n v="1312.8715"/>
    <n v="962.43"/>
    <x v="420"/>
    <n v="3.7463356936892458"/>
  </r>
  <r>
    <x v="6"/>
    <s v="VD-0460"/>
    <d v="2025-07-10T00:00:00"/>
    <x v="4"/>
    <x v="2"/>
    <x v="3"/>
    <x v="9"/>
    <x v="0"/>
    <s v="Secador Pro"/>
    <x v="0"/>
    <n v="420.48"/>
    <n v="0.05"/>
    <n v="223.76"/>
    <s v="Concluída"/>
    <n v="420.48"/>
    <n v="21.024000000000001"/>
    <n v="399.45600000000002"/>
    <n v="223.76"/>
    <x v="421"/>
    <n v="2.2735634277388215"/>
  </r>
  <r>
    <x v="6"/>
    <s v="VD-0484"/>
    <d v="2025-07-10T00:00:00"/>
    <x v="5"/>
    <x v="1"/>
    <x v="3"/>
    <x v="2"/>
    <x v="2"/>
    <s v="Air Fryer 5L"/>
    <x v="1"/>
    <n v="651.32000000000005"/>
    <n v="0.05"/>
    <n v="360.46"/>
    <s v="Concluída"/>
    <n v="1302.6400000000001"/>
    <n v="65.132000000000005"/>
    <n v="1237.508"/>
    <n v="720.92"/>
    <x v="422"/>
    <n v="2.3955415147080457"/>
  </r>
  <r>
    <x v="6"/>
    <s v="VD-0435"/>
    <d v="2025-07-11T00:00:00"/>
    <x v="3"/>
    <x v="2"/>
    <x v="1"/>
    <x v="8"/>
    <x v="2"/>
    <s v="Tapete Sala"/>
    <x v="1"/>
    <n v="491.99"/>
    <n v="0"/>
    <n v="254.64"/>
    <s v="Concluída"/>
    <n v="983.98"/>
    <n v="0"/>
    <n v="983.98"/>
    <n v="509.28"/>
    <x v="423"/>
    <n v="2.0728460080050555"/>
  </r>
  <r>
    <x v="6"/>
    <s v="VD-0454"/>
    <d v="2025-07-11T00:00:00"/>
    <x v="7"/>
    <x v="3"/>
    <x v="3"/>
    <x v="4"/>
    <x v="1"/>
    <s v="Fone Wave"/>
    <x v="1"/>
    <n v="262.85000000000002"/>
    <n v="0.03"/>
    <n v="131.16"/>
    <s v="Devolvida"/>
    <n v="525.70000000000005"/>
    <n v="15.771000000000001"/>
    <n v="0"/>
    <n v="0"/>
    <x v="2"/>
    <s v="sem Valor"/>
  </r>
  <r>
    <x v="6"/>
    <s v="VD-0470"/>
    <d v="2025-07-11T00:00:00"/>
    <x v="2"/>
    <x v="1"/>
    <x v="1"/>
    <x v="6"/>
    <x v="1"/>
    <s v="Mouse Pro"/>
    <x v="0"/>
    <n v="179.44"/>
    <n v="0.08"/>
    <n v="81.819999999999993"/>
    <s v="Concluída"/>
    <n v="179.44"/>
    <n v="14.3552"/>
    <n v="165.0848"/>
    <n v="81.819999999999993"/>
    <x v="424"/>
    <n v="1.9826481298219654"/>
  </r>
  <r>
    <x v="6"/>
    <s v="VD-0456"/>
    <d v="2025-07-12T00:00:00"/>
    <x v="3"/>
    <x v="2"/>
    <x v="1"/>
    <x v="4"/>
    <x v="1"/>
    <s v="Fone Wave"/>
    <x v="1"/>
    <n v="234.75"/>
    <n v="0.15"/>
    <n v="113.55"/>
    <s v="Concluída"/>
    <n v="469.5"/>
    <n v="70.424999999999997"/>
    <n v="399.07499999999999"/>
    <n v="227.1"/>
    <x v="425"/>
    <n v="2.3205407762756214"/>
  </r>
  <r>
    <x v="6"/>
    <s v="VD-0474"/>
    <d v="2025-07-12T00:00:00"/>
    <x v="5"/>
    <x v="1"/>
    <x v="3"/>
    <x v="0"/>
    <x v="3"/>
    <s v="Colchonete Pro"/>
    <x v="0"/>
    <n v="133.16999999999999"/>
    <n v="0.1"/>
    <n v="52.54"/>
    <s v="Concluída"/>
    <n v="133.16999999999999"/>
    <n v="13.317"/>
    <n v="119.85299999999998"/>
    <n v="52.54"/>
    <x v="426"/>
    <n v="1.7805327351328868"/>
  </r>
  <r>
    <x v="6"/>
    <s v="VD-0480"/>
    <d v="2025-07-12T00:00:00"/>
    <x v="1"/>
    <x v="0"/>
    <x v="0"/>
    <x v="5"/>
    <x v="1"/>
    <s v="Fone Wave"/>
    <x v="0"/>
    <n v="230.56"/>
    <n v="0.2"/>
    <n v="114.99"/>
    <s v="Concluída"/>
    <n v="230.56"/>
    <n v="46.112000000000002"/>
    <n v="184.44800000000001"/>
    <n v="114.99"/>
    <x v="427"/>
    <n v="2.6555328399896339"/>
  </r>
  <r>
    <x v="6"/>
    <s v="VD-0440"/>
    <d v="2025-07-13T00:00:00"/>
    <x v="7"/>
    <x v="3"/>
    <x v="1"/>
    <x v="11"/>
    <x v="1"/>
    <s v="Mouse Pro"/>
    <x v="1"/>
    <n v="185"/>
    <n v="0.15"/>
    <n v="83.94"/>
    <s v="Concluída"/>
    <n v="370"/>
    <n v="55.5"/>
    <n v="314.5"/>
    <n v="167.88"/>
    <x v="428"/>
    <n v="2.1450006820351928"/>
  </r>
  <r>
    <x v="6"/>
    <s v="VD-0447"/>
    <d v="2025-07-13T00:00:00"/>
    <x v="3"/>
    <x v="2"/>
    <x v="1"/>
    <x v="1"/>
    <x v="2"/>
    <s v="Panela Pressão 6L"/>
    <x v="0"/>
    <n v="452.25"/>
    <n v="0.15"/>
    <n v="242.06"/>
    <s v="Concluída"/>
    <n v="452.25"/>
    <n v="67.837499999999991"/>
    <n v="384.41250000000002"/>
    <n v="242.06"/>
    <x v="429"/>
    <n v="2.7004267575209426"/>
  </r>
  <r>
    <x v="6"/>
    <s v="VD-0467"/>
    <d v="2025-07-13T00:00:00"/>
    <x v="4"/>
    <x v="2"/>
    <x v="1"/>
    <x v="6"/>
    <x v="1"/>
    <s v="Notebook Nova 14"/>
    <x v="0"/>
    <n v="4066.27"/>
    <n v="0"/>
    <n v="3154.37"/>
    <s v="Concluída"/>
    <n v="4066.27"/>
    <n v="0"/>
    <n v="4066.27"/>
    <n v="3154.37"/>
    <x v="430"/>
    <n v="4.4591183243776724"/>
  </r>
  <r>
    <x v="6"/>
    <s v="VD-0475"/>
    <d v="2025-07-13T00:00:00"/>
    <x v="6"/>
    <x v="0"/>
    <x v="3"/>
    <x v="7"/>
    <x v="1"/>
    <s v="Fone Wave"/>
    <x v="0"/>
    <n v="256.29000000000002"/>
    <n v="0.2"/>
    <n v="123.84"/>
    <s v="Concluída"/>
    <n v="256.29000000000002"/>
    <n v="51.25800000000001"/>
    <n v="205.03200000000001"/>
    <n v="123.84"/>
    <x v="431"/>
    <n v="2.5252734259532956"/>
  </r>
  <r>
    <x v="6"/>
    <s v="VD-0443"/>
    <d v="2025-07-14T00:00:00"/>
    <x v="4"/>
    <x v="2"/>
    <x v="0"/>
    <x v="11"/>
    <x v="4"/>
    <s v="Mochila Urban"/>
    <x v="1"/>
    <n v="335.69"/>
    <n v="0.2"/>
    <n v="158.44999999999999"/>
    <s v="Concluída"/>
    <n v="671.38"/>
    <n v="134.27600000000001"/>
    <n v="537.10400000000004"/>
    <n v="316.89999999999998"/>
    <x v="432"/>
    <n v="2.4391200886450739"/>
  </r>
  <r>
    <x v="6"/>
    <s v="VD-0497"/>
    <d v="2025-07-15T00:00:00"/>
    <x v="0"/>
    <x v="0"/>
    <x v="1"/>
    <x v="3"/>
    <x v="4"/>
    <s v="Relógio Fit"/>
    <x v="0"/>
    <n v="685.5"/>
    <n v="0.08"/>
    <n v="331.25"/>
    <s v="Concluída"/>
    <n v="685.5"/>
    <n v="54.84"/>
    <n v="630.66"/>
    <n v="331.25"/>
    <x v="433"/>
    <n v="2.1063424735312783"/>
  </r>
  <r>
    <x v="6"/>
    <s v="VD-0431"/>
    <d v="2025-07-16T00:00:00"/>
    <x v="7"/>
    <x v="3"/>
    <x v="1"/>
    <x v="11"/>
    <x v="4"/>
    <s v="Relógio Fit"/>
    <x v="0"/>
    <n v="643.5"/>
    <n v="0.08"/>
    <n v="301.47000000000003"/>
    <s v="Concluída"/>
    <n v="643.5"/>
    <n v="51.480000000000004"/>
    <n v="592.02"/>
    <n v="301.47000000000003"/>
    <x v="434"/>
    <n v="2.0375838926174499"/>
  </r>
  <r>
    <x v="6"/>
    <s v="VD-0499"/>
    <d v="2025-07-16T00:00:00"/>
    <x v="7"/>
    <x v="3"/>
    <x v="0"/>
    <x v="5"/>
    <x v="0"/>
    <s v="Creme Facial"/>
    <x v="1"/>
    <n v="137.32"/>
    <n v="0.05"/>
    <n v="49.26"/>
    <s v="Concluída"/>
    <n v="274.64"/>
    <n v="13.731999999999999"/>
    <n v="260.90800000000002"/>
    <n v="98.52"/>
    <x v="435"/>
    <n v="1.6066950759908365"/>
  </r>
  <r>
    <x v="6"/>
    <s v="VD-0438"/>
    <d v="2025-07-17T00:00:00"/>
    <x v="0"/>
    <x v="0"/>
    <x v="0"/>
    <x v="3"/>
    <x v="1"/>
    <s v="Monitor 27 Ultra"/>
    <x v="1"/>
    <n v="1233.57"/>
    <n v="0.25"/>
    <n v="884.04"/>
    <s v="Concluída"/>
    <n v="2467.14"/>
    <n v="616.78499999999997"/>
    <n v="1850.355"/>
    <n v="1768.08"/>
    <x v="436"/>
    <n v="22.489881494986303"/>
  </r>
  <r>
    <x v="6"/>
    <s v="VD-0445"/>
    <d v="2025-07-18T00:00:00"/>
    <x v="6"/>
    <x v="0"/>
    <x v="0"/>
    <x v="9"/>
    <x v="3"/>
    <s v="Halteres 10kg"/>
    <x v="1"/>
    <n v="372.46"/>
    <n v="0.15"/>
    <n v="202.37"/>
    <s v="Concluída"/>
    <n v="744.92"/>
    <n v="111.73799999999999"/>
    <n v="633.18200000000002"/>
    <n v="404.74"/>
    <x v="437"/>
    <n v="2.7717407481986673"/>
  </r>
  <r>
    <x v="6"/>
    <s v="VD-0461"/>
    <d v="2025-07-18T00:00:00"/>
    <x v="0"/>
    <x v="0"/>
    <x v="0"/>
    <x v="7"/>
    <x v="2"/>
    <s v="Air Fryer 5L"/>
    <x v="0"/>
    <n v="724.93"/>
    <n v="0.05"/>
    <n v="410.18"/>
    <s v="Concluída"/>
    <n v="724.93"/>
    <n v="36.246499999999997"/>
    <n v="688.68349999999998"/>
    <n v="410.18"/>
    <x v="438"/>
    <n v="2.4728001622959859"/>
  </r>
  <r>
    <x v="6"/>
    <s v="VD-0471"/>
    <d v="2025-07-18T00:00:00"/>
    <x v="6"/>
    <x v="0"/>
    <x v="1"/>
    <x v="10"/>
    <x v="2"/>
    <s v="Air Fryer 5L"/>
    <x v="0"/>
    <n v="735.81"/>
    <n v="0"/>
    <n v="412.02"/>
    <s v="Concluída"/>
    <n v="735.81"/>
    <n v="0"/>
    <n v="735.81"/>
    <n v="412.02"/>
    <x v="439"/>
    <n v="2.2724914296303163"/>
  </r>
  <r>
    <x v="6"/>
    <s v="VD-0472"/>
    <d v="2025-07-18T00:00:00"/>
    <x v="5"/>
    <x v="1"/>
    <x v="1"/>
    <x v="11"/>
    <x v="2"/>
    <s v="Cadeira Escritório"/>
    <x v="0"/>
    <n v="1272.73"/>
    <n v="0.15"/>
    <n v="957.99"/>
    <s v="Devolvida"/>
    <n v="1272.73"/>
    <n v="190.90950000000001"/>
    <n v="0"/>
    <n v="0"/>
    <x v="2"/>
    <s v="sem Valor"/>
  </r>
  <r>
    <x v="6"/>
    <s v="VD-0476"/>
    <d v="2025-07-18T00:00:00"/>
    <x v="2"/>
    <x v="1"/>
    <x v="1"/>
    <x v="8"/>
    <x v="1"/>
    <s v="Monitor 27 Ultra"/>
    <x v="0"/>
    <n v="1222.3900000000001"/>
    <n v="0.08"/>
    <n v="857.21"/>
    <s v="Concluída"/>
    <n v="1222.3900000000001"/>
    <n v="97.791200000000003"/>
    <n v="1124.5988000000002"/>
    <n v="857.21"/>
    <x v="440"/>
    <n v="4.2058560418386985"/>
  </r>
  <r>
    <x v="6"/>
    <s v="VD-0469"/>
    <d v="2025-07-19T00:00:00"/>
    <x v="5"/>
    <x v="1"/>
    <x v="1"/>
    <x v="7"/>
    <x v="2"/>
    <s v="Kit Lençol 4p"/>
    <x v="0"/>
    <n v="267"/>
    <n v="0.08"/>
    <n v="113.31"/>
    <s v="Concluída"/>
    <n v="267"/>
    <n v="21.36"/>
    <n v="245.64"/>
    <n v="113.31"/>
    <x v="441"/>
    <n v="1.8562684198594424"/>
  </r>
  <r>
    <x v="6"/>
    <s v="VD-0433"/>
    <d v="2025-07-20T00:00:00"/>
    <x v="6"/>
    <x v="0"/>
    <x v="0"/>
    <x v="8"/>
    <x v="3"/>
    <s v="Halteres 10kg"/>
    <x v="0"/>
    <n v="343.45"/>
    <n v="0.1"/>
    <n v="187.48"/>
    <s v="Concluída"/>
    <n v="343.45"/>
    <n v="34.344999999999999"/>
    <n v="309.10500000000002"/>
    <n v="187.48"/>
    <x v="442"/>
    <n v="2.5414594039054466"/>
  </r>
  <r>
    <x v="6"/>
    <s v="VD-0437"/>
    <d v="2025-07-20T00:00:00"/>
    <x v="7"/>
    <x v="3"/>
    <x v="0"/>
    <x v="2"/>
    <x v="2"/>
    <s v="Tapete Sala"/>
    <x v="0"/>
    <n v="500.79"/>
    <n v="0.25"/>
    <n v="255.56"/>
    <s v="Concluída"/>
    <n v="500.79"/>
    <n v="125.19750000000001"/>
    <n v="375.59250000000003"/>
    <n v="255.56"/>
    <x v="443"/>
    <n v="3.1290900381146769"/>
  </r>
  <r>
    <x v="6"/>
    <s v="VD-0458"/>
    <d v="2025-07-20T00:00:00"/>
    <x v="2"/>
    <x v="1"/>
    <x v="1"/>
    <x v="3"/>
    <x v="1"/>
    <s v="Fone Wave"/>
    <x v="0"/>
    <n v="245.02"/>
    <n v="0"/>
    <n v="120.26"/>
    <s v="Concluída"/>
    <n v="245.02"/>
    <n v="0"/>
    <n v="245.02"/>
    <n v="120.26"/>
    <x v="444"/>
    <n v="1.9639307470343059"/>
  </r>
  <r>
    <x v="6"/>
    <s v="VD-0430"/>
    <d v="2025-07-21T00:00:00"/>
    <x v="4"/>
    <x v="2"/>
    <x v="3"/>
    <x v="5"/>
    <x v="1"/>
    <s v="Mouse Pro"/>
    <x v="1"/>
    <n v="188.2"/>
    <n v="0.1"/>
    <n v="86.86"/>
    <s v="Concluída"/>
    <n v="376.4"/>
    <n v="37.64"/>
    <n v="338.76"/>
    <n v="173.72"/>
    <x v="445"/>
    <n v="2.0525933107125547"/>
  </r>
  <r>
    <x v="6"/>
    <s v="VD-0500"/>
    <d v="2025-07-21T00:00:00"/>
    <x v="2"/>
    <x v="1"/>
    <x v="0"/>
    <x v="9"/>
    <x v="0"/>
    <s v="Creme Facial"/>
    <x v="0"/>
    <n v="151.5"/>
    <n v="0.15"/>
    <n v="53.66"/>
    <s v="Concluída"/>
    <n v="151.5"/>
    <n v="22.724999999999998"/>
    <n v="128.77500000000001"/>
    <n v="53.66"/>
    <x v="446"/>
    <n v="1.7143712973440723"/>
  </r>
  <r>
    <x v="6"/>
    <s v="VD-0496"/>
    <d v="2025-07-22T00:00:00"/>
    <x v="4"/>
    <x v="2"/>
    <x v="1"/>
    <x v="10"/>
    <x v="2"/>
    <s v="Kit Lençol 4p"/>
    <x v="0"/>
    <n v="279.05"/>
    <n v="0.05"/>
    <n v="121.29"/>
    <s v="Concluída"/>
    <n v="279.05"/>
    <n v="13.952500000000001"/>
    <n v="265.09750000000003"/>
    <n v="121.29"/>
    <x v="447"/>
    <n v="1.8434191540774996"/>
  </r>
  <r>
    <x v="6"/>
    <s v="VD-0425"/>
    <d v="2025-07-23T00:00:00"/>
    <x v="1"/>
    <x v="0"/>
    <x v="2"/>
    <x v="6"/>
    <x v="0"/>
    <s v="Secador Pro"/>
    <x v="1"/>
    <n v="414.13"/>
    <n v="0.1"/>
    <n v="223.61"/>
    <s v="Concluída"/>
    <n v="828.26"/>
    <n v="82.826000000000008"/>
    <n v="745.43399999999997"/>
    <n v="447.22"/>
    <x v="448"/>
    <n v="2.4996613170407831"/>
  </r>
  <r>
    <x v="6"/>
    <s v="VD-0488"/>
    <d v="2025-07-23T00:00:00"/>
    <x v="6"/>
    <x v="0"/>
    <x v="3"/>
    <x v="11"/>
    <x v="2"/>
    <s v="Kit Lençol 4p"/>
    <x v="0"/>
    <n v="293.48"/>
    <n v="0.05"/>
    <n v="128.59"/>
    <s v="Concluída"/>
    <n v="293.48"/>
    <n v="14.674000000000001"/>
    <n v="278.80600000000004"/>
    <n v="128.59"/>
    <x v="449"/>
    <n v="1.8560339777387227"/>
  </r>
  <r>
    <x v="6"/>
    <s v="VD-0439"/>
    <d v="2025-07-24T00:00:00"/>
    <x v="6"/>
    <x v="0"/>
    <x v="1"/>
    <x v="3"/>
    <x v="3"/>
    <s v="Colchonete Pro"/>
    <x v="0"/>
    <n v="145.76"/>
    <n v="0"/>
    <n v="60.14"/>
    <s v="Concluída"/>
    <n v="145.76"/>
    <n v="0"/>
    <n v="145.76"/>
    <n v="60.14"/>
    <x v="450"/>
    <n v="1.7024059799112359"/>
  </r>
  <r>
    <x v="6"/>
    <s v="VD-0463"/>
    <d v="2025-07-24T00:00:00"/>
    <x v="3"/>
    <x v="2"/>
    <x v="1"/>
    <x v="2"/>
    <x v="2"/>
    <s v="Kit Lençol 4p"/>
    <x v="0"/>
    <n v="273.26"/>
    <n v="0.15"/>
    <n v="117.04"/>
    <s v="Cancelada"/>
    <n v="273.26"/>
    <n v="40.988999999999997"/>
    <n v="0"/>
    <n v="0"/>
    <x v="2"/>
    <s v="sem Valor"/>
  </r>
  <r>
    <x v="6"/>
    <s v="VD-0473"/>
    <d v="2025-07-24T00:00:00"/>
    <x v="7"/>
    <x v="3"/>
    <x v="3"/>
    <x v="10"/>
    <x v="3"/>
    <s v="Colchonete Pro"/>
    <x v="1"/>
    <n v="148.47999999999999"/>
    <n v="0.03"/>
    <n v="58.21"/>
    <s v="Concluída"/>
    <n v="296.95999999999998"/>
    <n v="8.9087999999999994"/>
    <n v="288.05119999999999"/>
    <n v="116.42"/>
    <x v="451"/>
    <n v="1.6783148984566911"/>
  </r>
  <r>
    <x v="6"/>
    <s v="VD-0477"/>
    <d v="2025-07-24T00:00:00"/>
    <x v="5"/>
    <x v="1"/>
    <x v="2"/>
    <x v="7"/>
    <x v="2"/>
    <s v="Air Fryer 5L"/>
    <x v="0"/>
    <n v="727.23"/>
    <n v="0.03"/>
    <n v="403.93"/>
    <s v="Concluída"/>
    <n v="727.23"/>
    <n v="21.8169"/>
    <n v="705.41309999999999"/>
    <n v="403.93"/>
    <x v="452"/>
    <n v="2.3398097604807702"/>
  </r>
  <r>
    <x v="6"/>
    <s v="VD-0485"/>
    <d v="2025-07-24T00:00:00"/>
    <x v="4"/>
    <x v="2"/>
    <x v="3"/>
    <x v="4"/>
    <x v="4"/>
    <s v="Óculos Sol"/>
    <x v="0"/>
    <n v="361.12"/>
    <n v="0.15"/>
    <n v="157.57"/>
    <s v="Concluída"/>
    <n v="361.12"/>
    <n v="54.167999999999999"/>
    <n v="306.952"/>
    <n v="157.57"/>
    <x v="453"/>
    <n v="2.0548124941425336"/>
  </r>
  <r>
    <x v="6"/>
    <s v="VD-0495"/>
    <d v="2025-07-24T00:00:00"/>
    <x v="5"/>
    <x v="1"/>
    <x v="1"/>
    <x v="7"/>
    <x v="3"/>
    <s v="Bike Urbana"/>
    <x v="0"/>
    <n v="2417.59"/>
    <n v="0"/>
    <n v="1702.25"/>
    <s v="Concluída"/>
    <n v="2417.59"/>
    <n v="0"/>
    <n v="2417.59"/>
    <n v="1702.25"/>
    <x v="454"/>
    <n v="3.379637654821483"/>
  </r>
  <r>
    <x v="6"/>
    <s v="VD-0434"/>
    <d v="2025-07-25T00:00:00"/>
    <x v="6"/>
    <x v="0"/>
    <x v="3"/>
    <x v="4"/>
    <x v="2"/>
    <s v="Air Fryer 5L"/>
    <x v="0"/>
    <n v="697.64"/>
    <n v="0.2"/>
    <n v="384.37"/>
    <s v="Concluída"/>
    <n v="697.64"/>
    <n v="139.52799999999999"/>
    <n v="558.11199999999997"/>
    <n v="384.37"/>
    <x v="455"/>
    <n v="3.2123033002958414"/>
  </r>
  <r>
    <x v="6"/>
    <s v="VD-0468"/>
    <d v="2025-07-25T00:00:00"/>
    <x v="7"/>
    <x v="3"/>
    <x v="0"/>
    <x v="0"/>
    <x v="1"/>
    <s v="Mouse Pro"/>
    <x v="0"/>
    <n v="185.88"/>
    <n v="0.15"/>
    <n v="82.53"/>
    <s v="Concluída"/>
    <n v="185.88"/>
    <n v="27.881999999999998"/>
    <n v="157.99799999999999"/>
    <n v="82.53"/>
    <x v="456"/>
    <n v="2.0935760852281762"/>
  </r>
  <r>
    <x v="6"/>
    <s v="VD-0486"/>
    <d v="2025-07-25T00:00:00"/>
    <x v="7"/>
    <x v="3"/>
    <x v="1"/>
    <x v="11"/>
    <x v="4"/>
    <s v="Relógio Fit"/>
    <x v="0"/>
    <n v="707.69"/>
    <n v="0.08"/>
    <n v="353.13"/>
    <s v="Concluída"/>
    <n v="707.69"/>
    <n v="56.615200000000009"/>
    <n v="651.0748000000001"/>
    <n v="353.13"/>
    <x v="457"/>
    <n v="2.1852195440229192"/>
  </r>
  <r>
    <x v="6"/>
    <s v="VD-0487"/>
    <d v="2025-07-25T00:00:00"/>
    <x v="2"/>
    <x v="1"/>
    <x v="2"/>
    <x v="8"/>
    <x v="2"/>
    <s v="Panela Pressão 6L"/>
    <x v="0"/>
    <n v="482.7"/>
    <n v="0.03"/>
    <n v="272.12"/>
    <s v="Concluída"/>
    <n v="482.7"/>
    <n v="14.481"/>
    <n v="468.21899999999999"/>
    <n v="272.12"/>
    <x v="458"/>
    <n v="2.3876664337910953"/>
  </r>
  <r>
    <x v="6"/>
    <s v="VD-0489"/>
    <d v="2025-07-25T00:00:00"/>
    <x v="1"/>
    <x v="0"/>
    <x v="1"/>
    <x v="1"/>
    <x v="3"/>
    <s v="Halteres 10kg"/>
    <x v="1"/>
    <n v="379.07"/>
    <n v="0.1"/>
    <n v="215.94"/>
    <s v="Concluída"/>
    <n v="758.14"/>
    <n v="75.814000000000007"/>
    <n v="682.32600000000002"/>
    <n v="431.88"/>
    <x v="459"/>
    <n v="2.7244435926307466"/>
  </r>
  <r>
    <x v="6"/>
    <s v="VD-0492"/>
    <d v="2025-07-25T00:00:00"/>
    <x v="7"/>
    <x v="3"/>
    <x v="1"/>
    <x v="8"/>
    <x v="3"/>
    <s v="Colchonete Pro"/>
    <x v="1"/>
    <n v="137.9"/>
    <n v="0.15"/>
    <n v="54.99"/>
    <s v="Concluída"/>
    <n v="275.8"/>
    <n v="41.37"/>
    <n v="234.43"/>
    <n v="109.98"/>
    <x v="460"/>
    <n v="1.8837284049819205"/>
  </r>
  <r>
    <x v="6"/>
    <s v="VD-0441"/>
    <d v="2025-07-26T00:00:00"/>
    <x v="2"/>
    <x v="1"/>
    <x v="1"/>
    <x v="3"/>
    <x v="2"/>
    <s v="Tapete Sala"/>
    <x v="1"/>
    <n v="541.07000000000005"/>
    <n v="0"/>
    <n v="288.26"/>
    <s v="Concluída"/>
    <n v="1082.1400000000001"/>
    <n v="0"/>
    <n v="1082.1400000000001"/>
    <n v="576.52"/>
    <x v="461"/>
    <n v="2.1402238835489098"/>
  </r>
  <r>
    <x v="6"/>
    <s v="VD-0444"/>
    <d v="2025-07-26T00:00:00"/>
    <x v="2"/>
    <x v="1"/>
    <x v="1"/>
    <x v="2"/>
    <x v="4"/>
    <s v="Relógio Fit"/>
    <x v="1"/>
    <n v="683.55"/>
    <n v="0"/>
    <n v="330.63"/>
    <s v="Concluída"/>
    <n v="1367.1"/>
    <n v="0"/>
    <n v="1367.1"/>
    <n v="661.26"/>
    <x v="462"/>
    <n v="1.9368412104726285"/>
  </r>
  <r>
    <x v="6"/>
    <s v="VD-0462"/>
    <d v="2025-07-26T00:00:00"/>
    <x v="0"/>
    <x v="0"/>
    <x v="3"/>
    <x v="4"/>
    <x v="0"/>
    <s v="Balança Smart"/>
    <x v="0"/>
    <n v="233.95"/>
    <n v="0.05"/>
    <n v="101.63"/>
    <s v="Concluída"/>
    <n v="233.95"/>
    <n v="11.6975"/>
    <n v="222.2525"/>
    <n v="101.63"/>
    <x v="463"/>
    <n v="1.8425459595017513"/>
  </r>
  <r>
    <x v="6"/>
    <s v="VD-0491"/>
    <d v="2025-07-26T00:00:00"/>
    <x v="6"/>
    <x v="0"/>
    <x v="3"/>
    <x v="2"/>
    <x v="4"/>
    <s v="Mochila Urban"/>
    <x v="0"/>
    <n v="298.33"/>
    <n v="0.03"/>
    <n v="138.55000000000001"/>
    <s v="Concluída"/>
    <n v="298.33"/>
    <n v="8.9498999999999995"/>
    <n v="289.38009999999997"/>
    <n v="138.55000000000001"/>
    <x v="464"/>
    <n v="1.9185832270879621"/>
  </r>
  <r>
    <x v="6"/>
    <s v="VD-0493"/>
    <d v="2025-07-26T00:00:00"/>
    <x v="2"/>
    <x v="1"/>
    <x v="1"/>
    <x v="9"/>
    <x v="3"/>
    <s v="Bike Urbana"/>
    <x v="0"/>
    <n v="2347.34"/>
    <n v="0.1"/>
    <n v="1674.44"/>
    <s v="Concluída"/>
    <n v="2347.34"/>
    <n v="234.73400000000004"/>
    <n v="2112.6060000000002"/>
    <n v="1674.44"/>
    <x v="465"/>
    <n v="4.8214740532127083"/>
  </r>
  <r>
    <x v="6"/>
    <s v="VD-0429"/>
    <d v="2025-07-27T00:00:00"/>
    <x v="5"/>
    <x v="1"/>
    <x v="1"/>
    <x v="1"/>
    <x v="2"/>
    <s v="Kit Lençol 4p"/>
    <x v="0"/>
    <n v="311.06"/>
    <n v="0.08"/>
    <n v="136.29"/>
    <s v="Concluída"/>
    <n v="311.06"/>
    <n v="24.884800000000002"/>
    <n v="286.17520000000002"/>
    <n v="136.29"/>
    <x v="466"/>
    <n v="1.90929591447321"/>
  </r>
  <r>
    <x v="6"/>
    <s v="VD-0436"/>
    <d v="2025-07-27T00:00:00"/>
    <x v="7"/>
    <x v="3"/>
    <x v="3"/>
    <x v="4"/>
    <x v="2"/>
    <s v="Panela Pressão 6L"/>
    <x v="0"/>
    <n v="448.87"/>
    <n v="0.2"/>
    <n v="246.42"/>
    <s v="Concluída"/>
    <n v="448.87"/>
    <n v="89.774000000000001"/>
    <n v="359.096"/>
    <n v="246.42"/>
    <x v="467"/>
    <n v="3.1869785934892962"/>
  </r>
  <r>
    <x v="6"/>
    <s v="VD-0449"/>
    <d v="2025-07-28T00:00:00"/>
    <x v="3"/>
    <x v="2"/>
    <x v="0"/>
    <x v="2"/>
    <x v="2"/>
    <s v="Kit Lençol 4p"/>
    <x v="1"/>
    <n v="299.63"/>
    <n v="0.25"/>
    <n v="136.22"/>
    <s v="Cancelada"/>
    <n v="599.26"/>
    <n v="149.815"/>
    <n v="0"/>
    <n v="0"/>
    <x v="2"/>
    <s v="sem Valor"/>
  </r>
  <r>
    <x v="6"/>
    <s v="VD-0464"/>
    <d v="2025-07-28T00:00:00"/>
    <x v="4"/>
    <x v="2"/>
    <x v="0"/>
    <x v="9"/>
    <x v="1"/>
    <s v="Teclado Mecânico"/>
    <x v="0"/>
    <n v="429.05"/>
    <n v="0.05"/>
    <n v="252.21"/>
    <s v="Concluída"/>
    <n v="429.05"/>
    <n v="21.452500000000001"/>
    <n v="407.59750000000003"/>
    <n v="252.21"/>
    <x v="468"/>
    <n v="2.6231035314938458"/>
  </r>
  <r>
    <x v="7"/>
    <s v="VD-0505"/>
    <d v="2025-08-01T00:00:00"/>
    <x v="7"/>
    <x v="3"/>
    <x v="1"/>
    <x v="11"/>
    <x v="4"/>
    <s v="Mochila Urban"/>
    <x v="0"/>
    <n v="302.63"/>
    <n v="0.1"/>
    <n v="143.49"/>
    <s v="Concluída"/>
    <n v="302.63"/>
    <n v="30.263000000000002"/>
    <n v="272.36700000000002"/>
    <n v="143.49"/>
    <x v="469"/>
    <n v="2.1133871831280988"/>
  </r>
  <r>
    <x v="7"/>
    <s v="VD-0552"/>
    <d v="2025-08-01T00:00:00"/>
    <x v="1"/>
    <x v="0"/>
    <x v="1"/>
    <x v="6"/>
    <x v="4"/>
    <s v="Relógio Fit"/>
    <x v="0"/>
    <n v="664.12"/>
    <n v="0.15"/>
    <n v="314.05"/>
    <s v="Concluída"/>
    <n v="664.12"/>
    <n v="99.617999999999995"/>
    <n v="564.50199999999995"/>
    <n v="314.05"/>
    <x v="470"/>
    <n v="2.2539328893360806"/>
  </r>
  <r>
    <x v="7"/>
    <s v="VD-0513"/>
    <d v="2025-08-02T00:00:00"/>
    <x v="3"/>
    <x v="2"/>
    <x v="3"/>
    <x v="9"/>
    <x v="1"/>
    <s v="Notebook Nova 14"/>
    <x v="0"/>
    <n v="3989.56"/>
    <n v="0.05"/>
    <n v="3222.66"/>
    <s v="Concluída"/>
    <n v="3989.56"/>
    <n v="199.47800000000001"/>
    <n v="3790.0819999999999"/>
    <n v="3222.66"/>
    <x v="471"/>
    <n v="6.6794766505352277"/>
  </r>
  <r>
    <x v="7"/>
    <s v="VD-0544"/>
    <d v="2025-08-02T00:00:00"/>
    <x v="7"/>
    <x v="3"/>
    <x v="1"/>
    <x v="7"/>
    <x v="1"/>
    <s v="Notebook Nova 14"/>
    <x v="0"/>
    <n v="4143.42"/>
    <n v="0"/>
    <n v="3299.05"/>
    <s v="Concluída"/>
    <n v="4143.42"/>
    <n v="0"/>
    <n v="4143.42"/>
    <n v="3299.05"/>
    <x v="472"/>
    <n v="4.9071141798026936"/>
  </r>
  <r>
    <x v="7"/>
    <s v="VD-0563"/>
    <d v="2025-08-02T00:00:00"/>
    <x v="0"/>
    <x v="0"/>
    <x v="1"/>
    <x v="9"/>
    <x v="0"/>
    <s v="Secador Pro"/>
    <x v="0"/>
    <n v="435.83"/>
    <n v="0.15"/>
    <n v="244.01"/>
    <s v="Concluída"/>
    <n v="435.83"/>
    <n v="65.374499999999998"/>
    <n v="370.45549999999997"/>
    <n v="244.01"/>
    <x v="473"/>
    <n v="2.9297642067135645"/>
  </r>
  <r>
    <x v="7"/>
    <s v="VD-0541"/>
    <d v="2025-08-03T00:00:00"/>
    <x v="5"/>
    <x v="1"/>
    <x v="0"/>
    <x v="10"/>
    <x v="1"/>
    <s v="Fone Wave"/>
    <x v="1"/>
    <n v="257.89999999999998"/>
    <n v="0.1"/>
    <n v="127.38"/>
    <s v="Concluída"/>
    <n v="515.79999999999995"/>
    <n v="51.58"/>
    <n v="464.21999999999997"/>
    <n v="254.76"/>
    <x v="474"/>
    <n v="2.2162704096247494"/>
  </r>
  <r>
    <x v="7"/>
    <s v="VD-0542"/>
    <d v="2025-08-03T00:00:00"/>
    <x v="6"/>
    <x v="0"/>
    <x v="2"/>
    <x v="4"/>
    <x v="2"/>
    <s v="Tapete Sala"/>
    <x v="0"/>
    <n v="561.03"/>
    <n v="0.1"/>
    <n v="282.18"/>
    <s v="Concluída"/>
    <n v="561.03"/>
    <n v="56.103000000000002"/>
    <n v="504.92699999999996"/>
    <n v="282.18"/>
    <x v="475"/>
    <n v="2.2668184083287319"/>
  </r>
  <r>
    <x v="7"/>
    <s v="VD-0547"/>
    <d v="2025-08-03T00:00:00"/>
    <x v="4"/>
    <x v="2"/>
    <x v="0"/>
    <x v="6"/>
    <x v="1"/>
    <s v="Monitor 27 Ultra"/>
    <x v="1"/>
    <n v="1302.54"/>
    <n v="0.15"/>
    <n v="902.66"/>
    <s v="Concluída"/>
    <n v="2605.08"/>
    <n v="390.762"/>
    <n v="2214.3179999999998"/>
    <n v="1805.32"/>
    <x v="476"/>
    <n v="5.4140069144592413"/>
  </r>
  <r>
    <x v="7"/>
    <s v="VD-0503"/>
    <d v="2025-08-04T00:00:00"/>
    <x v="7"/>
    <x v="3"/>
    <x v="1"/>
    <x v="4"/>
    <x v="3"/>
    <s v="Esteira Compacta"/>
    <x v="0"/>
    <n v="2581.9"/>
    <n v="0.08"/>
    <n v="1736.53"/>
    <s v="Concluída"/>
    <n v="2581.9"/>
    <n v="206.55200000000002"/>
    <n v="2375.348"/>
    <n v="1736.53"/>
    <x v="477"/>
    <n v="3.7183485750244984"/>
  </r>
  <r>
    <x v="7"/>
    <s v="VD-0519"/>
    <d v="2025-08-04T00:00:00"/>
    <x v="2"/>
    <x v="1"/>
    <x v="2"/>
    <x v="9"/>
    <x v="1"/>
    <s v="Teclado Mecânico"/>
    <x v="0"/>
    <n v="436.45"/>
    <n v="0.12"/>
    <n v="259.39"/>
    <s v="Concluída"/>
    <n v="436.45"/>
    <n v="52.373999999999995"/>
    <n v="384.07600000000002"/>
    <n v="259.39"/>
    <x v="478"/>
    <n v="3.0803458287217484"/>
  </r>
  <r>
    <x v="7"/>
    <s v="VD-0557"/>
    <d v="2025-08-04T00:00:00"/>
    <x v="0"/>
    <x v="0"/>
    <x v="0"/>
    <x v="0"/>
    <x v="1"/>
    <s v="Teclado Mecânico"/>
    <x v="0"/>
    <n v="401.7"/>
    <n v="0.1"/>
    <n v="225.35"/>
    <s v="Cancelada"/>
    <n v="401.7"/>
    <n v="40.17"/>
    <n v="0"/>
    <n v="0"/>
    <x v="2"/>
    <s v="sem Valor"/>
  </r>
  <r>
    <x v="7"/>
    <s v="VD-0509"/>
    <d v="2025-08-05T00:00:00"/>
    <x v="4"/>
    <x v="2"/>
    <x v="1"/>
    <x v="11"/>
    <x v="3"/>
    <s v="Halteres 10kg"/>
    <x v="0"/>
    <n v="348.48"/>
    <n v="0"/>
    <n v="200.32"/>
    <s v="Concluída"/>
    <n v="348.48"/>
    <n v="0"/>
    <n v="348.48"/>
    <n v="200.32"/>
    <x v="479"/>
    <n v="2.3520518358531315"/>
  </r>
  <r>
    <x v="7"/>
    <s v="VD-0533"/>
    <d v="2025-08-05T00:00:00"/>
    <x v="7"/>
    <x v="3"/>
    <x v="1"/>
    <x v="10"/>
    <x v="1"/>
    <s v="Fone Wave"/>
    <x v="0"/>
    <n v="239.18"/>
    <n v="0.05"/>
    <n v="116.76"/>
    <s v="Concluída"/>
    <n v="239.18"/>
    <n v="11.959000000000001"/>
    <n v="227.221"/>
    <n v="116.76"/>
    <x v="480"/>
    <n v="2.0570246512343724"/>
  </r>
  <r>
    <x v="7"/>
    <s v="VD-0570"/>
    <d v="2025-08-05T00:00:00"/>
    <x v="2"/>
    <x v="1"/>
    <x v="1"/>
    <x v="10"/>
    <x v="2"/>
    <s v="Air Fryer 5L"/>
    <x v="0"/>
    <n v="656.68"/>
    <n v="0.1"/>
    <n v="379.22"/>
    <s v="Concluída"/>
    <n v="656.68"/>
    <n v="65.667999999999992"/>
    <n v="591.01199999999994"/>
    <n v="379.22"/>
    <x v="481"/>
    <n v="2.7905303316461443"/>
  </r>
  <r>
    <x v="7"/>
    <s v="VD-0569"/>
    <d v="2025-08-06T00:00:00"/>
    <x v="1"/>
    <x v="0"/>
    <x v="1"/>
    <x v="6"/>
    <x v="3"/>
    <s v="Colchonete Pro"/>
    <x v="0"/>
    <n v="146.91"/>
    <n v="0"/>
    <n v="60.96"/>
    <s v="Concluída"/>
    <n v="146.91"/>
    <n v="0"/>
    <n v="146.91"/>
    <n v="60.96"/>
    <x v="482"/>
    <n v="1.7092495636998257"/>
  </r>
  <r>
    <x v="7"/>
    <s v="VD-0574"/>
    <d v="2025-08-06T00:00:00"/>
    <x v="6"/>
    <x v="0"/>
    <x v="0"/>
    <x v="0"/>
    <x v="1"/>
    <s v="Mouse Pro"/>
    <x v="1"/>
    <n v="176.48"/>
    <n v="0.15"/>
    <n v="81.96"/>
    <s v="Concluída"/>
    <n v="352.96"/>
    <n v="52.943999999999996"/>
    <n v="300.01599999999996"/>
    <n v="163.92"/>
    <x v="483"/>
    <n v="2.2044439219374561"/>
  </r>
  <r>
    <x v="7"/>
    <s v="VD-0556"/>
    <d v="2025-08-07T00:00:00"/>
    <x v="5"/>
    <x v="1"/>
    <x v="0"/>
    <x v="1"/>
    <x v="3"/>
    <s v="Bike Urbana"/>
    <x v="0"/>
    <n v="2455.5100000000002"/>
    <n v="0.2"/>
    <n v="1701.66"/>
    <s v="Concluída"/>
    <n v="2455.5100000000002"/>
    <n v="491.10200000000009"/>
    <n v="1964.4080000000001"/>
    <n v="1701.66"/>
    <x v="484"/>
    <n v="7.4763956338392674"/>
  </r>
  <r>
    <x v="7"/>
    <s v="VD-0502"/>
    <d v="2025-08-08T00:00:00"/>
    <x v="3"/>
    <x v="2"/>
    <x v="1"/>
    <x v="9"/>
    <x v="1"/>
    <s v="Teclado Mecânico"/>
    <x v="0"/>
    <n v="448.49"/>
    <n v="0.1"/>
    <n v="258.26"/>
    <s v="Concluída"/>
    <n v="448.49"/>
    <n v="44.849000000000004"/>
    <n v="403.64100000000002"/>
    <n v="258.26"/>
    <x v="485"/>
    <n v="2.7764357103060231"/>
  </r>
  <r>
    <x v="7"/>
    <s v="VD-0565"/>
    <d v="2025-08-09T00:00:00"/>
    <x v="7"/>
    <x v="3"/>
    <x v="1"/>
    <x v="3"/>
    <x v="4"/>
    <s v="Óculos Sol"/>
    <x v="1"/>
    <n v="372.75"/>
    <n v="0"/>
    <n v="157.75"/>
    <s v="Concluída"/>
    <n v="745.5"/>
    <n v="0"/>
    <n v="745.5"/>
    <n v="315.5"/>
    <x v="486"/>
    <n v="1.7337209302325582"/>
  </r>
  <r>
    <x v="7"/>
    <s v="VD-0575"/>
    <d v="2025-08-09T00:00:00"/>
    <x v="6"/>
    <x v="0"/>
    <x v="0"/>
    <x v="4"/>
    <x v="1"/>
    <s v="Teclado Mecânico"/>
    <x v="0"/>
    <n v="397.5"/>
    <n v="0.25"/>
    <n v="224.62"/>
    <s v="Concluída"/>
    <n v="397.5"/>
    <n v="99.375"/>
    <n v="298.125"/>
    <n v="224.62"/>
    <x v="487"/>
    <n v="4.0558465410516291"/>
  </r>
  <r>
    <x v="7"/>
    <s v="VD-0521"/>
    <d v="2025-08-10T00:00:00"/>
    <x v="2"/>
    <x v="1"/>
    <x v="3"/>
    <x v="4"/>
    <x v="2"/>
    <s v="Air Fryer 5L"/>
    <x v="0"/>
    <n v="661.78"/>
    <n v="0.1"/>
    <n v="381.16"/>
    <s v="Concluída"/>
    <n v="661.78"/>
    <n v="66.177999999999997"/>
    <n v="595.60199999999998"/>
    <n v="381.16"/>
    <x v="488"/>
    <n v="2.7774503129051218"/>
  </r>
  <r>
    <x v="7"/>
    <s v="VD-0532"/>
    <d v="2025-08-10T00:00:00"/>
    <x v="1"/>
    <x v="0"/>
    <x v="3"/>
    <x v="1"/>
    <x v="2"/>
    <s v="Panela Pressão 6L"/>
    <x v="1"/>
    <n v="469.48"/>
    <n v="0.1"/>
    <n v="268.02"/>
    <s v="Concluída"/>
    <n v="938.96"/>
    <n v="93.896000000000015"/>
    <n v="845.06400000000008"/>
    <n v="536.04"/>
    <x v="489"/>
    <n v="2.7346225535880699"/>
  </r>
  <r>
    <x v="7"/>
    <s v="VD-0535"/>
    <d v="2025-08-10T00:00:00"/>
    <x v="5"/>
    <x v="1"/>
    <x v="3"/>
    <x v="0"/>
    <x v="1"/>
    <s v="Teclado Mecânico"/>
    <x v="1"/>
    <n v="423.81"/>
    <n v="0.05"/>
    <n v="236.95"/>
    <s v="Concluída"/>
    <n v="847.62"/>
    <n v="42.381"/>
    <n v="805.23900000000003"/>
    <n v="473.9"/>
    <x v="490"/>
    <n v="2.4302572290011133"/>
  </r>
  <r>
    <x v="7"/>
    <s v="VD-0537"/>
    <d v="2025-08-10T00:00:00"/>
    <x v="6"/>
    <x v="0"/>
    <x v="0"/>
    <x v="0"/>
    <x v="3"/>
    <s v="Colchonete Pro"/>
    <x v="1"/>
    <n v="135.88"/>
    <n v="0.2"/>
    <n v="54.54"/>
    <s v="Concluída"/>
    <n v="271.76"/>
    <n v="54.352000000000004"/>
    <n v="217.40799999999999"/>
    <n v="109.08"/>
    <x v="491"/>
    <n v="2.0069418802156416"/>
  </r>
  <r>
    <x v="7"/>
    <s v="VD-0553"/>
    <d v="2025-08-10T00:00:00"/>
    <x v="0"/>
    <x v="0"/>
    <x v="0"/>
    <x v="0"/>
    <x v="0"/>
    <s v="Creme Facial"/>
    <x v="2"/>
    <n v="146"/>
    <n v="0.05"/>
    <n v="51.22"/>
    <s v="Concluída"/>
    <n v="438"/>
    <n v="21.900000000000002"/>
    <n v="416.1"/>
    <n v="153.66"/>
    <x v="492"/>
    <n v="1.5855052583447642"/>
  </r>
  <r>
    <x v="7"/>
    <s v="VD-0559"/>
    <d v="2025-08-10T00:00:00"/>
    <x v="1"/>
    <x v="0"/>
    <x v="2"/>
    <x v="6"/>
    <x v="4"/>
    <s v="Relógio Fit"/>
    <x v="0"/>
    <n v="750.24"/>
    <n v="0"/>
    <n v="371.8"/>
    <s v="Concluída"/>
    <n v="750.24"/>
    <n v="0"/>
    <n v="750.24"/>
    <n v="371.8"/>
    <x v="493"/>
    <n v="1.9824542860162775"/>
  </r>
  <r>
    <x v="7"/>
    <s v="VD-0561"/>
    <d v="2025-08-10T00:00:00"/>
    <x v="4"/>
    <x v="2"/>
    <x v="3"/>
    <x v="11"/>
    <x v="0"/>
    <s v="Secador Pro"/>
    <x v="0"/>
    <n v="401.31"/>
    <n v="0.05"/>
    <n v="221.83"/>
    <s v="Concluída"/>
    <n v="401.31"/>
    <n v="20.0655"/>
    <n v="381.24450000000002"/>
    <n v="221.83"/>
    <x v="494"/>
    <n v="2.3915296287351526"/>
  </r>
  <r>
    <x v="7"/>
    <s v="VD-0572"/>
    <d v="2025-08-10T00:00:00"/>
    <x v="1"/>
    <x v="0"/>
    <x v="3"/>
    <x v="7"/>
    <x v="2"/>
    <s v="Panela Pressão 6L"/>
    <x v="0"/>
    <n v="414.15"/>
    <n v="0.15"/>
    <n v="230.38"/>
    <s v="Concluída"/>
    <n v="414.15"/>
    <n v="62.122499999999995"/>
    <n v="352.02749999999997"/>
    <n v="230.38"/>
    <x v="495"/>
    <n v="2.8938325900655584"/>
  </r>
  <r>
    <x v="7"/>
    <s v="VD-0523"/>
    <d v="2025-08-11T00:00:00"/>
    <x v="0"/>
    <x v="0"/>
    <x v="0"/>
    <x v="1"/>
    <x v="4"/>
    <s v="Mochila Urban"/>
    <x v="1"/>
    <n v="300.74"/>
    <n v="0.2"/>
    <n v="142.72"/>
    <s v="Concluída"/>
    <n v="601.48"/>
    <n v="120.29600000000001"/>
    <n v="481.18400000000003"/>
    <n v="285.44"/>
    <x v="496"/>
    <n v="2.4582311590649009"/>
  </r>
  <r>
    <x v="7"/>
    <s v="VD-0525"/>
    <d v="2025-08-11T00:00:00"/>
    <x v="4"/>
    <x v="2"/>
    <x v="1"/>
    <x v="11"/>
    <x v="3"/>
    <s v="Colchonete Pro"/>
    <x v="0"/>
    <n v="139.96"/>
    <n v="0.05"/>
    <n v="54.83"/>
    <s v="Concluída"/>
    <n v="139.96"/>
    <n v="6.9980000000000011"/>
    <n v="132.96200000000002"/>
    <n v="54.83"/>
    <x v="497"/>
    <n v="1.7017611222034503"/>
  </r>
  <r>
    <x v="7"/>
    <s v="VD-0548"/>
    <d v="2025-08-12T00:00:00"/>
    <x v="7"/>
    <x v="3"/>
    <x v="0"/>
    <x v="0"/>
    <x v="1"/>
    <s v="Notebook Nova 14"/>
    <x v="1"/>
    <n v="3842.18"/>
    <n v="0.2"/>
    <n v="2940.08"/>
    <s v="Concluída"/>
    <n v="7684.36"/>
    <n v="1536.8720000000001"/>
    <n v="6147.4879999999994"/>
    <n v="5880.16"/>
    <x v="498"/>
    <n v="22.996049796504707"/>
  </r>
  <r>
    <x v="7"/>
    <s v="VD-0558"/>
    <d v="2025-08-12T00:00:00"/>
    <x v="3"/>
    <x v="2"/>
    <x v="1"/>
    <x v="2"/>
    <x v="1"/>
    <s v="Teclado Mecânico"/>
    <x v="0"/>
    <n v="392.06"/>
    <n v="0.08"/>
    <n v="220.55"/>
    <s v="Concluída"/>
    <n v="392.06"/>
    <n v="31.364800000000002"/>
    <n v="360.6952"/>
    <n v="220.55"/>
    <x v="499"/>
    <n v="2.5737249652503262"/>
  </r>
  <r>
    <x v="7"/>
    <s v="VD-0549"/>
    <d v="2025-08-13T00:00:00"/>
    <x v="4"/>
    <x v="2"/>
    <x v="2"/>
    <x v="1"/>
    <x v="1"/>
    <s v="Fone Wave"/>
    <x v="0"/>
    <n v="252.92"/>
    <n v="0"/>
    <n v="116.85"/>
    <s v="Devolvida"/>
    <n v="252.92"/>
    <n v="0"/>
    <n v="0"/>
    <n v="0"/>
    <x v="2"/>
    <s v="sem Valor"/>
  </r>
  <r>
    <x v="7"/>
    <s v="VD-0550"/>
    <d v="2025-08-13T00:00:00"/>
    <x v="0"/>
    <x v="0"/>
    <x v="3"/>
    <x v="4"/>
    <x v="3"/>
    <s v="Halteres 10kg"/>
    <x v="1"/>
    <n v="369.01"/>
    <n v="0.15"/>
    <n v="201.4"/>
    <s v="Concluída"/>
    <n v="738.02"/>
    <n v="110.70299999999999"/>
    <n v="627.31700000000001"/>
    <n v="402.8"/>
    <x v="500"/>
    <n v="2.7940735000022272"/>
  </r>
  <r>
    <x v="7"/>
    <s v="VD-0520"/>
    <d v="2025-08-14T00:00:00"/>
    <x v="4"/>
    <x v="2"/>
    <x v="1"/>
    <x v="2"/>
    <x v="1"/>
    <s v="Notebook Nova 14"/>
    <x v="0"/>
    <n v="3625.19"/>
    <n v="0"/>
    <n v="2802.38"/>
    <s v="Concluída"/>
    <n v="3625.19"/>
    <n v="0"/>
    <n v="3625.19"/>
    <n v="2802.38"/>
    <x v="501"/>
    <n v="4.4058652665864537"/>
  </r>
  <r>
    <x v="7"/>
    <s v="VD-0551"/>
    <d v="2025-08-14T00:00:00"/>
    <x v="0"/>
    <x v="0"/>
    <x v="2"/>
    <x v="0"/>
    <x v="2"/>
    <s v="Air Fryer 5L"/>
    <x v="0"/>
    <n v="651.91"/>
    <n v="0.05"/>
    <n v="381.84"/>
    <s v="Concluída"/>
    <n v="651.91"/>
    <n v="32.595500000000001"/>
    <n v="619.31449999999995"/>
    <n v="381.84"/>
    <x v="502"/>
    <n v="2.6079200082535179"/>
  </r>
  <r>
    <x v="7"/>
    <s v="VD-0515"/>
    <d v="2025-08-15T00:00:00"/>
    <x v="4"/>
    <x v="2"/>
    <x v="3"/>
    <x v="8"/>
    <x v="3"/>
    <s v="Colchonete Pro"/>
    <x v="0"/>
    <n v="143.75"/>
    <n v="0.1"/>
    <n v="55.7"/>
    <s v="Concluída"/>
    <n v="143.75"/>
    <n v="14.375"/>
    <n v="129.375"/>
    <n v="55.7"/>
    <x v="503"/>
    <n v="1.7560230743128606"/>
  </r>
  <r>
    <x v="7"/>
    <s v="VD-0539"/>
    <d v="2025-08-15T00:00:00"/>
    <x v="6"/>
    <x v="0"/>
    <x v="0"/>
    <x v="10"/>
    <x v="0"/>
    <s v="Creme Facial"/>
    <x v="0"/>
    <n v="160.31"/>
    <n v="0.2"/>
    <n v="57.22"/>
    <s v="Concluída"/>
    <n v="160.31"/>
    <n v="32.062000000000005"/>
    <n v="128.24799999999999"/>
    <n v="57.22"/>
    <x v="504"/>
    <n v="1.8055977924198909"/>
  </r>
  <r>
    <x v="7"/>
    <s v="VD-0554"/>
    <d v="2025-08-15T00:00:00"/>
    <x v="1"/>
    <x v="0"/>
    <x v="1"/>
    <x v="6"/>
    <x v="0"/>
    <s v="Creme Facial"/>
    <x v="0"/>
    <n v="154.97"/>
    <n v="0.15"/>
    <n v="52.54"/>
    <s v="Concluída"/>
    <n v="154.97"/>
    <n v="23.2455"/>
    <n v="131.72450000000001"/>
    <n v="52.54"/>
    <x v="505"/>
    <n v="1.6635136927050116"/>
  </r>
  <r>
    <x v="7"/>
    <s v="VD-0524"/>
    <d v="2025-08-16T00:00:00"/>
    <x v="0"/>
    <x v="0"/>
    <x v="1"/>
    <x v="9"/>
    <x v="1"/>
    <s v="Mouse Pro"/>
    <x v="1"/>
    <n v="198.86"/>
    <n v="0.05"/>
    <n v="89.1"/>
    <s v="Concluída"/>
    <n v="397.72"/>
    <n v="19.886000000000003"/>
    <n v="377.834"/>
    <n v="178.2"/>
    <x v="506"/>
    <n v="1.8926335193403927"/>
  </r>
  <r>
    <x v="7"/>
    <s v="VD-0507"/>
    <d v="2025-08-17T00:00:00"/>
    <x v="2"/>
    <x v="1"/>
    <x v="3"/>
    <x v="6"/>
    <x v="3"/>
    <s v="Colchonete Pro"/>
    <x v="0"/>
    <n v="144.62"/>
    <n v="0.03"/>
    <n v="58.14"/>
    <s v="Concluída"/>
    <n v="144.62"/>
    <n v="4.3385999999999996"/>
    <n v="140.28140000000002"/>
    <n v="58.14"/>
    <x v="507"/>
    <n v="1.7078038601728238"/>
  </r>
  <r>
    <x v="7"/>
    <s v="VD-0528"/>
    <d v="2025-08-17T00:00:00"/>
    <x v="0"/>
    <x v="0"/>
    <x v="0"/>
    <x v="7"/>
    <x v="2"/>
    <s v="Panela Pressão 6L"/>
    <x v="0"/>
    <n v="474.13"/>
    <n v="0.25"/>
    <n v="266.67"/>
    <s v="Cancelada"/>
    <n v="474.13"/>
    <n v="118.5325"/>
    <n v="0"/>
    <n v="0"/>
    <x v="2"/>
    <s v="sem Valor"/>
  </r>
  <r>
    <x v="7"/>
    <s v="VD-0540"/>
    <d v="2025-08-17T00:00:00"/>
    <x v="5"/>
    <x v="1"/>
    <x v="3"/>
    <x v="11"/>
    <x v="4"/>
    <s v="Óculos Sol"/>
    <x v="1"/>
    <n v="404.35"/>
    <n v="0.2"/>
    <n v="183.89"/>
    <s v="Concluída"/>
    <n v="808.7"/>
    <n v="161.74"/>
    <n v="646.96"/>
    <n v="367.78"/>
    <x v="508"/>
    <n v="2.3173579769324446"/>
  </r>
  <r>
    <x v="7"/>
    <s v="VD-0543"/>
    <d v="2025-08-17T00:00:00"/>
    <x v="6"/>
    <x v="0"/>
    <x v="1"/>
    <x v="8"/>
    <x v="1"/>
    <s v="Mouse Pro"/>
    <x v="0"/>
    <n v="188.08"/>
    <n v="0"/>
    <n v="83.54"/>
    <s v="Concluída"/>
    <n v="188.08"/>
    <n v="0"/>
    <n v="188.08"/>
    <n v="83.54"/>
    <x v="509"/>
    <n v="1.799119954084561"/>
  </r>
  <r>
    <x v="7"/>
    <s v="VD-0566"/>
    <d v="2025-08-17T00:00:00"/>
    <x v="2"/>
    <x v="1"/>
    <x v="0"/>
    <x v="1"/>
    <x v="0"/>
    <s v="Secador Pro"/>
    <x v="0"/>
    <n v="430.24"/>
    <n v="0.15"/>
    <n v="246.07"/>
    <s v="Concluída"/>
    <n v="430.24"/>
    <n v="64.536000000000001"/>
    <n v="365.70400000000001"/>
    <n v="246.07"/>
    <x v="510"/>
    <n v="3.056856746409883"/>
  </r>
  <r>
    <x v="7"/>
    <s v="VD-0568"/>
    <d v="2025-08-17T00:00:00"/>
    <x v="2"/>
    <x v="1"/>
    <x v="1"/>
    <x v="6"/>
    <x v="2"/>
    <s v="Kit Lençol 4p"/>
    <x v="0"/>
    <n v="302.58999999999997"/>
    <n v="0.15"/>
    <n v="128.16"/>
    <s v="Concluída"/>
    <n v="302.58999999999997"/>
    <n v="45.388499999999993"/>
    <n v="257.20150000000001"/>
    <n v="128.16"/>
    <x v="511"/>
    <n v="1.9931688642800958"/>
  </r>
  <r>
    <x v="7"/>
    <s v="VD-0545"/>
    <d v="2025-08-18T00:00:00"/>
    <x v="1"/>
    <x v="0"/>
    <x v="3"/>
    <x v="1"/>
    <x v="4"/>
    <s v="Óculos Sol"/>
    <x v="0"/>
    <n v="350.99"/>
    <n v="0.1"/>
    <n v="159.28"/>
    <s v="Concluída"/>
    <n v="350.99"/>
    <n v="35.099000000000004"/>
    <n v="315.89100000000002"/>
    <n v="159.28"/>
    <x v="512"/>
    <n v="2.0170422256418767"/>
  </r>
  <r>
    <x v="7"/>
    <s v="VD-0506"/>
    <d v="2025-08-19T00:00:00"/>
    <x v="0"/>
    <x v="0"/>
    <x v="3"/>
    <x v="5"/>
    <x v="4"/>
    <s v="Óculos Sol"/>
    <x v="0"/>
    <n v="361.15"/>
    <n v="0.05"/>
    <n v="155.13"/>
    <s v="Concluída"/>
    <n v="361.15"/>
    <n v="18.057500000000001"/>
    <n v="343.09249999999997"/>
    <n v="155.13"/>
    <x v="513"/>
    <n v="1.8253242003059122"/>
  </r>
  <r>
    <x v="7"/>
    <s v="VD-0538"/>
    <d v="2025-08-19T00:00:00"/>
    <x v="3"/>
    <x v="2"/>
    <x v="0"/>
    <x v="11"/>
    <x v="2"/>
    <s v="Cadeira Escritório"/>
    <x v="0"/>
    <n v="1197.47"/>
    <n v="0.25"/>
    <n v="859.41"/>
    <s v="Concluída"/>
    <n v="1197.47"/>
    <n v="299.36750000000001"/>
    <n v="898.10249999999996"/>
    <n v="859.41"/>
    <x v="514"/>
    <n v="23.211281256057376"/>
  </r>
  <r>
    <x v="7"/>
    <s v="VD-0527"/>
    <d v="2025-08-20T00:00:00"/>
    <x v="3"/>
    <x v="2"/>
    <x v="3"/>
    <x v="3"/>
    <x v="2"/>
    <s v="Air Fryer 5L"/>
    <x v="0"/>
    <n v="672.73"/>
    <n v="0.15"/>
    <n v="371.89"/>
    <s v="Concluída"/>
    <n v="672.73"/>
    <n v="100.90949999999999"/>
    <n v="571.82050000000004"/>
    <n v="371.89"/>
    <x v="515"/>
    <n v="2.8600963834932633"/>
  </r>
  <r>
    <x v="7"/>
    <s v="VD-0546"/>
    <d v="2025-08-20T00:00:00"/>
    <x v="4"/>
    <x v="2"/>
    <x v="0"/>
    <x v="4"/>
    <x v="3"/>
    <s v="Bike Urbana"/>
    <x v="0"/>
    <n v="2192.31"/>
    <n v="0.15"/>
    <n v="1569.58"/>
    <s v="Concluída"/>
    <n v="2192.31"/>
    <n v="328.84649999999999"/>
    <n v="1863.4634999999998"/>
    <n v="1569.58"/>
    <x v="516"/>
    <n v="6.3408238298509456"/>
  </r>
  <r>
    <x v="7"/>
    <s v="VD-0573"/>
    <d v="2025-08-20T00:00:00"/>
    <x v="3"/>
    <x v="2"/>
    <x v="3"/>
    <x v="11"/>
    <x v="1"/>
    <s v="Teclado Mecânico"/>
    <x v="1"/>
    <n v="410.24"/>
    <n v="0.2"/>
    <n v="230.53"/>
    <s v="Concluída"/>
    <n v="820.48"/>
    <n v="164.096"/>
    <n v="656.38400000000001"/>
    <n v="461.06"/>
    <x v="517"/>
    <n v="3.360488214453933"/>
  </r>
  <r>
    <x v="7"/>
    <s v="VD-0511"/>
    <d v="2025-08-21T00:00:00"/>
    <x v="7"/>
    <x v="3"/>
    <x v="1"/>
    <x v="1"/>
    <x v="2"/>
    <s v="Kit Lençol 4p"/>
    <x v="0"/>
    <n v="284.99"/>
    <n v="0.08"/>
    <n v="130.08000000000001"/>
    <s v="Concluída"/>
    <n v="284.99"/>
    <n v="22.799200000000003"/>
    <n v="262.19080000000002"/>
    <n v="130.08000000000001"/>
    <x v="518"/>
    <n v="1.9846280546329294"/>
  </r>
  <r>
    <x v="7"/>
    <s v="VD-0529"/>
    <d v="2025-08-21T00:00:00"/>
    <x v="5"/>
    <x v="1"/>
    <x v="1"/>
    <x v="1"/>
    <x v="2"/>
    <s v="Panela Pressão 6L"/>
    <x v="0"/>
    <n v="475.45"/>
    <n v="0.08"/>
    <n v="261.87"/>
    <s v="Concluída"/>
    <n v="475.45"/>
    <n v="38.036000000000001"/>
    <n v="437.41399999999999"/>
    <n v="261.87"/>
    <x v="519"/>
    <n v="2.4917627489404368"/>
  </r>
  <r>
    <x v="7"/>
    <s v="VD-0536"/>
    <d v="2025-08-21T00:00:00"/>
    <x v="7"/>
    <x v="3"/>
    <x v="3"/>
    <x v="6"/>
    <x v="3"/>
    <s v="Colchonete Pro"/>
    <x v="1"/>
    <n v="136.79"/>
    <n v="0.05"/>
    <n v="56.84"/>
    <s v="Concluída"/>
    <n v="273.58"/>
    <n v="13.679"/>
    <n v="259.90100000000001"/>
    <n v="113.68"/>
    <x v="520"/>
    <n v="1.7774533069805294"/>
  </r>
  <r>
    <x v="7"/>
    <s v="VD-0555"/>
    <d v="2025-08-21T00:00:00"/>
    <x v="1"/>
    <x v="0"/>
    <x v="1"/>
    <x v="10"/>
    <x v="1"/>
    <s v="Teclado Mecânico"/>
    <x v="0"/>
    <n v="387.3"/>
    <n v="0.05"/>
    <n v="219.25"/>
    <s v="Concluída"/>
    <n v="387.3"/>
    <n v="19.365000000000002"/>
    <n v="367.935"/>
    <n v="219.25"/>
    <x v="521"/>
    <n v="2.474593940209167"/>
  </r>
  <r>
    <x v="7"/>
    <s v="VD-0560"/>
    <d v="2025-08-21T00:00:00"/>
    <x v="5"/>
    <x v="1"/>
    <x v="3"/>
    <x v="0"/>
    <x v="4"/>
    <s v="Óculos Sol"/>
    <x v="0"/>
    <n v="367.65"/>
    <n v="0.03"/>
    <n v="156.21"/>
    <s v="Concluída"/>
    <n v="367.65"/>
    <n v="11.029499999999999"/>
    <n v="356.62049999999999"/>
    <n v="156.21"/>
    <x v="522"/>
    <n v="1.7794501785086112"/>
  </r>
  <r>
    <x v="7"/>
    <s v="VD-0514"/>
    <d v="2025-08-22T00:00:00"/>
    <x v="2"/>
    <x v="1"/>
    <x v="0"/>
    <x v="1"/>
    <x v="3"/>
    <s v="Colchonete Pro"/>
    <x v="0"/>
    <n v="134.94"/>
    <n v="0.05"/>
    <n v="52.2"/>
    <s v="Concluída"/>
    <n v="134.94"/>
    <n v="6.7469999999999999"/>
    <n v="128.19299999999998"/>
    <n v="52.2"/>
    <x v="523"/>
    <n v="1.6869053728632903"/>
  </r>
  <r>
    <x v="7"/>
    <s v="VD-0522"/>
    <d v="2025-08-23T00:00:00"/>
    <x v="4"/>
    <x v="2"/>
    <x v="2"/>
    <x v="1"/>
    <x v="0"/>
    <s v="Secador Pro"/>
    <x v="0"/>
    <n v="404.58"/>
    <n v="0.03"/>
    <n v="228.74"/>
    <s v="Concluída"/>
    <n v="404.58"/>
    <n v="12.1374"/>
    <n v="392.44259999999997"/>
    <n v="228.74"/>
    <x v="524"/>
    <n v="2.3972899636291669"/>
  </r>
  <r>
    <x v="7"/>
    <s v="VD-0526"/>
    <d v="2025-08-23T00:00:00"/>
    <x v="1"/>
    <x v="0"/>
    <x v="3"/>
    <x v="6"/>
    <x v="1"/>
    <s v="Mouse Pro"/>
    <x v="0"/>
    <n v="175.67"/>
    <n v="0.03"/>
    <n v="80.209999999999994"/>
    <s v="Concluída"/>
    <n v="175.67"/>
    <n v="5.2700999999999993"/>
    <n v="170.3999"/>
    <n v="80.209999999999994"/>
    <x v="525"/>
    <n v="1.8893457027893366"/>
  </r>
  <r>
    <x v="7"/>
    <s v="VD-0530"/>
    <d v="2025-08-23T00:00:00"/>
    <x v="5"/>
    <x v="1"/>
    <x v="3"/>
    <x v="10"/>
    <x v="1"/>
    <s v="Teclado Mecânico"/>
    <x v="0"/>
    <n v="447.44"/>
    <n v="0.1"/>
    <n v="257.87"/>
    <s v="Concluída"/>
    <n v="447.44"/>
    <n v="44.744"/>
    <n v="402.69600000000003"/>
    <n v="257.87"/>
    <x v="526"/>
    <n v="2.7805504536478254"/>
  </r>
  <r>
    <x v="7"/>
    <s v="VD-0516"/>
    <d v="2025-08-24T00:00:00"/>
    <x v="0"/>
    <x v="0"/>
    <x v="1"/>
    <x v="4"/>
    <x v="0"/>
    <s v="Secador Pro"/>
    <x v="1"/>
    <n v="397.41"/>
    <n v="0.08"/>
    <n v="217.06"/>
    <s v="Concluída"/>
    <n v="794.82"/>
    <n v="63.585600000000007"/>
    <n v="731.23440000000005"/>
    <n v="434.12"/>
    <x v="527"/>
    <n v="2.461120699636234"/>
  </r>
  <r>
    <x v="7"/>
    <s v="VD-0517"/>
    <d v="2025-08-24T00:00:00"/>
    <x v="7"/>
    <x v="3"/>
    <x v="1"/>
    <x v="11"/>
    <x v="1"/>
    <s v="Fone Wave"/>
    <x v="1"/>
    <n v="247.94"/>
    <n v="0.05"/>
    <n v="122.54"/>
    <s v="Concluída"/>
    <n v="495.88"/>
    <n v="24.794"/>
    <n v="471.08600000000001"/>
    <n v="245.08"/>
    <x v="528"/>
    <n v="2.084395989487005"/>
  </r>
  <r>
    <x v="7"/>
    <s v="VD-0531"/>
    <d v="2025-08-24T00:00:00"/>
    <x v="0"/>
    <x v="0"/>
    <x v="0"/>
    <x v="1"/>
    <x v="3"/>
    <s v="Colchonete Pro"/>
    <x v="0"/>
    <n v="147.76"/>
    <n v="0.15"/>
    <n v="59.66"/>
    <s v="Concluída"/>
    <n v="147.76"/>
    <n v="22.163999999999998"/>
    <n v="125.59599999999999"/>
    <n v="59.66"/>
    <x v="529"/>
    <n v="1.9048167920407668"/>
  </r>
  <r>
    <x v="7"/>
    <s v="VD-0504"/>
    <d v="2025-08-25T00:00:00"/>
    <x v="0"/>
    <x v="0"/>
    <x v="0"/>
    <x v="9"/>
    <x v="4"/>
    <s v="Óculos Sol"/>
    <x v="0"/>
    <n v="364.86"/>
    <n v="0.2"/>
    <n v="157.88999999999999"/>
    <s v="Concluída"/>
    <n v="364.86"/>
    <n v="72.972000000000008"/>
    <n v="291.88800000000003"/>
    <n v="157.88999999999999"/>
    <x v="530"/>
    <n v="2.1783011686741589"/>
  </r>
  <r>
    <x v="7"/>
    <s v="VD-0518"/>
    <d v="2025-08-25T00:00:00"/>
    <x v="3"/>
    <x v="2"/>
    <x v="3"/>
    <x v="3"/>
    <x v="3"/>
    <s v="Bike Urbana"/>
    <x v="0"/>
    <n v="2305.1"/>
    <n v="0.1"/>
    <n v="1648.56"/>
    <s v="Concluída"/>
    <n v="2305.1"/>
    <n v="230.51"/>
    <n v="2074.59"/>
    <n v="1648.56"/>
    <x v="531"/>
    <n v="4.8695866488275454"/>
  </r>
  <r>
    <x v="7"/>
    <s v="VD-0567"/>
    <d v="2025-08-25T00:00:00"/>
    <x v="4"/>
    <x v="2"/>
    <x v="0"/>
    <x v="6"/>
    <x v="2"/>
    <s v="Tapete Sala"/>
    <x v="0"/>
    <n v="497.26"/>
    <n v="0.15"/>
    <n v="258.67"/>
    <s v="Concluída"/>
    <n v="497.26"/>
    <n v="74.588999999999999"/>
    <n v="422.67099999999999"/>
    <n v="258.67"/>
    <x v="532"/>
    <n v="2.5772464802043893"/>
  </r>
  <r>
    <x v="7"/>
    <s v="VD-0512"/>
    <d v="2025-08-27T00:00:00"/>
    <x v="1"/>
    <x v="0"/>
    <x v="3"/>
    <x v="4"/>
    <x v="1"/>
    <s v="Fone Wave"/>
    <x v="0"/>
    <n v="233.19"/>
    <n v="0.2"/>
    <n v="114.19"/>
    <s v="Concluída"/>
    <n v="233.19"/>
    <n v="46.638000000000005"/>
    <n v="186.55199999999999"/>
    <n v="114.19"/>
    <x v="533"/>
    <n v="2.5780381968436474"/>
  </r>
  <r>
    <x v="7"/>
    <s v="VD-0571"/>
    <d v="2025-08-27T00:00:00"/>
    <x v="5"/>
    <x v="1"/>
    <x v="3"/>
    <x v="2"/>
    <x v="3"/>
    <s v="Colchonete Pro"/>
    <x v="0"/>
    <n v="130.21"/>
    <n v="0.03"/>
    <n v="53.44"/>
    <s v="Concluída"/>
    <n v="130.21"/>
    <n v="3.9062999999999999"/>
    <n v="126.30370000000001"/>
    <n v="53.44"/>
    <x v="534"/>
    <n v="1.7334241879015202"/>
  </r>
  <r>
    <x v="7"/>
    <s v="VD-0508"/>
    <d v="2025-08-28T00:00:00"/>
    <x v="2"/>
    <x v="1"/>
    <x v="3"/>
    <x v="1"/>
    <x v="1"/>
    <s v="Teclado Mecânico"/>
    <x v="0"/>
    <n v="406.05"/>
    <n v="0.15"/>
    <n v="228.01"/>
    <s v="Concluída"/>
    <n v="406.05"/>
    <n v="60.907499999999999"/>
    <n v="345.14250000000004"/>
    <n v="228.01"/>
    <x v="535"/>
    <n v="2.9465989371011454"/>
  </r>
  <r>
    <x v="7"/>
    <s v="VD-0510"/>
    <d v="2025-08-28T00:00:00"/>
    <x v="3"/>
    <x v="2"/>
    <x v="3"/>
    <x v="0"/>
    <x v="2"/>
    <s v="Tapete Sala"/>
    <x v="1"/>
    <n v="549.54"/>
    <n v="0.03"/>
    <n v="284.83999999999997"/>
    <s v="Concluída"/>
    <n v="1099.08"/>
    <n v="32.972399999999993"/>
    <n v="1066.1075999999998"/>
    <n v="569.67999999999995"/>
    <x v="536"/>
    <n v="2.1475590801156104"/>
  </r>
  <r>
    <x v="7"/>
    <s v="VD-0534"/>
    <d v="2025-08-28T00:00:00"/>
    <x v="3"/>
    <x v="2"/>
    <x v="1"/>
    <x v="9"/>
    <x v="3"/>
    <s v="Colchonete Pro"/>
    <x v="1"/>
    <n v="137.97"/>
    <n v="0.1"/>
    <n v="53.08"/>
    <s v="Concluída"/>
    <n v="275.94"/>
    <n v="27.594000000000001"/>
    <n v="248.346"/>
    <n v="106.16"/>
    <x v="537"/>
    <n v="1.7466276567313237"/>
  </r>
  <r>
    <x v="7"/>
    <s v="VD-0562"/>
    <d v="2025-08-28T00:00:00"/>
    <x v="3"/>
    <x v="2"/>
    <x v="0"/>
    <x v="1"/>
    <x v="3"/>
    <s v="Bike Urbana"/>
    <x v="0"/>
    <n v="2388.02"/>
    <n v="0.15"/>
    <n v="1648.32"/>
    <s v="Concluída"/>
    <n v="2388.02"/>
    <n v="358.20299999999997"/>
    <n v="2029.817"/>
    <n v="1648.32"/>
    <x v="538"/>
    <n v="5.3206630720556118"/>
  </r>
  <r>
    <x v="7"/>
    <s v="VD-0564"/>
    <d v="2025-08-28T00:00:00"/>
    <x v="6"/>
    <x v="0"/>
    <x v="3"/>
    <x v="5"/>
    <x v="4"/>
    <s v="Óculos Sol"/>
    <x v="0"/>
    <n v="368.59"/>
    <n v="0.1"/>
    <n v="166.07"/>
    <s v="Concluída"/>
    <n v="368.59"/>
    <n v="36.859000000000002"/>
    <n v="331.73099999999999"/>
    <n v="166.07"/>
    <x v="539"/>
    <n v="2.0024688973264677"/>
  </r>
  <r>
    <x v="8"/>
    <s v="VD-0578"/>
    <d v="2025-09-01T00:00:00"/>
    <x v="7"/>
    <x v="3"/>
    <x v="0"/>
    <x v="11"/>
    <x v="2"/>
    <s v="Air Fryer 5L"/>
    <x v="1"/>
    <n v="663.83"/>
    <n v="0.25"/>
    <n v="385.66"/>
    <s v="Concluída"/>
    <n v="1327.66"/>
    <n v="331.91500000000002"/>
    <n v="995.74500000000012"/>
    <n v="771.32"/>
    <x v="540"/>
    <n v="4.436872006238163"/>
  </r>
  <r>
    <x v="8"/>
    <s v="VD-0583"/>
    <d v="2025-09-01T00:00:00"/>
    <x v="7"/>
    <x v="3"/>
    <x v="1"/>
    <x v="8"/>
    <x v="4"/>
    <s v="Óculos Sol"/>
    <x v="0"/>
    <n v="392.42"/>
    <n v="0.1"/>
    <n v="177.71"/>
    <s v="Concluída"/>
    <n v="392.42"/>
    <n v="39.242000000000004"/>
    <n v="353.178"/>
    <n v="177.71"/>
    <x v="541"/>
    <n v="2.0127772585314703"/>
  </r>
  <r>
    <x v="8"/>
    <s v="VD-0633"/>
    <d v="2025-09-01T00:00:00"/>
    <x v="4"/>
    <x v="2"/>
    <x v="1"/>
    <x v="10"/>
    <x v="1"/>
    <s v="Teclado Mecânico"/>
    <x v="0"/>
    <n v="397.91"/>
    <n v="0.15"/>
    <n v="232.74"/>
    <s v="Concluída"/>
    <n v="397.91"/>
    <n v="59.686500000000002"/>
    <n v="338.2235"/>
    <n v="232.74"/>
    <x v="542"/>
    <n v="3.2064114292756689"/>
  </r>
  <r>
    <x v="8"/>
    <s v="VD-0635"/>
    <d v="2025-09-01T00:00:00"/>
    <x v="6"/>
    <x v="0"/>
    <x v="1"/>
    <x v="4"/>
    <x v="1"/>
    <s v="Mouse Pro"/>
    <x v="0"/>
    <n v="203.87"/>
    <n v="0.1"/>
    <n v="97.37"/>
    <s v="Concluída"/>
    <n v="203.87"/>
    <n v="20.387"/>
    <n v="183.483"/>
    <n v="97.37"/>
    <x v="543"/>
    <n v="2.130723584127832"/>
  </r>
  <r>
    <x v="8"/>
    <s v="VD-0594"/>
    <d v="2025-09-02T00:00:00"/>
    <x v="7"/>
    <x v="3"/>
    <x v="1"/>
    <x v="9"/>
    <x v="3"/>
    <s v="Esteira Compacta"/>
    <x v="0"/>
    <n v="2739.79"/>
    <n v="0.15"/>
    <n v="1965.79"/>
    <s v="Concluída"/>
    <n v="2739.79"/>
    <n v="410.96850000000001"/>
    <n v="2328.8215"/>
    <n v="1965.79"/>
    <x v="544"/>
    <n v="6.4149295584542934"/>
  </r>
  <r>
    <x v="8"/>
    <s v="VD-0632"/>
    <d v="2025-09-02T00:00:00"/>
    <x v="6"/>
    <x v="0"/>
    <x v="0"/>
    <x v="7"/>
    <x v="1"/>
    <s v="Mouse Pro"/>
    <x v="0"/>
    <n v="174.69"/>
    <n v="0.15"/>
    <n v="78.56"/>
    <s v="Concluída"/>
    <n v="174.69"/>
    <n v="26.203499999999998"/>
    <n v="148.48650000000001"/>
    <n v="78.56"/>
    <x v="545"/>
    <n v="2.1234653529062659"/>
  </r>
  <r>
    <x v="8"/>
    <s v="VD-0638"/>
    <d v="2025-09-02T00:00:00"/>
    <x v="4"/>
    <x v="2"/>
    <x v="1"/>
    <x v="5"/>
    <x v="2"/>
    <s v="Panela Pressão 6L"/>
    <x v="0"/>
    <n v="418.57"/>
    <n v="0"/>
    <n v="224.93"/>
    <s v="Concluída"/>
    <n v="418.57"/>
    <n v="0"/>
    <n v="418.57"/>
    <n v="224.93"/>
    <x v="546"/>
    <n v="2.1615885147696758"/>
  </r>
  <r>
    <x v="8"/>
    <s v="VD-0645"/>
    <d v="2025-09-02T00:00:00"/>
    <x v="1"/>
    <x v="0"/>
    <x v="3"/>
    <x v="2"/>
    <x v="2"/>
    <s v="Kit Lençol 4p"/>
    <x v="0"/>
    <n v="305.29000000000002"/>
    <n v="0.2"/>
    <n v="135.56"/>
    <s v="Concluída"/>
    <n v="305.29000000000002"/>
    <n v="61.058000000000007"/>
    <n v="244.23200000000003"/>
    <n v="135.56"/>
    <x v="547"/>
    <n v="2.2474234393404"/>
  </r>
  <r>
    <x v="8"/>
    <s v="VD-0585"/>
    <d v="2025-09-04T00:00:00"/>
    <x v="5"/>
    <x v="1"/>
    <x v="2"/>
    <x v="3"/>
    <x v="1"/>
    <s v="Notebook Nova 14"/>
    <x v="0"/>
    <n v="3748.31"/>
    <n v="0.1"/>
    <n v="2961.94"/>
    <s v="Concluída"/>
    <n v="3748.31"/>
    <n v="374.83100000000002"/>
    <n v="3373.4789999999998"/>
    <n v="2961.94"/>
    <x v="548"/>
    <n v="8.197227966243787"/>
  </r>
  <r>
    <x v="8"/>
    <s v="VD-0611"/>
    <d v="2025-09-04T00:00:00"/>
    <x v="7"/>
    <x v="3"/>
    <x v="0"/>
    <x v="3"/>
    <x v="4"/>
    <s v="Relógio Fit"/>
    <x v="1"/>
    <n v="683.88"/>
    <n v="0.25"/>
    <n v="335.66"/>
    <s v="Concluída"/>
    <n v="1367.76"/>
    <n v="341.94"/>
    <n v="1025.82"/>
    <n v="671.32"/>
    <x v="549"/>
    <n v="2.8937094499294789"/>
  </r>
  <r>
    <x v="8"/>
    <s v="VD-0621"/>
    <d v="2025-09-04T00:00:00"/>
    <x v="7"/>
    <x v="3"/>
    <x v="2"/>
    <x v="4"/>
    <x v="1"/>
    <s v="Monitor 27 Ultra"/>
    <x v="0"/>
    <n v="1284.79"/>
    <n v="0.03"/>
    <n v="896.03"/>
    <s v="Concluída"/>
    <n v="1284.79"/>
    <n v="38.543699999999994"/>
    <n v="1246.2463"/>
    <n v="896.03"/>
    <x v="550"/>
    <n v="3.5585045584685804"/>
  </r>
  <r>
    <x v="8"/>
    <s v="VD-0586"/>
    <d v="2025-09-05T00:00:00"/>
    <x v="0"/>
    <x v="0"/>
    <x v="0"/>
    <x v="0"/>
    <x v="0"/>
    <s v="Creme Facial"/>
    <x v="0"/>
    <n v="155.07"/>
    <n v="0.25"/>
    <n v="53.75"/>
    <s v="Concluída"/>
    <n v="155.07"/>
    <n v="38.767499999999998"/>
    <n v="116.30249999999999"/>
    <n v="53.75"/>
    <x v="551"/>
    <n v="1.8592782063067024"/>
  </r>
  <r>
    <x v="8"/>
    <s v="VD-0629"/>
    <d v="2025-09-06T00:00:00"/>
    <x v="0"/>
    <x v="0"/>
    <x v="1"/>
    <x v="10"/>
    <x v="1"/>
    <s v="Teclado Mecânico"/>
    <x v="0"/>
    <n v="417.56"/>
    <n v="0.08"/>
    <n v="242.28"/>
    <s v="Concluída"/>
    <n v="417.56"/>
    <n v="33.404800000000002"/>
    <n v="384.15519999999998"/>
    <n v="242.28"/>
    <x v="552"/>
    <n v="2.7076980332010105"/>
  </r>
  <r>
    <x v="8"/>
    <s v="VD-0630"/>
    <d v="2025-09-06T00:00:00"/>
    <x v="3"/>
    <x v="2"/>
    <x v="0"/>
    <x v="3"/>
    <x v="1"/>
    <s v="Fone Wave"/>
    <x v="1"/>
    <n v="237.73"/>
    <n v="0.1"/>
    <n v="109.67"/>
    <s v="Concluída"/>
    <n v="475.46"/>
    <n v="47.545999999999999"/>
    <n v="427.91399999999999"/>
    <n v="219.34"/>
    <x v="553"/>
    <n v="2.0516171718430871"/>
  </r>
  <r>
    <x v="8"/>
    <s v="VD-0597"/>
    <d v="2025-09-07T00:00:00"/>
    <x v="1"/>
    <x v="0"/>
    <x v="3"/>
    <x v="0"/>
    <x v="2"/>
    <s v="Kit Lençol 4p"/>
    <x v="0"/>
    <n v="269.92"/>
    <n v="0.03"/>
    <n v="122.2"/>
    <s v="Concluída"/>
    <n v="269.92"/>
    <n v="8.0975999999999999"/>
    <n v="261.82240000000002"/>
    <n v="122.2"/>
    <x v="554"/>
    <n v="1.8752177301063437"/>
  </r>
  <r>
    <x v="8"/>
    <s v="VD-0615"/>
    <d v="2025-09-07T00:00:00"/>
    <x v="3"/>
    <x v="2"/>
    <x v="2"/>
    <x v="10"/>
    <x v="2"/>
    <s v="Air Fryer 5L"/>
    <x v="0"/>
    <n v="679.93"/>
    <n v="0.05"/>
    <n v="396.31"/>
    <s v="Concluída"/>
    <n v="679.93"/>
    <n v="33.996499999999997"/>
    <n v="645.93349999999998"/>
    <n v="396.31"/>
    <x v="555"/>
    <n v="2.5876309722441997"/>
  </r>
  <r>
    <x v="8"/>
    <s v="VD-0617"/>
    <d v="2025-09-07T00:00:00"/>
    <x v="4"/>
    <x v="2"/>
    <x v="1"/>
    <x v="1"/>
    <x v="3"/>
    <s v="Halteres 10kg"/>
    <x v="0"/>
    <n v="356.08"/>
    <n v="0.15"/>
    <n v="202.86"/>
    <s v="Concluída"/>
    <n v="356.08"/>
    <n v="53.411999999999999"/>
    <n v="302.66800000000001"/>
    <n v="202.86"/>
    <x v="556"/>
    <n v="3.0325024046168645"/>
  </r>
  <r>
    <x v="8"/>
    <s v="VD-0576"/>
    <d v="2025-09-08T00:00:00"/>
    <x v="0"/>
    <x v="0"/>
    <x v="3"/>
    <x v="10"/>
    <x v="1"/>
    <s v="Notebook Nova 14"/>
    <x v="0"/>
    <n v="4075.51"/>
    <n v="0.15"/>
    <n v="3062.29"/>
    <s v="Concluída"/>
    <n v="4075.51"/>
    <n v="611.32650000000001"/>
    <n v="3464.1835000000001"/>
    <n v="3062.29"/>
    <x v="557"/>
    <n v="8.6196554559852281"/>
  </r>
  <r>
    <x v="8"/>
    <s v="VD-0589"/>
    <d v="2025-09-08T00:00:00"/>
    <x v="7"/>
    <x v="3"/>
    <x v="0"/>
    <x v="10"/>
    <x v="4"/>
    <s v="Relógio Fit"/>
    <x v="0"/>
    <n v="677.61"/>
    <n v="0.15"/>
    <n v="325.12"/>
    <s v="Concluída"/>
    <n v="677.61"/>
    <n v="101.64149999999999"/>
    <n v="575.96850000000006"/>
    <n v="325.12"/>
    <x v="558"/>
    <n v="2.2960811007440745"/>
  </r>
  <r>
    <x v="8"/>
    <s v="VD-0604"/>
    <d v="2025-09-09T00:00:00"/>
    <x v="4"/>
    <x v="2"/>
    <x v="1"/>
    <x v="4"/>
    <x v="0"/>
    <s v="Balança Smart"/>
    <x v="0"/>
    <n v="237.46"/>
    <n v="0.05"/>
    <n v="105.78"/>
    <s v="Concluída"/>
    <n v="237.46"/>
    <n v="11.873000000000001"/>
    <n v="225.58700000000002"/>
    <n v="105.78"/>
    <x v="559"/>
    <n v="1.8829200297144573"/>
  </r>
  <r>
    <x v="8"/>
    <s v="VD-0605"/>
    <d v="2025-09-09T00:00:00"/>
    <x v="7"/>
    <x v="3"/>
    <x v="1"/>
    <x v="11"/>
    <x v="1"/>
    <s v="Monitor 27 Ultra"/>
    <x v="0"/>
    <n v="1233.6099999999999"/>
    <n v="0.08"/>
    <n v="856.25"/>
    <s v="Concluída"/>
    <n v="1233.6099999999999"/>
    <n v="98.688800000000001"/>
    <n v="1134.9212"/>
    <n v="856.25"/>
    <x v="560"/>
    <n v="4.0726174789501028"/>
  </r>
  <r>
    <x v="8"/>
    <s v="VD-0613"/>
    <d v="2025-09-09T00:00:00"/>
    <x v="3"/>
    <x v="2"/>
    <x v="1"/>
    <x v="1"/>
    <x v="0"/>
    <s v="Secador Pro"/>
    <x v="1"/>
    <n v="440.49"/>
    <n v="0"/>
    <n v="247.52"/>
    <s v="Concluída"/>
    <n v="880.98"/>
    <n v="0"/>
    <n v="880.98"/>
    <n v="495.04"/>
    <x v="561"/>
    <n v="2.282686427942167"/>
  </r>
  <r>
    <x v="8"/>
    <s v="VD-0641"/>
    <d v="2025-09-09T00:00:00"/>
    <x v="5"/>
    <x v="1"/>
    <x v="3"/>
    <x v="3"/>
    <x v="1"/>
    <s v="Fone Wave"/>
    <x v="1"/>
    <n v="265.23"/>
    <n v="0.03"/>
    <n v="125.13"/>
    <s v="Concluída"/>
    <n v="530.46"/>
    <n v="15.9138"/>
    <n v="514.5462"/>
    <n v="250.26"/>
    <x v="562"/>
    <n v="1.946927989429641"/>
  </r>
  <r>
    <x v="8"/>
    <s v="VD-0647"/>
    <d v="2025-09-09T00:00:00"/>
    <x v="1"/>
    <x v="0"/>
    <x v="1"/>
    <x v="8"/>
    <x v="3"/>
    <s v="Esteira Compacta"/>
    <x v="0"/>
    <n v="2780.77"/>
    <n v="0.05"/>
    <n v="1940.4"/>
    <s v="Concluída"/>
    <n v="2780.77"/>
    <n v="139.0385"/>
    <n v="2641.7314999999999"/>
    <n v="1940.4"/>
    <x v="563"/>
    <n v="3.7667372704633983"/>
  </r>
  <r>
    <x v="8"/>
    <s v="VD-0580"/>
    <d v="2025-09-10T00:00:00"/>
    <x v="5"/>
    <x v="1"/>
    <x v="1"/>
    <x v="11"/>
    <x v="4"/>
    <s v="Mochila Urban"/>
    <x v="1"/>
    <n v="323.12"/>
    <n v="0.15"/>
    <n v="152.44"/>
    <s v="Concluída"/>
    <n v="646.24"/>
    <n v="96.935999999999993"/>
    <n v="549.30399999999997"/>
    <n v="304.88"/>
    <x v="564"/>
    <n v="2.2473406866756132"/>
  </r>
  <r>
    <x v="8"/>
    <s v="VD-0581"/>
    <d v="2025-09-10T00:00:00"/>
    <x v="4"/>
    <x v="2"/>
    <x v="3"/>
    <x v="1"/>
    <x v="1"/>
    <s v="Teclado Mecânico"/>
    <x v="0"/>
    <n v="393.07"/>
    <n v="0.05"/>
    <n v="236.42"/>
    <s v="Concluída"/>
    <n v="393.07"/>
    <n v="19.653500000000001"/>
    <n v="373.41649999999998"/>
    <n v="236.42"/>
    <x v="565"/>
    <n v="2.7257375188417221"/>
  </r>
  <r>
    <x v="8"/>
    <s v="VD-0582"/>
    <d v="2025-09-10T00:00:00"/>
    <x v="0"/>
    <x v="0"/>
    <x v="3"/>
    <x v="3"/>
    <x v="2"/>
    <s v="Cadeira Escritório"/>
    <x v="0"/>
    <n v="1233.3599999999999"/>
    <n v="0.1"/>
    <n v="882.88"/>
    <s v="Concluída"/>
    <n v="1233.3599999999999"/>
    <n v="123.336"/>
    <n v="1110.0239999999999"/>
    <n v="882.88"/>
    <x v="566"/>
    <n v="4.8868735251646553"/>
  </r>
  <r>
    <x v="8"/>
    <s v="VD-0596"/>
    <d v="2025-09-10T00:00:00"/>
    <x v="6"/>
    <x v="0"/>
    <x v="3"/>
    <x v="9"/>
    <x v="3"/>
    <s v="Bike Urbana"/>
    <x v="0"/>
    <n v="2353.5300000000002"/>
    <n v="0.05"/>
    <n v="1639.2"/>
    <s v="Concluída"/>
    <n v="2353.5300000000002"/>
    <n v="117.67650000000002"/>
    <n v="2235.8535000000002"/>
    <n v="1639.2"/>
    <x v="567"/>
    <n v="3.7473231951207855"/>
  </r>
  <r>
    <x v="8"/>
    <s v="VD-0631"/>
    <d v="2025-09-10T00:00:00"/>
    <x v="0"/>
    <x v="0"/>
    <x v="3"/>
    <x v="3"/>
    <x v="4"/>
    <s v="Relógio Fit"/>
    <x v="0"/>
    <n v="672.26"/>
    <n v="0.03"/>
    <n v="322.58"/>
    <s v="Concluída"/>
    <n v="672.26"/>
    <n v="20.1678"/>
    <n v="652.09220000000005"/>
    <n v="322.58"/>
    <x v="568"/>
    <n v="1.9789622356926388"/>
  </r>
  <r>
    <x v="8"/>
    <s v="VD-0643"/>
    <d v="2025-09-10T00:00:00"/>
    <x v="5"/>
    <x v="1"/>
    <x v="1"/>
    <x v="8"/>
    <x v="1"/>
    <s v="Notebook Nova 14"/>
    <x v="1"/>
    <n v="4155.3500000000004"/>
    <n v="0.1"/>
    <n v="3363.39"/>
    <s v="Concluída"/>
    <n v="8310.7000000000007"/>
    <n v="831.07000000000016"/>
    <n v="7479.630000000001"/>
    <n v="6726.78"/>
    <x v="569"/>
    <n v="9.9350866706515095"/>
  </r>
  <r>
    <x v="8"/>
    <s v="VD-0644"/>
    <d v="2025-09-11T00:00:00"/>
    <x v="1"/>
    <x v="0"/>
    <x v="0"/>
    <x v="4"/>
    <x v="0"/>
    <s v="Balança Smart"/>
    <x v="0"/>
    <n v="222.46"/>
    <n v="0.15"/>
    <n v="94.59"/>
    <s v="Concluída"/>
    <n v="222.46"/>
    <n v="33.369"/>
    <n v="189.09100000000001"/>
    <n v="94.59"/>
    <x v="570"/>
    <n v="2.0009417889757781"/>
  </r>
  <r>
    <x v="8"/>
    <s v="VD-0601"/>
    <d v="2025-09-12T00:00:00"/>
    <x v="5"/>
    <x v="1"/>
    <x v="0"/>
    <x v="3"/>
    <x v="1"/>
    <s v="Monitor 27 Ultra"/>
    <x v="1"/>
    <n v="1304.32"/>
    <n v="0.2"/>
    <n v="915.81"/>
    <s v="Cancelada"/>
    <n v="2608.64"/>
    <n v="521.72799999999995"/>
    <n v="0"/>
    <n v="0"/>
    <x v="2"/>
    <s v="sem Valor"/>
  </r>
  <r>
    <x v="8"/>
    <s v="VD-0595"/>
    <d v="2025-09-13T00:00:00"/>
    <x v="6"/>
    <x v="0"/>
    <x v="0"/>
    <x v="5"/>
    <x v="1"/>
    <s v="Monitor 27 Ultra"/>
    <x v="0"/>
    <n v="1203.23"/>
    <n v="0.15"/>
    <n v="860.96"/>
    <s v="Concluída"/>
    <n v="1203.23"/>
    <n v="180.4845"/>
    <n v="1022.7455"/>
    <n v="860.96"/>
    <x v="571"/>
    <n v="6.3216141125131751"/>
  </r>
  <r>
    <x v="8"/>
    <s v="VD-0600"/>
    <d v="2025-09-13T00:00:00"/>
    <x v="5"/>
    <x v="1"/>
    <x v="0"/>
    <x v="5"/>
    <x v="1"/>
    <s v="Teclado Mecânico"/>
    <x v="0"/>
    <n v="420.39"/>
    <n v="0.15"/>
    <n v="237.24"/>
    <s v="Concluída"/>
    <n v="420.39"/>
    <n v="63.058499999999995"/>
    <n v="357.33150000000001"/>
    <n v="237.24"/>
    <x v="572"/>
    <n v="2.9754936860643761"/>
  </r>
  <r>
    <x v="8"/>
    <s v="VD-0628"/>
    <d v="2025-09-14T00:00:00"/>
    <x v="2"/>
    <x v="1"/>
    <x v="0"/>
    <x v="4"/>
    <x v="2"/>
    <s v="Cadeira Escritório"/>
    <x v="0"/>
    <n v="1260.6300000000001"/>
    <n v="0.25"/>
    <n v="900.19"/>
    <s v="Concluída"/>
    <n v="1260.6300000000001"/>
    <n v="315.15750000000003"/>
    <n v="945.47250000000008"/>
    <n v="900.19"/>
    <x v="573"/>
    <n v="20.879423618395617"/>
  </r>
  <r>
    <x v="8"/>
    <s v="VD-0650"/>
    <d v="2025-09-14T00:00:00"/>
    <x v="0"/>
    <x v="0"/>
    <x v="1"/>
    <x v="7"/>
    <x v="1"/>
    <s v="Notebook Nova 14"/>
    <x v="0"/>
    <n v="4172.41"/>
    <n v="0"/>
    <n v="3304.95"/>
    <s v="Concluída"/>
    <n v="4172.41"/>
    <n v="0"/>
    <n v="4172.41"/>
    <n v="3304.95"/>
    <x v="574"/>
    <n v="4.809916307380167"/>
  </r>
  <r>
    <x v="8"/>
    <s v="VD-0588"/>
    <d v="2025-09-15T00:00:00"/>
    <x v="1"/>
    <x v="0"/>
    <x v="1"/>
    <x v="6"/>
    <x v="3"/>
    <s v="Halteres 10kg"/>
    <x v="0"/>
    <n v="355.81"/>
    <n v="0.08"/>
    <n v="206.48"/>
    <s v="Concluída"/>
    <n v="355.81"/>
    <n v="28.4648"/>
    <n v="327.34519999999998"/>
    <n v="206.48"/>
    <x v="575"/>
    <n v="2.7083494670095281"/>
  </r>
  <r>
    <x v="8"/>
    <s v="VD-0612"/>
    <d v="2025-09-15T00:00:00"/>
    <x v="4"/>
    <x v="2"/>
    <x v="1"/>
    <x v="8"/>
    <x v="2"/>
    <s v="Panela Pressão 6L"/>
    <x v="1"/>
    <n v="473.49"/>
    <n v="0.05"/>
    <n v="270.64"/>
    <s v="Concluída"/>
    <n v="946.98"/>
    <n v="47.349000000000004"/>
    <n v="899.63099999999997"/>
    <n v="541.28"/>
    <x v="576"/>
    <n v="2.510474367310263"/>
  </r>
  <r>
    <x v="8"/>
    <s v="VD-0616"/>
    <d v="2025-09-15T00:00:00"/>
    <x v="2"/>
    <x v="1"/>
    <x v="2"/>
    <x v="2"/>
    <x v="2"/>
    <s v="Panela Pressão 6L"/>
    <x v="1"/>
    <n v="439.31"/>
    <n v="0.05"/>
    <n v="233.51"/>
    <s v="Concluída"/>
    <n v="878.62"/>
    <n v="43.931000000000004"/>
    <n v="834.68899999999996"/>
    <n v="467.02"/>
    <x v="577"/>
    <n v="2.2702185933543486"/>
  </r>
  <r>
    <x v="8"/>
    <s v="VD-0639"/>
    <d v="2025-09-15T00:00:00"/>
    <x v="0"/>
    <x v="0"/>
    <x v="1"/>
    <x v="4"/>
    <x v="2"/>
    <s v="Air Fryer 5L"/>
    <x v="0"/>
    <n v="725.93"/>
    <n v="0.1"/>
    <n v="412.76"/>
    <s v="Concluída"/>
    <n v="725.93"/>
    <n v="72.593000000000004"/>
    <n v="653.33699999999999"/>
    <n v="412.76"/>
    <x v="578"/>
    <n v="2.7157084841859365"/>
  </r>
  <r>
    <x v="8"/>
    <s v="VD-0599"/>
    <d v="2025-09-16T00:00:00"/>
    <x v="1"/>
    <x v="0"/>
    <x v="0"/>
    <x v="2"/>
    <x v="3"/>
    <s v="Bike Urbana"/>
    <x v="1"/>
    <n v="2178.17"/>
    <n v="0.1"/>
    <n v="1477.87"/>
    <s v="Concluída"/>
    <n v="4356.34"/>
    <n v="435.63400000000001"/>
    <n v="3920.7060000000001"/>
    <n v="2955.74"/>
    <x v="579"/>
    <n v="4.0630509261466194"/>
  </r>
  <r>
    <x v="8"/>
    <s v="VD-0606"/>
    <d v="2025-09-16T00:00:00"/>
    <x v="6"/>
    <x v="0"/>
    <x v="1"/>
    <x v="6"/>
    <x v="0"/>
    <s v="Balança Smart"/>
    <x v="0"/>
    <n v="233.09"/>
    <n v="0"/>
    <n v="102.19"/>
    <s v="Concluída"/>
    <n v="233.09"/>
    <n v="0"/>
    <n v="233.09"/>
    <n v="102.19"/>
    <x v="580"/>
    <n v="1.7806722689075629"/>
  </r>
  <r>
    <x v="8"/>
    <s v="VD-0610"/>
    <d v="2025-09-16T00:00:00"/>
    <x v="7"/>
    <x v="3"/>
    <x v="1"/>
    <x v="6"/>
    <x v="2"/>
    <s v="Air Fryer 5L"/>
    <x v="0"/>
    <n v="743.67"/>
    <n v="0.08"/>
    <n v="433.14"/>
    <s v="Concluída"/>
    <n v="743.67"/>
    <n v="59.493600000000001"/>
    <n v="684.17639999999994"/>
    <n v="433.14"/>
    <x v="581"/>
    <n v="2.7254071521102121"/>
  </r>
  <r>
    <x v="8"/>
    <s v="VD-0614"/>
    <d v="2025-09-16T00:00:00"/>
    <x v="0"/>
    <x v="0"/>
    <x v="0"/>
    <x v="5"/>
    <x v="0"/>
    <s v="Balança Smart"/>
    <x v="0"/>
    <n v="257.83"/>
    <n v="0.1"/>
    <n v="108.28"/>
    <s v="Concluída"/>
    <n v="257.83"/>
    <n v="25.783000000000001"/>
    <n v="232.04699999999997"/>
    <n v="108.28"/>
    <x v="582"/>
    <n v="1.8748697148674527"/>
  </r>
  <r>
    <x v="8"/>
    <s v="VD-0648"/>
    <d v="2025-09-16T00:00:00"/>
    <x v="3"/>
    <x v="2"/>
    <x v="3"/>
    <x v="9"/>
    <x v="1"/>
    <s v="Mouse Pro"/>
    <x v="0"/>
    <n v="202.84"/>
    <n v="0.05"/>
    <n v="96.82"/>
    <s v="Concluída"/>
    <n v="202.84"/>
    <n v="10.142000000000001"/>
    <n v="192.69800000000001"/>
    <n v="96.82"/>
    <x v="583"/>
    <n v="2.009824985919606"/>
  </r>
  <r>
    <x v="8"/>
    <s v="VD-0577"/>
    <d v="2025-09-17T00:00:00"/>
    <x v="0"/>
    <x v="0"/>
    <x v="3"/>
    <x v="7"/>
    <x v="2"/>
    <s v="Cadeira Escritório"/>
    <x v="0"/>
    <n v="1168.3599999999999"/>
    <n v="0.03"/>
    <n v="847.98"/>
    <s v="Concluída"/>
    <n v="1168.3599999999999"/>
    <n v="35.050799999999995"/>
    <n v="1133.3091999999999"/>
    <n v="847.98"/>
    <x v="584"/>
    <n v="3.9719355747676728"/>
  </r>
  <r>
    <x v="8"/>
    <s v="VD-0603"/>
    <d v="2025-09-17T00:00:00"/>
    <x v="5"/>
    <x v="1"/>
    <x v="1"/>
    <x v="6"/>
    <x v="1"/>
    <s v="Mouse Pro"/>
    <x v="0"/>
    <n v="175.69"/>
    <n v="0"/>
    <n v="78.349999999999994"/>
    <s v="Concluída"/>
    <n v="175.69"/>
    <n v="0"/>
    <n v="175.69"/>
    <n v="78.349999999999994"/>
    <x v="585"/>
    <n v="1.8049106225600986"/>
  </r>
  <r>
    <x v="8"/>
    <s v="VD-0607"/>
    <d v="2025-09-17T00:00:00"/>
    <x v="6"/>
    <x v="0"/>
    <x v="1"/>
    <x v="5"/>
    <x v="4"/>
    <s v="Mochila Urban"/>
    <x v="0"/>
    <n v="307.47000000000003"/>
    <n v="0.05"/>
    <n v="141.36000000000001"/>
    <s v="Cancelada"/>
    <n v="307.47000000000003"/>
    <n v="15.373500000000002"/>
    <n v="0"/>
    <n v="0"/>
    <x v="2"/>
    <s v="sem Valor"/>
  </r>
  <r>
    <x v="8"/>
    <s v="VD-0584"/>
    <d v="2025-09-18T00:00:00"/>
    <x v="6"/>
    <x v="0"/>
    <x v="3"/>
    <x v="11"/>
    <x v="3"/>
    <s v="Colchonete Pro"/>
    <x v="0"/>
    <n v="140.25"/>
    <n v="0.15"/>
    <n v="57.2"/>
    <s v="Concluída"/>
    <n v="140.25"/>
    <n v="21.037499999999998"/>
    <n v="119.21250000000001"/>
    <n v="57.2"/>
    <x v="586"/>
    <n v="1.9223946784922394"/>
  </r>
  <r>
    <x v="8"/>
    <s v="VD-0618"/>
    <d v="2025-09-18T00:00:00"/>
    <x v="7"/>
    <x v="3"/>
    <x v="3"/>
    <x v="3"/>
    <x v="4"/>
    <s v="Relógio Fit"/>
    <x v="2"/>
    <n v="708.22"/>
    <n v="0.03"/>
    <n v="346.03"/>
    <s v="Concluída"/>
    <n v="2124.66"/>
    <n v="63.739799999999995"/>
    <n v="2060.9202"/>
    <n v="1038.0899999999999"/>
    <x v="587"/>
    <n v="2.014919191865864"/>
  </r>
  <r>
    <x v="8"/>
    <s v="VD-0587"/>
    <d v="2025-09-19T00:00:00"/>
    <x v="2"/>
    <x v="1"/>
    <x v="1"/>
    <x v="6"/>
    <x v="2"/>
    <s v="Cadeira Escritório"/>
    <x v="1"/>
    <n v="1246.56"/>
    <n v="0.05"/>
    <n v="936.19"/>
    <s v="Concluída"/>
    <n v="2493.12"/>
    <n v="124.65600000000001"/>
    <n v="2368.4639999999999"/>
    <n v="1872.38"/>
    <x v="588"/>
    <n v="4.7743204779835686"/>
  </r>
  <r>
    <x v="8"/>
    <s v="VD-0652"/>
    <d v="2025-09-19T00:00:00"/>
    <x v="6"/>
    <x v="0"/>
    <x v="3"/>
    <x v="7"/>
    <x v="1"/>
    <s v="Monitor 27 Ultra"/>
    <x v="0"/>
    <n v="1248.21"/>
    <n v="0.05"/>
    <n v="903.2"/>
    <s v="Concluída"/>
    <n v="1248.21"/>
    <n v="62.410500000000006"/>
    <n v="1185.7995000000001"/>
    <n v="903.2"/>
    <x v="589"/>
    <n v="4.1960424558429859"/>
  </r>
  <r>
    <x v="8"/>
    <s v="VD-0593"/>
    <d v="2025-09-20T00:00:00"/>
    <x v="5"/>
    <x v="1"/>
    <x v="1"/>
    <x v="1"/>
    <x v="4"/>
    <s v="Óculos Sol"/>
    <x v="0"/>
    <n v="407.77"/>
    <n v="0.1"/>
    <n v="183.75"/>
    <s v="Concluída"/>
    <n v="407.77"/>
    <n v="40.777000000000001"/>
    <n v="366.99299999999999"/>
    <n v="183.75"/>
    <x v="590"/>
    <n v="2.0027668178320592"/>
  </r>
  <r>
    <x v="8"/>
    <s v="VD-0620"/>
    <d v="2025-09-20T00:00:00"/>
    <x v="1"/>
    <x v="0"/>
    <x v="0"/>
    <x v="5"/>
    <x v="1"/>
    <s v="Teclado Mecânico"/>
    <x v="0"/>
    <n v="396.84"/>
    <n v="0.2"/>
    <n v="223.35"/>
    <s v="Concluída"/>
    <n v="396.84"/>
    <n v="79.367999999999995"/>
    <n v="317.47199999999998"/>
    <n v="223.35"/>
    <x v="591"/>
    <n v="3.3729839994900237"/>
  </r>
  <r>
    <x v="8"/>
    <s v="VD-0579"/>
    <d v="2025-09-21T00:00:00"/>
    <x v="6"/>
    <x v="0"/>
    <x v="1"/>
    <x v="0"/>
    <x v="0"/>
    <s v="Secador Pro"/>
    <x v="0"/>
    <n v="428.49"/>
    <n v="0.15"/>
    <n v="226.64"/>
    <s v="Concluída"/>
    <n v="428.49"/>
    <n v="64.273499999999999"/>
    <n v="364.2165"/>
    <n v="226.64"/>
    <x v="592"/>
    <n v="2.6473743698960215"/>
  </r>
  <r>
    <x v="8"/>
    <s v="VD-0608"/>
    <d v="2025-09-21T00:00:00"/>
    <x v="3"/>
    <x v="2"/>
    <x v="1"/>
    <x v="3"/>
    <x v="1"/>
    <s v="Fone Wave"/>
    <x v="0"/>
    <n v="236.47"/>
    <n v="0.05"/>
    <n v="109.89"/>
    <s v="Concluída"/>
    <n v="236.47"/>
    <n v="11.823500000000001"/>
    <n v="224.6465"/>
    <n v="109.89"/>
    <x v="593"/>
    <n v="1.9575928160932061"/>
  </r>
  <r>
    <x v="8"/>
    <s v="VD-0602"/>
    <d v="2025-09-22T00:00:00"/>
    <x v="1"/>
    <x v="0"/>
    <x v="3"/>
    <x v="7"/>
    <x v="3"/>
    <s v="Halteres 10kg"/>
    <x v="0"/>
    <n v="354.27"/>
    <n v="0.05"/>
    <n v="190.53"/>
    <s v="Concluída"/>
    <n v="354.27"/>
    <n v="17.7135"/>
    <n v="336.55649999999997"/>
    <n v="190.53"/>
    <x v="594"/>
    <n v="2.3047631765467229"/>
  </r>
  <r>
    <x v="8"/>
    <s v="VD-0627"/>
    <d v="2025-09-22T00:00:00"/>
    <x v="6"/>
    <x v="0"/>
    <x v="3"/>
    <x v="5"/>
    <x v="1"/>
    <s v="Mouse Pro"/>
    <x v="0"/>
    <n v="183.5"/>
    <n v="0.1"/>
    <n v="81.849999999999994"/>
    <s v="Concluída"/>
    <n v="183.5"/>
    <n v="18.350000000000001"/>
    <n v="165.15"/>
    <n v="81.849999999999994"/>
    <x v="595"/>
    <n v="1.9825930372148857"/>
  </r>
  <r>
    <x v="8"/>
    <s v="VD-0651"/>
    <d v="2025-09-23T00:00:00"/>
    <x v="2"/>
    <x v="1"/>
    <x v="1"/>
    <x v="0"/>
    <x v="0"/>
    <s v="Creme Facial"/>
    <x v="0"/>
    <n v="156.84"/>
    <n v="0.1"/>
    <n v="55.75"/>
    <s v="Concluída"/>
    <n v="156.84"/>
    <n v="15.684000000000001"/>
    <n v="141.15600000000001"/>
    <n v="55.75"/>
    <x v="596"/>
    <n v="1.6527644427791959"/>
  </r>
  <r>
    <x v="8"/>
    <s v="VD-0590"/>
    <d v="2025-09-24T00:00:00"/>
    <x v="4"/>
    <x v="2"/>
    <x v="0"/>
    <x v="11"/>
    <x v="2"/>
    <s v="Panela Pressão 6L"/>
    <x v="0"/>
    <n v="474.88"/>
    <n v="0.25"/>
    <n v="263.48"/>
    <s v="Cancelada"/>
    <n v="474.88"/>
    <n v="118.72"/>
    <n v="0"/>
    <n v="0"/>
    <x v="2"/>
    <s v="sem Valor"/>
  </r>
  <r>
    <x v="8"/>
    <s v="VD-0623"/>
    <d v="2025-09-24T00:00:00"/>
    <x v="3"/>
    <x v="2"/>
    <x v="1"/>
    <x v="6"/>
    <x v="0"/>
    <s v="Secador Pro"/>
    <x v="0"/>
    <n v="452.37"/>
    <n v="0.08"/>
    <n v="252.01"/>
    <s v="Concluída"/>
    <n v="452.37"/>
    <n v="36.189599999999999"/>
    <n v="416.18040000000002"/>
    <n v="252.01"/>
    <x v="597"/>
    <n v="2.5350513856334635"/>
  </r>
  <r>
    <x v="8"/>
    <s v="VD-0625"/>
    <d v="2025-09-24T00:00:00"/>
    <x v="1"/>
    <x v="0"/>
    <x v="2"/>
    <x v="11"/>
    <x v="0"/>
    <s v="Secador Pro"/>
    <x v="0"/>
    <n v="430.99"/>
    <n v="0.1"/>
    <n v="228.15"/>
    <s v="Concluída"/>
    <n v="430.99"/>
    <n v="43.099000000000004"/>
    <n v="387.89100000000002"/>
    <n v="228.15"/>
    <x v="598"/>
    <n v="2.4282494788438784"/>
  </r>
  <r>
    <x v="8"/>
    <s v="VD-0598"/>
    <d v="2025-09-25T00:00:00"/>
    <x v="0"/>
    <x v="0"/>
    <x v="1"/>
    <x v="9"/>
    <x v="0"/>
    <s v="Secador Pro"/>
    <x v="0"/>
    <n v="429.95"/>
    <n v="0"/>
    <n v="233.74"/>
    <s v="Concluída"/>
    <n v="429.95"/>
    <n v="0"/>
    <n v="429.95"/>
    <n v="233.74"/>
    <x v="599"/>
    <n v="2.1912746547066919"/>
  </r>
  <r>
    <x v="8"/>
    <s v="VD-0609"/>
    <d v="2025-09-25T00:00:00"/>
    <x v="0"/>
    <x v="0"/>
    <x v="3"/>
    <x v="6"/>
    <x v="2"/>
    <s v="Panela Pressão 6L"/>
    <x v="0"/>
    <n v="414.44"/>
    <n v="0.05"/>
    <n v="222.41"/>
    <s v="Concluída"/>
    <n v="414.44"/>
    <n v="20.722000000000001"/>
    <n v="393.71800000000002"/>
    <n v="222.41"/>
    <x v="600"/>
    <n v="2.298304807714759"/>
  </r>
  <r>
    <x v="8"/>
    <s v="VD-0624"/>
    <d v="2025-09-25T00:00:00"/>
    <x v="0"/>
    <x v="0"/>
    <x v="3"/>
    <x v="10"/>
    <x v="4"/>
    <s v="Mochila Urban"/>
    <x v="1"/>
    <n v="333.94"/>
    <n v="0.05"/>
    <n v="150.63"/>
    <s v="Concluída"/>
    <n v="667.88"/>
    <n v="33.393999999999998"/>
    <n v="634.48599999999999"/>
    <n v="301.26"/>
    <x v="601"/>
    <n v="1.9040711108977091"/>
  </r>
  <r>
    <x v="8"/>
    <s v="VD-0637"/>
    <d v="2025-09-25T00:00:00"/>
    <x v="5"/>
    <x v="1"/>
    <x v="3"/>
    <x v="1"/>
    <x v="3"/>
    <s v="Colchonete Pro"/>
    <x v="1"/>
    <n v="138.05000000000001"/>
    <n v="0.1"/>
    <n v="53.93"/>
    <s v="Concluída"/>
    <n v="276.10000000000002"/>
    <n v="27.610000000000003"/>
    <n v="248.49"/>
    <n v="107.86"/>
    <x v="602"/>
    <n v="1.7669771741449194"/>
  </r>
  <r>
    <x v="8"/>
    <s v="VD-0640"/>
    <d v="2025-09-25T00:00:00"/>
    <x v="1"/>
    <x v="0"/>
    <x v="1"/>
    <x v="6"/>
    <x v="3"/>
    <s v="Halteres 10kg"/>
    <x v="0"/>
    <n v="346.33"/>
    <n v="0.1"/>
    <n v="196.92"/>
    <s v="Concluída"/>
    <n v="346.33"/>
    <n v="34.633000000000003"/>
    <n v="311.697"/>
    <n v="196.92"/>
    <x v="603"/>
    <n v="2.7156747431976784"/>
  </r>
  <r>
    <x v="8"/>
    <s v="VD-0646"/>
    <d v="2025-09-25T00:00:00"/>
    <x v="2"/>
    <x v="1"/>
    <x v="1"/>
    <x v="4"/>
    <x v="0"/>
    <s v="Secador Pro"/>
    <x v="0"/>
    <n v="462.76"/>
    <n v="0.08"/>
    <n v="245.67"/>
    <s v="Concluída"/>
    <n v="462.76"/>
    <n v="37.020800000000001"/>
    <n v="425.73919999999998"/>
    <n v="245.67"/>
    <x v="604"/>
    <n v="2.3643088323822177"/>
  </r>
  <r>
    <x v="8"/>
    <s v="VD-0653"/>
    <d v="2025-09-25T00:00:00"/>
    <x v="7"/>
    <x v="3"/>
    <x v="3"/>
    <x v="6"/>
    <x v="3"/>
    <s v="Colchonete Pro"/>
    <x v="0"/>
    <n v="134.62"/>
    <n v="0.1"/>
    <n v="51.86"/>
    <s v="Concluída"/>
    <n v="134.62"/>
    <n v="13.462000000000002"/>
    <n v="121.158"/>
    <n v="51.86"/>
    <x v="605"/>
    <n v="1.7483621460936822"/>
  </r>
  <r>
    <x v="8"/>
    <s v="VD-0591"/>
    <d v="2025-09-26T00:00:00"/>
    <x v="2"/>
    <x v="1"/>
    <x v="1"/>
    <x v="11"/>
    <x v="2"/>
    <s v="Tapete Sala"/>
    <x v="2"/>
    <n v="555.29"/>
    <n v="0"/>
    <n v="296.19"/>
    <s v="Concluída"/>
    <n v="1665.87"/>
    <n v="0"/>
    <n v="1665.87"/>
    <n v="888.56999999999994"/>
    <x v="606"/>
    <n v="2.1431493631802394"/>
  </r>
  <r>
    <x v="8"/>
    <s v="VD-0636"/>
    <d v="2025-09-26T00:00:00"/>
    <x v="5"/>
    <x v="1"/>
    <x v="2"/>
    <x v="1"/>
    <x v="1"/>
    <s v="Notebook Nova 14"/>
    <x v="0"/>
    <n v="4114.41"/>
    <n v="0.1"/>
    <n v="3216.82"/>
    <s v="Concluída"/>
    <n v="4114.41"/>
    <n v="411.44100000000003"/>
    <n v="3702.9690000000001"/>
    <n v="3216.82"/>
    <x v="607"/>
    <n v="7.6169425423069903"/>
  </r>
  <r>
    <x v="8"/>
    <s v="VD-0642"/>
    <d v="2025-09-26T00:00:00"/>
    <x v="6"/>
    <x v="0"/>
    <x v="3"/>
    <x v="10"/>
    <x v="4"/>
    <s v="Relógio Fit"/>
    <x v="0"/>
    <n v="744.74"/>
    <n v="0.15"/>
    <n v="364.62"/>
    <s v="Concluída"/>
    <n v="744.74"/>
    <n v="111.711"/>
    <n v="633.029"/>
    <n v="364.62"/>
    <x v="608"/>
    <n v="2.3584492323282751"/>
  </r>
  <r>
    <x v="8"/>
    <s v="VD-0626"/>
    <d v="2025-09-27T00:00:00"/>
    <x v="1"/>
    <x v="0"/>
    <x v="2"/>
    <x v="0"/>
    <x v="0"/>
    <s v="Creme Facial"/>
    <x v="1"/>
    <n v="146"/>
    <n v="0.1"/>
    <n v="49.06"/>
    <s v="Concluída"/>
    <n v="292"/>
    <n v="29.200000000000003"/>
    <n v="262.8"/>
    <n v="98.12"/>
    <x v="609"/>
    <n v="1.5958222006315279"/>
  </r>
  <r>
    <x v="8"/>
    <s v="VD-0649"/>
    <d v="2025-09-27T00:00:00"/>
    <x v="6"/>
    <x v="0"/>
    <x v="0"/>
    <x v="10"/>
    <x v="1"/>
    <s v="Monitor 27 Ultra"/>
    <x v="0"/>
    <n v="1364.25"/>
    <n v="0.2"/>
    <n v="957.43"/>
    <s v="Concluída"/>
    <n v="1364.25"/>
    <n v="272.85000000000002"/>
    <n v="1091.4000000000001"/>
    <n v="957.43"/>
    <x v="610"/>
    <n v="8.1465999850712763"/>
  </r>
  <r>
    <x v="8"/>
    <s v="VD-0592"/>
    <d v="2025-09-28T00:00:00"/>
    <x v="3"/>
    <x v="2"/>
    <x v="3"/>
    <x v="4"/>
    <x v="2"/>
    <s v="Panela Pressão 6L"/>
    <x v="0"/>
    <n v="442.19"/>
    <n v="0.05"/>
    <n v="249.89"/>
    <s v="Concluída"/>
    <n v="442.19"/>
    <n v="22.109500000000001"/>
    <n v="420.08049999999997"/>
    <n v="249.89"/>
    <x v="611"/>
    <n v="2.4682958214471431"/>
  </r>
  <r>
    <x v="8"/>
    <s v="VD-0619"/>
    <d v="2025-09-28T00:00:00"/>
    <x v="0"/>
    <x v="0"/>
    <x v="3"/>
    <x v="8"/>
    <x v="3"/>
    <s v="Halteres 10kg"/>
    <x v="0"/>
    <n v="353.38"/>
    <n v="0.1"/>
    <n v="190.65"/>
    <s v="Concluída"/>
    <n v="353.38"/>
    <n v="35.338000000000001"/>
    <n v="318.04199999999997"/>
    <n v="190.65"/>
    <x v="612"/>
    <n v="2.4965617935192168"/>
  </r>
  <r>
    <x v="8"/>
    <s v="VD-0622"/>
    <d v="2025-09-28T00:00:00"/>
    <x v="6"/>
    <x v="0"/>
    <x v="3"/>
    <x v="11"/>
    <x v="4"/>
    <s v="Óculos Sol"/>
    <x v="0"/>
    <n v="378.72"/>
    <n v="0.1"/>
    <n v="171.65"/>
    <s v="Concluída"/>
    <n v="378.72"/>
    <n v="37.872000000000007"/>
    <n v="340.84800000000001"/>
    <n v="171.65"/>
    <x v="613"/>
    <n v="2.0144918970673413"/>
  </r>
  <r>
    <x v="8"/>
    <s v="VD-0634"/>
    <d v="2025-09-28T00:00:00"/>
    <x v="1"/>
    <x v="0"/>
    <x v="3"/>
    <x v="1"/>
    <x v="2"/>
    <s v="Tapete Sala"/>
    <x v="0"/>
    <n v="546.13"/>
    <n v="0.03"/>
    <n v="275.69"/>
    <s v="Concluída"/>
    <n v="546.13"/>
    <n v="16.383900000000001"/>
    <n v="529.74609999999996"/>
    <n v="275.69"/>
    <x v="614"/>
    <n v="2.0851540270042719"/>
  </r>
  <r>
    <x v="9"/>
    <s v="VD-0721"/>
    <d v="2025-10-01T00:00:00"/>
    <x v="0"/>
    <x v="0"/>
    <x v="2"/>
    <x v="0"/>
    <x v="3"/>
    <s v="Esteira Compacta"/>
    <x v="0"/>
    <n v="2692.2"/>
    <n v="0.03"/>
    <n v="1816.49"/>
    <s v="Concluída"/>
    <n v="2692.2"/>
    <n v="80.765999999999991"/>
    <n v="2611.4339999999997"/>
    <n v="1816.49"/>
    <x v="615"/>
    <n v="3.2850540415425495"/>
  </r>
  <r>
    <x v="9"/>
    <s v="VD-0680"/>
    <d v="2025-10-02T00:00:00"/>
    <x v="5"/>
    <x v="1"/>
    <x v="1"/>
    <x v="7"/>
    <x v="2"/>
    <s v="Air Fryer 5L"/>
    <x v="1"/>
    <n v="648.62"/>
    <n v="0.05"/>
    <n v="380.38"/>
    <s v="Concluída"/>
    <n v="1297.24"/>
    <n v="64.862000000000009"/>
    <n v="1232.3779999999999"/>
    <n v="760.76"/>
    <x v="616"/>
    <n v="2.6130851663846588"/>
  </r>
  <r>
    <x v="9"/>
    <s v="VD-0686"/>
    <d v="2025-10-03T00:00:00"/>
    <x v="6"/>
    <x v="0"/>
    <x v="1"/>
    <x v="7"/>
    <x v="4"/>
    <s v="Óculos Sol"/>
    <x v="0"/>
    <n v="358.21"/>
    <n v="0.08"/>
    <n v="163.47999999999999"/>
    <s v="Concluída"/>
    <n v="358.21"/>
    <n v="28.6568"/>
    <n v="329.5532"/>
    <n v="163.47999999999999"/>
    <x v="617"/>
    <n v="1.9843851988159438"/>
  </r>
  <r>
    <x v="9"/>
    <s v="VD-0690"/>
    <d v="2025-10-03T00:00:00"/>
    <x v="3"/>
    <x v="2"/>
    <x v="1"/>
    <x v="3"/>
    <x v="1"/>
    <s v="Notebook Nova 14"/>
    <x v="0"/>
    <n v="3865.12"/>
    <n v="0.05"/>
    <n v="3123.76"/>
    <s v="Concluída"/>
    <n v="3865.12"/>
    <n v="193.256"/>
    <n v="3671.864"/>
    <n v="3123.76"/>
    <x v="618"/>
    <n v="6.6992103688351143"/>
  </r>
  <r>
    <x v="9"/>
    <s v="VD-0723"/>
    <d v="2025-10-03T00:00:00"/>
    <x v="1"/>
    <x v="0"/>
    <x v="3"/>
    <x v="0"/>
    <x v="2"/>
    <s v="Cadeira Escritório"/>
    <x v="0"/>
    <n v="1249.9000000000001"/>
    <n v="0.1"/>
    <n v="895.7"/>
    <s v="Concluída"/>
    <n v="1249.9000000000001"/>
    <n v="124.99000000000001"/>
    <n v="1124.9100000000001"/>
    <n v="895.7"/>
    <x v="619"/>
    <n v="4.9077701670956762"/>
  </r>
  <r>
    <x v="9"/>
    <s v="VD-0682"/>
    <d v="2025-10-04T00:00:00"/>
    <x v="6"/>
    <x v="0"/>
    <x v="3"/>
    <x v="7"/>
    <x v="3"/>
    <s v="Bike Urbana"/>
    <x v="1"/>
    <n v="2204.2800000000002"/>
    <n v="0.03"/>
    <n v="1579.59"/>
    <s v="Concluída"/>
    <n v="4408.5600000000004"/>
    <n v="132.2568"/>
    <n v="4276.3032000000003"/>
    <n v="3159.18"/>
    <x v="620"/>
    <n v="3.8279602464616245"/>
  </r>
  <r>
    <x v="9"/>
    <s v="VD-0730"/>
    <d v="2025-10-04T00:00:00"/>
    <x v="4"/>
    <x v="2"/>
    <x v="3"/>
    <x v="8"/>
    <x v="2"/>
    <s v="Cadeira Escritório"/>
    <x v="1"/>
    <n v="1145.72"/>
    <n v="0.1"/>
    <n v="834.23"/>
    <s v="Concluída"/>
    <n v="2291.44"/>
    <n v="229.14400000000001"/>
    <n v="2062.2960000000003"/>
    <n v="1668.46"/>
    <x v="621"/>
    <n v="5.2364334392996046"/>
  </r>
  <r>
    <x v="9"/>
    <s v="VD-0675"/>
    <d v="2025-10-05T00:00:00"/>
    <x v="1"/>
    <x v="0"/>
    <x v="3"/>
    <x v="1"/>
    <x v="2"/>
    <s v="Panela Pressão 6L"/>
    <x v="0"/>
    <n v="481.01"/>
    <n v="0.1"/>
    <n v="259.77"/>
    <s v="Concluída"/>
    <n v="481.01"/>
    <n v="48.100999999999999"/>
    <n v="432.90899999999999"/>
    <n v="259.77"/>
    <x v="622"/>
    <n v="2.5003552059328054"/>
  </r>
  <r>
    <x v="9"/>
    <s v="VD-0681"/>
    <d v="2025-10-05T00:00:00"/>
    <x v="5"/>
    <x v="1"/>
    <x v="1"/>
    <x v="1"/>
    <x v="0"/>
    <s v="Creme Facial"/>
    <x v="0"/>
    <n v="146.41999999999999"/>
    <n v="0.08"/>
    <n v="51.64"/>
    <s v="Concluída"/>
    <n v="146.41999999999999"/>
    <n v="11.7136"/>
    <n v="134.70639999999997"/>
    <n v="51.64"/>
    <x v="623"/>
    <n v="1.6216713376286924"/>
  </r>
  <r>
    <x v="9"/>
    <s v="VD-0707"/>
    <d v="2025-10-05T00:00:00"/>
    <x v="0"/>
    <x v="0"/>
    <x v="1"/>
    <x v="6"/>
    <x v="4"/>
    <s v="Mochila Urban"/>
    <x v="0"/>
    <n v="335.24"/>
    <n v="0"/>
    <n v="160.33000000000001"/>
    <s v="Cancelada"/>
    <n v="335.24"/>
    <n v="0"/>
    <n v="0"/>
    <n v="0"/>
    <x v="2"/>
    <s v="sem Valor"/>
  </r>
  <r>
    <x v="9"/>
    <s v="VD-0720"/>
    <d v="2025-10-05T00:00:00"/>
    <x v="4"/>
    <x v="2"/>
    <x v="1"/>
    <x v="2"/>
    <x v="2"/>
    <s v="Tapete Sala"/>
    <x v="0"/>
    <n v="504.12"/>
    <n v="0.15"/>
    <n v="267.57"/>
    <s v="Concluída"/>
    <n v="504.12"/>
    <n v="75.617999999999995"/>
    <n v="428.50200000000001"/>
    <n v="267.57"/>
    <x v="624"/>
    <n v="2.6626276936842888"/>
  </r>
  <r>
    <x v="9"/>
    <s v="VD-0734"/>
    <d v="2025-10-05T00:00:00"/>
    <x v="2"/>
    <x v="1"/>
    <x v="3"/>
    <x v="3"/>
    <x v="1"/>
    <s v="Monitor 27 Ultra"/>
    <x v="0"/>
    <n v="1378.65"/>
    <n v="0.03"/>
    <n v="934.67"/>
    <s v="Concluída"/>
    <n v="1378.65"/>
    <n v="41.359500000000004"/>
    <n v="1337.2905000000001"/>
    <n v="934.67"/>
    <x v="625"/>
    <n v="3.321466492640091"/>
  </r>
  <r>
    <x v="9"/>
    <s v="VD-0712"/>
    <d v="2025-10-06T00:00:00"/>
    <x v="4"/>
    <x v="2"/>
    <x v="1"/>
    <x v="5"/>
    <x v="1"/>
    <s v="Mouse Pro"/>
    <x v="0"/>
    <n v="198.29"/>
    <n v="0.05"/>
    <n v="91.24"/>
    <s v="Concluída"/>
    <n v="198.29"/>
    <n v="9.9145000000000003"/>
    <n v="188.37549999999999"/>
    <n v="91.24"/>
    <x v="626"/>
    <n v="1.9393064327665992"/>
  </r>
  <r>
    <x v="9"/>
    <s v="VD-0717"/>
    <d v="2025-10-06T00:00:00"/>
    <x v="0"/>
    <x v="0"/>
    <x v="3"/>
    <x v="10"/>
    <x v="1"/>
    <s v="Fone Wave"/>
    <x v="0"/>
    <n v="256.81"/>
    <n v="0.05"/>
    <n v="126.09"/>
    <s v="Concluída"/>
    <n v="256.81"/>
    <n v="12.8405"/>
    <n v="243.96950000000001"/>
    <n v="126.09"/>
    <x v="627"/>
    <n v="2.0696516357806063"/>
  </r>
  <r>
    <x v="9"/>
    <s v="VD-0662"/>
    <d v="2025-10-07T00:00:00"/>
    <x v="5"/>
    <x v="1"/>
    <x v="1"/>
    <x v="9"/>
    <x v="0"/>
    <s v="Secador Pro"/>
    <x v="0"/>
    <n v="435.97"/>
    <n v="0.05"/>
    <n v="246.93"/>
    <s v="Concluída"/>
    <n v="435.97"/>
    <n v="21.798500000000004"/>
    <n v="414.17150000000004"/>
    <n v="246.93"/>
    <x v="628"/>
    <n v="2.476487594287303"/>
  </r>
  <r>
    <x v="9"/>
    <s v="VD-0664"/>
    <d v="2025-10-07T00:00:00"/>
    <x v="2"/>
    <x v="1"/>
    <x v="1"/>
    <x v="1"/>
    <x v="3"/>
    <s v="Bike Urbana"/>
    <x v="0"/>
    <n v="2129.87"/>
    <n v="0.08"/>
    <n v="1435.61"/>
    <s v="Concluída"/>
    <n v="2129.87"/>
    <n v="170.3896"/>
    <n v="1959.4803999999999"/>
    <n v="1435.61"/>
    <x v="629"/>
    <n v="3.7403915166804613"/>
  </r>
  <r>
    <x v="9"/>
    <s v="VD-0665"/>
    <d v="2025-10-07T00:00:00"/>
    <x v="4"/>
    <x v="2"/>
    <x v="1"/>
    <x v="7"/>
    <x v="1"/>
    <s v="Monitor 27 Ultra"/>
    <x v="0"/>
    <n v="1368.79"/>
    <n v="0"/>
    <n v="935.61"/>
    <s v="Concluída"/>
    <n v="1368.79"/>
    <n v="0"/>
    <n v="1368.79"/>
    <n v="935.61"/>
    <x v="630"/>
    <n v="3.1598642596611111"/>
  </r>
  <r>
    <x v="9"/>
    <s v="VD-0674"/>
    <d v="2025-10-07T00:00:00"/>
    <x v="0"/>
    <x v="0"/>
    <x v="3"/>
    <x v="10"/>
    <x v="3"/>
    <s v="Colchonete Pro"/>
    <x v="0"/>
    <n v="134.94"/>
    <n v="0.2"/>
    <n v="52.88"/>
    <s v="Concluída"/>
    <n v="134.94"/>
    <n v="26.988"/>
    <n v="107.952"/>
    <n v="52.88"/>
    <x v="631"/>
    <n v="1.9601975595583965"/>
  </r>
  <r>
    <x v="9"/>
    <s v="VD-0724"/>
    <d v="2025-10-07T00:00:00"/>
    <x v="5"/>
    <x v="1"/>
    <x v="1"/>
    <x v="5"/>
    <x v="4"/>
    <s v="Relógio Fit"/>
    <x v="0"/>
    <n v="668.5"/>
    <n v="0.05"/>
    <n v="321.13"/>
    <s v="Concluída"/>
    <n v="668.5"/>
    <n v="33.425000000000004"/>
    <n v="635.07500000000005"/>
    <n v="321.13"/>
    <x v="632"/>
    <n v="2.0228861743298983"/>
  </r>
  <r>
    <x v="9"/>
    <s v="VD-0731"/>
    <d v="2025-10-07T00:00:00"/>
    <x v="5"/>
    <x v="1"/>
    <x v="2"/>
    <x v="10"/>
    <x v="2"/>
    <s v="Kit Lençol 4p"/>
    <x v="0"/>
    <n v="270.26"/>
    <n v="0.1"/>
    <n v="118.21"/>
    <s v="Concluída"/>
    <n v="270.26"/>
    <n v="27.026"/>
    <n v="243.23399999999998"/>
    <n v="118.21"/>
    <x v="633"/>
    <n v="1.9454984642948554"/>
  </r>
  <r>
    <x v="9"/>
    <s v="VD-0669"/>
    <d v="2025-10-08T00:00:00"/>
    <x v="2"/>
    <x v="1"/>
    <x v="3"/>
    <x v="1"/>
    <x v="0"/>
    <s v="Creme Facial"/>
    <x v="0"/>
    <n v="138.81"/>
    <n v="0.15"/>
    <n v="46.8"/>
    <s v="Concluída"/>
    <n v="138.81"/>
    <n v="20.8215"/>
    <n v="117.9885"/>
    <n v="46.8"/>
    <x v="634"/>
    <n v="1.6574095535093449"/>
  </r>
  <r>
    <x v="9"/>
    <s v="VD-0689"/>
    <d v="2025-10-08T00:00:00"/>
    <x v="4"/>
    <x v="2"/>
    <x v="0"/>
    <x v="6"/>
    <x v="1"/>
    <s v="Fone Wave"/>
    <x v="0"/>
    <n v="250.78"/>
    <n v="0.2"/>
    <n v="119.23"/>
    <s v="Concluída"/>
    <n v="250.78"/>
    <n v="50.156000000000006"/>
    <n v="200.624"/>
    <n v="119.23"/>
    <x v="635"/>
    <n v="2.464849988942674"/>
  </r>
  <r>
    <x v="9"/>
    <s v="VD-0655"/>
    <d v="2025-10-09T00:00:00"/>
    <x v="2"/>
    <x v="1"/>
    <x v="2"/>
    <x v="0"/>
    <x v="4"/>
    <s v="Mochila Urban"/>
    <x v="2"/>
    <n v="304.57"/>
    <n v="0"/>
    <n v="134.87"/>
    <s v="Concluída"/>
    <n v="913.71"/>
    <n v="0"/>
    <n v="913.71"/>
    <n v="404.61"/>
    <x v="636"/>
    <n v="1.7947554507955215"/>
  </r>
  <r>
    <x v="9"/>
    <s v="VD-0699"/>
    <d v="2025-10-09T00:00:00"/>
    <x v="0"/>
    <x v="0"/>
    <x v="0"/>
    <x v="7"/>
    <x v="0"/>
    <s v="Balança Smart"/>
    <x v="0"/>
    <n v="240.09"/>
    <n v="0.05"/>
    <n v="105.99"/>
    <s v="Concluída"/>
    <n v="240.09"/>
    <n v="12.0045"/>
    <n v="228.0855"/>
    <n v="105.99"/>
    <x v="637"/>
    <n v="1.8680909615833508"/>
  </r>
  <r>
    <x v="9"/>
    <s v="VD-0719"/>
    <d v="2025-10-09T00:00:00"/>
    <x v="7"/>
    <x v="3"/>
    <x v="0"/>
    <x v="7"/>
    <x v="1"/>
    <s v="Mouse Pro"/>
    <x v="0"/>
    <n v="180.54"/>
    <n v="0.1"/>
    <n v="79.88"/>
    <s v="Concluída"/>
    <n v="180.54"/>
    <n v="18.053999999999998"/>
    <n v="162.48599999999999"/>
    <n v="79.88"/>
    <x v="638"/>
    <n v="1.9669999757886836"/>
  </r>
  <r>
    <x v="9"/>
    <s v="VD-0715"/>
    <d v="2025-10-10T00:00:00"/>
    <x v="3"/>
    <x v="2"/>
    <x v="3"/>
    <x v="11"/>
    <x v="2"/>
    <s v="Panela Pressão 6L"/>
    <x v="1"/>
    <n v="425.81"/>
    <n v="0.1"/>
    <n v="234.58"/>
    <s v="Concluída"/>
    <n v="851.62"/>
    <n v="85.162000000000006"/>
    <n v="766.45799999999997"/>
    <n v="469.16"/>
    <x v="639"/>
    <n v="2.5780799063565856"/>
  </r>
  <r>
    <x v="9"/>
    <s v="VD-0716"/>
    <d v="2025-10-10T00:00:00"/>
    <x v="4"/>
    <x v="2"/>
    <x v="3"/>
    <x v="10"/>
    <x v="1"/>
    <s v="Notebook Nova 14"/>
    <x v="1"/>
    <n v="4073.49"/>
    <n v="0.1"/>
    <n v="3137.5"/>
    <s v="Concluída"/>
    <n v="8146.98"/>
    <n v="814.69799999999998"/>
    <n v="7332.2819999999992"/>
    <n v="6275"/>
    <x v="640"/>
    <n v="6.9350296325862013"/>
  </r>
  <r>
    <x v="9"/>
    <s v="VD-0684"/>
    <d v="2025-10-11T00:00:00"/>
    <x v="7"/>
    <x v="3"/>
    <x v="1"/>
    <x v="6"/>
    <x v="2"/>
    <s v="Tapete Sala"/>
    <x v="0"/>
    <n v="495.84"/>
    <n v="0"/>
    <n v="254.4"/>
    <s v="Concluída"/>
    <n v="495.84"/>
    <n v="0"/>
    <n v="495.84"/>
    <n v="254.4"/>
    <x v="641"/>
    <n v="2.053677932405567"/>
  </r>
  <r>
    <x v="9"/>
    <s v="VD-0702"/>
    <d v="2025-10-11T00:00:00"/>
    <x v="1"/>
    <x v="0"/>
    <x v="3"/>
    <x v="9"/>
    <x v="2"/>
    <s v="Air Fryer 5L"/>
    <x v="0"/>
    <n v="679.53"/>
    <n v="0.1"/>
    <n v="389.57"/>
    <s v="Concluída"/>
    <n v="679.53"/>
    <n v="67.953000000000003"/>
    <n v="611.577"/>
    <n v="389.57"/>
    <x v="642"/>
    <n v="2.7547644894079917"/>
  </r>
  <r>
    <x v="9"/>
    <s v="VD-0729"/>
    <d v="2025-10-11T00:00:00"/>
    <x v="6"/>
    <x v="0"/>
    <x v="3"/>
    <x v="1"/>
    <x v="1"/>
    <s v="Teclado Mecânico"/>
    <x v="0"/>
    <n v="408.14"/>
    <n v="0.05"/>
    <n v="238.15"/>
    <s v="Concluída"/>
    <n v="408.14"/>
    <n v="20.407"/>
    <n v="387.733"/>
    <n v="238.15"/>
    <x v="643"/>
    <n v="2.5920926843291014"/>
  </r>
  <r>
    <x v="9"/>
    <s v="VD-0673"/>
    <d v="2025-10-12T00:00:00"/>
    <x v="4"/>
    <x v="2"/>
    <x v="1"/>
    <x v="5"/>
    <x v="1"/>
    <s v="Teclado Mecânico"/>
    <x v="1"/>
    <n v="409.38"/>
    <n v="0.15"/>
    <n v="230.86"/>
    <s v="Concluída"/>
    <n v="818.76"/>
    <n v="122.81399999999999"/>
    <n v="695.94600000000003"/>
    <n v="461.72"/>
    <x v="644"/>
    <n v="2.9712585280882569"/>
  </r>
  <r>
    <x v="9"/>
    <s v="VD-0693"/>
    <d v="2025-10-12T00:00:00"/>
    <x v="3"/>
    <x v="2"/>
    <x v="3"/>
    <x v="8"/>
    <x v="4"/>
    <s v="Relógio Fit"/>
    <x v="1"/>
    <n v="749.66"/>
    <n v="0.05"/>
    <n v="355.12"/>
    <s v="Concluída"/>
    <n v="1499.32"/>
    <n v="74.965999999999994"/>
    <n v="1424.354"/>
    <n v="710.24"/>
    <x v="645"/>
    <n v="1.994575095853043"/>
  </r>
  <r>
    <x v="9"/>
    <s v="VD-0701"/>
    <d v="2025-10-12T00:00:00"/>
    <x v="0"/>
    <x v="0"/>
    <x v="0"/>
    <x v="4"/>
    <x v="4"/>
    <s v="Relógio Fit"/>
    <x v="0"/>
    <n v="730.47"/>
    <n v="0.15"/>
    <n v="361.89"/>
    <s v="Concluída"/>
    <n v="730.47"/>
    <n v="109.5705"/>
    <n v="620.89949999999999"/>
    <n v="361.89"/>
    <x v="646"/>
    <n v="2.3972074383372037"/>
  </r>
  <r>
    <x v="9"/>
    <s v="VD-0703"/>
    <d v="2025-10-13T00:00:00"/>
    <x v="6"/>
    <x v="0"/>
    <x v="0"/>
    <x v="3"/>
    <x v="2"/>
    <s v="Kit Lençol 4p"/>
    <x v="0"/>
    <n v="301.99"/>
    <n v="0.15"/>
    <n v="132.62"/>
    <s v="Concluída"/>
    <n v="301.99"/>
    <n v="45.298499999999997"/>
    <n v="256.69150000000002"/>
    <n v="132.62"/>
    <x v="647"/>
    <n v="2.0688997876224597"/>
  </r>
  <r>
    <x v="9"/>
    <s v="VD-0705"/>
    <d v="2025-10-13T00:00:00"/>
    <x v="4"/>
    <x v="2"/>
    <x v="1"/>
    <x v="2"/>
    <x v="2"/>
    <s v="Panela Pressão 6L"/>
    <x v="0"/>
    <n v="449.92"/>
    <n v="0.15"/>
    <n v="238.05"/>
    <s v="Concluída"/>
    <n v="449.92"/>
    <n v="67.488"/>
    <n v="382.43200000000002"/>
    <n v="238.05"/>
    <x v="648"/>
    <n v="2.6487512293776234"/>
  </r>
  <r>
    <x v="9"/>
    <s v="VD-0709"/>
    <d v="2025-10-13T00:00:00"/>
    <x v="6"/>
    <x v="0"/>
    <x v="0"/>
    <x v="6"/>
    <x v="1"/>
    <s v="Fone Wave"/>
    <x v="1"/>
    <n v="256.36"/>
    <n v="0.25"/>
    <n v="120.03"/>
    <s v="Concluída"/>
    <n v="512.72"/>
    <n v="128.18"/>
    <n v="384.54"/>
    <n v="240.06"/>
    <x v="649"/>
    <n v="2.6615448504983386"/>
  </r>
  <r>
    <x v="9"/>
    <s v="VD-0713"/>
    <d v="2025-10-13T00:00:00"/>
    <x v="4"/>
    <x v="2"/>
    <x v="1"/>
    <x v="11"/>
    <x v="1"/>
    <s v="Teclado Mecânico"/>
    <x v="0"/>
    <n v="394.63"/>
    <n v="0.05"/>
    <n v="234.89"/>
    <s v="Concluída"/>
    <n v="394.63"/>
    <n v="19.7315"/>
    <n v="374.89850000000001"/>
    <n v="234.89"/>
    <x v="650"/>
    <n v="2.6776838549088087"/>
  </r>
  <r>
    <x v="9"/>
    <s v="VD-0668"/>
    <d v="2025-10-14T00:00:00"/>
    <x v="7"/>
    <x v="3"/>
    <x v="1"/>
    <x v="7"/>
    <x v="2"/>
    <s v="Panela Pressão 6L"/>
    <x v="1"/>
    <n v="483.21"/>
    <n v="0.15"/>
    <n v="271.27999999999997"/>
    <s v="Concluída"/>
    <n v="966.42"/>
    <n v="144.96299999999999"/>
    <n v="821.45699999999999"/>
    <n v="542.55999999999995"/>
    <x v="651"/>
    <n v="2.945377684234681"/>
  </r>
  <r>
    <x v="9"/>
    <s v="VD-0714"/>
    <d v="2025-10-14T00:00:00"/>
    <x v="6"/>
    <x v="0"/>
    <x v="1"/>
    <x v="7"/>
    <x v="0"/>
    <s v="Creme Facial"/>
    <x v="0"/>
    <n v="160.91"/>
    <n v="0.1"/>
    <n v="55.19"/>
    <s v="Concluída"/>
    <n v="160.91"/>
    <n v="16.091000000000001"/>
    <n v="144.81899999999999"/>
    <n v="55.19"/>
    <x v="652"/>
    <n v="1.615760523937565"/>
  </r>
  <r>
    <x v="9"/>
    <s v="VD-0667"/>
    <d v="2025-10-15T00:00:00"/>
    <x v="4"/>
    <x v="2"/>
    <x v="2"/>
    <x v="0"/>
    <x v="1"/>
    <s v="Monitor 27 Ultra"/>
    <x v="1"/>
    <n v="1241.27"/>
    <n v="0.12"/>
    <n v="900.91"/>
    <s v="Concluída"/>
    <n v="2482.54"/>
    <n v="297.90479999999997"/>
    <n v="2184.6352000000002"/>
    <n v="1801.82"/>
    <x v="653"/>
    <n v="5.7067619049609286"/>
  </r>
  <r>
    <x v="9"/>
    <s v="VD-0657"/>
    <d v="2025-10-16T00:00:00"/>
    <x v="0"/>
    <x v="0"/>
    <x v="0"/>
    <x v="1"/>
    <x v="0"/>
    <s v="Balança Smart"/>
    <x v="1"/>
    <n v="250.04"/>
    <n v="0.05"/>
    <n v="108.64"/>
    <s v="Concluída"/>
    <n v="500.08"/>
    <n v="25.004000000000001"/>
    <n v="475.07599999999996"/>
    <n v="217.28"/>
    <x v="654"/>
    <n v="1.8428369718692303"/>
  </r>
  <r>
    <x v="9"/>
    <s v="VD-0658"/>
    <d v="2025-10-16T00:00:00"/>
    <x v="3"/>
    <x v="2"/>
    <x v="1"/>
    <x v="6"/>
    <x v="1"/>
    <s v="Monitor 27 Ultra"/>
    <x v="0"/>
    <n v="1373.19"/>
    <n v="0.05"/>
    <n v="952.5"/>
    <s v="Concluída"/>
    <n v="1373.19"/>
    <n v="68.659500000000008"/>
    <n v="1304.5305000000001"/>
    <n v="952.5"/>
    <x v="655"/>
    <n v="3.7057314636089767"/>
  </r>
  <r>
    <x v="9"/>
    <s v="VD-0661"/>
    <d v="2025-10-16T00:00:00"/>
    <x v="7"/>
    <x v="3"/>
    <x v="1"/>
    <x v="11"/>
    <x v="2"/>
    <s v="Kit Lençol 4p"/>
    <x v="1"/>
    <n v="269.97000000000003"/>
    <n v="0.1"/>
    <n v="115.51"/>
    <s v="Concluída"/>
    <n v="539.94000000000005"/>
    <n v="53.994000000000007"/>
    <n v="485.94600000000003"/>
    <n v="231.02"/>
    <x v="656"/>
    <n v="1.9062237668970603"/>
  </r>
  <r>
    <x v="9"/>
    <s v="VD-0677"/>
    <d v="2025-10-17T00:00:00"/>
    <x v="7"/>
    <x v="3"/>
    <x v="3"/>
    <x v="9"/>
    <x v="2"/>
    <s v="Panela Pressão 6L"/>
    <x v="0"/>
    <n v="433.48"/>
    <n v="0.15"/>
    <n v="230.62"/>
    <s v="Concluída"/>
    <n v="433.48"/>
    <n v="65.022000000000006"/>
    <n v="368.45800000000003"/>
    <n v="230.62"/>
    <x v="657"/>
    <n v="2.6731235218154641"/>
  </r>
  <r>
    <x v="9"/>
    <s v="VD-0691"/>
    <d v="2025-10-17T00:00:00"/>
    <x v="5"/>
    <x v="1"/>
    <x v="3"/>
    <x v="11"/>
    <x v="4"/>
    <s v="Relógio Fit"/>
    <x v="0"/>
    <n v="716.12"/>
    <n v="0.2"/>
    <n v="338.17"/>
    <s v="Concluída"/>
    <n v="716.12"/>
    <n v="143.22400000000002"/>
    <n v="572.89599999999996"/>
    <n v="338.17"/>
    <x v="658"/>
    <n v="2.4407010727401315"/>
  </r>
  <r>
    <x v="9"/>
    <s v="VD-0736"/>
    <d v="2025-10-17T00:00:00"/>
    <x v="5"/>
    <x v="1"/>
    <x v="1"/>
    <x v="11"/>
    <x v="1"/>
    <s v="Monitor 27 Ultra"/>
    <x v="0"/>
    <n v="1320.7"/>
    <n v="0.15"/>
    <n v="899.8"/>
    <s v="Concluída"/>
    <n v="1320.7"/>
    <n v="198.10499999999999"/>
    <n v="1122.595"/>
    <n v="899.8"/>
    <x v="659"/>
    <n v="5.0386902758140879"/>
  </r>
  <r>
    <x v="9"/>
    <s v="VD-0663"/>
    <d v="2025-10-18T00:00:00"/>
    <x v="7"/>
    <x v="3"/>
    <x v="1"/>
    <x v="3"/>
    <x v="2"/>
    <s v="Air Fryer 5L"/>
    <x v="0"/>
    <n v="738.36"/>
    <n v="0.1"/>
    <n v="415.05"/>
    <s v="Concluída"/>
    <n v="738.36"/>
    <n v="73.835999999999999"/>
    <n v="664.524"/>
    <n v="415.05"/>
    <x v="660"/>
    <n v="2.663700425695664"/>
  </r>
  <r>
    <x v="9"/>
    <s v="VD-0706"/>
    <d v="2025-10-18T00:00:00"/>
    <x v="1"/>
    <x v="0"/>
    <x v="0"/>
    <x v="2"/>
    <x v="4"/>
    <s v="Relógio Fit"/>
    <x v="0"/>
    <n v="731.76"/>
    <n v="0.25"/>
    <n v="341.66"/>
    <s v="Concluída"/>
    <n v="731.76"/>
    <n v="182.94"/>
    <n v="548.81999999999994"/>
    <n v="341.66"/>
    <x v="661"/>
    <n v="2.6492566132458011"/>
  </r>
  <r>
    <x v="9"/>
    <s v="VD-0672"/>
    <d v="2025-10-19T00:00:00"/>
    <x v="7"/>
    <x v="3"/>
    <x v="1"/>
    <x v="3"/>
    <x v="2"/>
    <s v="Tapete Sala"/>
    <x v="1"/>
    <n v="517.78"/>
    <n v="0.15"/>
    <n v="265.12"/>
    <s v="Concluída"/>
    <n v="1035.56"/>
    <n v="155.33399999999997"/>
    <n v="880.226"/>
    <n v="530.24"/>
    <x v="662"/>
    <n v="2.5150320298526228"/>
  </r>
  <r>
    <x v="9"/>
    <s v="VD-0683"/>
    <d v="2025-10-19T00:00:00"/>
    <x v="5"/>
    <x v="1"/>
    <x v="1"/>
    <x v="11"/>
    <x v="2"/>
    <s v="Panela Pressão 6L"/>
    <x v="0"/>
    <n v="450.7"/>
    <n v="0.1"/>
    <n v="239.03"/>
    <s v="Concluída"/>
    <n v="450.7"/>
    <n v="45.07"/>
    <n v="405.63"/>
    <n v="239.03"/>
    <x v="663"/>
    <n v="2.4347539015606241"/>
  </r>
  <r>
    <x v="9"/>
    <s v="VD-0700"/>
    <d v="2025-10-19T00:00:00"/>
    <x v="4"/>
    <x v="2"/>
    <x v="1"/>
    <x v="10"/>
    <x v="1"/>
    <s v="Mouse Pro"/>
    <x v="1"/>
    <n v="177.61"/>
    <n v="0"/>
    <n v="82.38"/>
    <s v="Concluída"/>
    <n v="355.22"/>
    <n v="0"/>
    <n v="355.22"/>
    <n v="164.76"/>
    <x v="664"/>
    <n v="1.8650635304000838"/>
  </r>
  <r>
    <x v="9"/>
    <s v="VD-0732"/>
    <d v="2025-10-19T00:00:00"/>
    <x v="3"/>
    <x v="2"/>
    <x v="1"/>
    <x v="4"/>
    <x v="2"/>
    <s v="Kit Lençol 4p"/>
    <x v="0"/>
    <n v="306.25"/>
    <n v="0.15"/>
    <n v="135.21"/>
    <s v="Concluída"/>
    <n v="306.25"/>
    <n v="45.9375"/>
    <n v="260.3125"/>
    <n v="135.21"/>
    <x v="665"/>
    <n v="2.0807937491257169"/>
  </r>
  <r>
    <x v="9"/>
    <s v="VD-0671"/>
    <d v="2025-10-20T00:00:00"/>
    <x v="0"/>
    <x v="0"/>
    <x v="3"/>
    <x v="7"/>
    <x v="2"/>
    <s v="Panela Pressão 6L"/>
    <x v="0"/>
    <n v="456.69"/>
    <n v="0.05"/>
    <n v="253.31"/>
    <s v="Concluída"/>
    <n v="456.69"/>
    <n v="22.834500000000002"/>
    <n v="433.85550000000001"/>
    <n v="253.31"/>
    <x v="666"/>
    <n v="2.4030258300539198"/>
  </r>
  <r>
    <x v="9"/>
    <s v="VD-0678"/>
    <d v="2025-10-20T00:00:00"/>
    <x v="0"/>
    <x v="0"/>
    <x v="1"/>
    <x v="3"/>
    <x v="2"/>
    <s v="Cadeira Escritório"/>
    <x v="0"/>
    <n v="1109.94"/>
    <n v="0"/>
    <n v="786.56"/>
    <s v="Concluída"/>
    <n v="1109.94"/>
    <n v="0"/>
    <n v="1109.94"/>
    <n v="786.56"/>
    <x v="667"/>
    <n v="3.4323087389448936"/>
  </r>
  <r>
    <x v="9"/>
    <s v="VD-0694"/>
    <d v="2025-10-20T00:00:00"/>
    <x v="0"/>
    <x v="0"/>
    <x v="3"/>
    <x v="3"/>
    <x v="4"/>
    <s v="Mochila Urban"/>
    <x v="1"/>
    <n v="313.64"/>
    <n v="0.1"/>
    <n v="143.72999999999999"/>
    <s v="Concluída"/>
    <n v="627.28"/>
    <n v="62.728000000000002"/>
    <n v="564.55200000000002"/>
    <n v="287.45999999999998"/>
    <x v="668"/>
    <n v="2.0374171755229309"/>
  </r>
  <r>
    <x v="9"/>
    <s v="VD-0722"/>
    <d v="2025-10-20T00:00:00"/>
    <x v="5"/>
    <x v="1"/>
    <x v="3"/>
    <x v="6"/>
    <x v="4"/>
    <s v="Relógio Fit"/>
    <x v="2"/>
    <n v="738.31"/>
    <n v="0.15"/>
    <n v="356.77"/>
    <s v="Concluída"/>
    <n v="2214.9299999999998"/>
    <n v="332.23949999999996"/>
    <n v="1882.6904999999999"/>
    <n v="1070.31"/>
    <x v="669"/>
    <n v="2.3174983889938274"/>
  </r>
  <r>
    <x v="9"/>
    <s v="VD-0733"/>
    <d v="2025-10-20T00:00:00"/>
    <x v="6"/>
    <x v="0"/>
    <x v="3"/>
    <x v="3"/>
    <x v="1"/>
    <s v="Monitor 27 Ultra"/>
    <x v="2"/>
    <n v="1254.8900000000001"/>
    <n v="0.1"/>
    <n v="868.02"/>
    <s v="Concluída"/>
    <n v="3764.67"/>
    <n v="376.46700000000004"/>
    <n v="3388.203"/>
    <n v="2604.06"/>
    <x v="670"/>
    <n v="4.3208993767718384"/>
  </r>
  <r>
    <x v="9"/>
    <s v="VD-0654"/>
    <d v="2025-10-21T00:00:00"/>
    <x v="0"/>
    <x v="0"/>
    <x v="1"/>
    <x v="4"/>
    <x v="4"/>
    <s v="Mochila Urban"/>
    <x v="0"/>
    <n v="294.37"/>
    <n v="0.05"/>
    <n v="138.16999999999999"/>
    <s v="Concluída"/>
    <n v="294.37"/>
    <n v="14.718500000000001"/>
    <n v="279.6515"/>
    <n v="138.16999999999999"/>
    <x v="671"/>
    <n v="1.9765941130112417"/>
  </r>
  <r>
    <x v="9"/>
    <s v="VD-0656"/>
    <d v="2025-10-21T00:00:00"/>
    <x v="3"/>
    <x v="2"/>
    <x v="3"/>
    <x v="5"/>
    <x v="3"/>
    <s v="Colchonete Pro"/>
    <x v="0"/>
    <n v="147.43"/>
    <n v="0.2"/>
    <n v="59.3"/>
    <s v="Concluída"/>
    <n v="147.43"/>
    <n v="29.486000000000004"/>
    <n v="117.944"/>
    <n v="59.3"/>
    <x v="672"/>
    <n v="2.0111861400995839"/>
  </r>
  <r>
    <x v="9"/>
    <s v="VD-0659"/>
    <d v="2025-10-22T00:00:00"/>
    <x v="7"/>
    <x v="3"/>
    <x v="1"/>
    <x v="8"/>
    <x v="0"/>
    <s v="Secador Pro"/>
    <x v="1"/>
    <n v="397.1"/>
    <n v="0"/>
    <n v="212.62"/>
    <s v="Concluída"/>
    <n v="794.2"/>
    <n v="0"/>
    <n v="794.2"/>
    <n v="425.24"/>
    <x v="673"/>
    <n v="2.1525368603642669"/>
  </r>
  <r>
    <x v="9"/>
    <s v="VD-0695"/>
    <d v="2025-10-22T00:00:00"/>
    <x v="4"/>
    <x v="2"/>
    <x v="1"/>
    <x v="8"/>
    <x v="1"/>
    <s v="Notebook Nova 14"/>
    <x v="0"/>
    <n v="3895.19"/>
    <n v="0.1"/>
    <n v="3050.38"/>
    <s v="Concluída"/>
    <n v="3895.19"/>
    <n v="389.51900000000001"/>
    <n v="3505.6710000000003"/>
    <n v="3050.38"/>
    <x v="674"/>
    <n v="7.6998469110964178"/>
  </r>
  <r>
    <x v="9"/>
    <s v="VD-0685"/>
    <d v="2025-10-23T00:00:00"/>
    <x v="6"/>
    <x v="0"/>
    <x v="0"/>
    <x v="1"/>
    <x v="1"/>
    <s v="Mouse Pro"/>
    <x v="0"/>
    <n v="177.44"/>
    <n v="0.25"/>
    <n v="81.41"/>
    <s v="Concluída"/>
    <n v="177.44"/>
    <n v="44.36"/>
    <n v="133.07999999999998"/>
    <n v="81.41"/>
    <x v="675"/>
    <n v="2.5755757693052064"/>
  </r>
  <r>
    <x v="9"/>
    <s v="VD-0687"/>
    <d v="2025-10-23T00:00:00"/>
    <x v="1"/>
    <x v="0"/>
    <x v="1"/>
    <x v="4"/>
    <x v="3"/>
    <s v="Esteira Compacta"/>
    <x v="0"/>
    <n v="2887.89"/>
    <n v="0"/>
    <n v="1968.79"/>
    <s v="Concluída"/>
    <n v="2887.89"/>
    <n v="0"/>
    <n v="2887.89"/>
    <n v="1968.79"/>
    <x v="676"/>
    <n v="3.1420846480252425"/>
  </r>
  <r>
    <x v="9"/>
    <s v="VD-0704"/>
    <d v="2025-10-23T00:00:00"/>
    <x v="7"/>
    <x v="3"/>
    <x v="1"/>
    <x v="0"/>
    <x v="4"/>
    <s v="Mochila Urban"/>
    <x v="0"/>
    <n v="332.77"/>
    <n v="0.05"/>
    <n v="155.77000000000001"/>
    <s v="Concluída"/>
    <n v="332.77"/>
    <n v="16.638500000000001"/>
    <n v="316.13149999999996"/>
    <n v="155.77000000000001"/>
    <x v="677"/>
    <n v="1.9713678158410843"/>
  </r>
  <r>
    <x v="9"/>
    <s v="VD-0710"/>
    <d v="2025-10-23T00:00:00"/>
    <x v="0"/>
    <x v="0"/>
    <x v="0"/>
    <x v="3"/>
    <x v="0"/>
    <s v="Creme Facial"/>
    <x v="0"/>
    <n v="143.84"/>
    <n v="0.05"/>
    <n v="52.05"/>
    <s v="Concluída"/>
    <n v="143.84"/>
    <n v="7.1920000000000002"/>
    <n v="136.648"/>
    <n v="52.05"/>
    <x v="678"/>
    <n v="1.6152627721695547"/>
  </r>
  <r>
    <x v="9"/>
    <s v="VD-0728"/>
    <d v="2025-10-23T00:00:00"/>
    <x v="6"/>
    <x v="0"/>
    <x v="1"/>
    <x v="1"/>
    <x v="4"/>
    <s v="Óculos Sol"/>
    <x v="1"/>
    <n v="360.23"/>
    <n v="0.1"/>
    <n v="156.88999999999999"/>
    <s v="Concluída"/>
    <n v="720.46"/>
    <n v="72.046000000000006"/>
    <n v="648.41399999999999"/>
    <n v="313.77999999999997"/>
    <x v="679"/>
    <n v="1.9376811680821433"/>
  </r>
  <r>
    <x v="9"/>
    <s v="VD-0735"/>
    <d v="2025-10-23T00:00:00"/>
    <x v="2"/>
    <x v="1"/>
    <x v="3"/>
    <x v="0"/>
    <x v="1"/>
    <s v="Notebook Nova 14"/>
    <x v="0"/>
    <n v="4153.75"/>
    <n v="0.2"/>
    <n v="3230.4"/>
    <s v="Concluída"/>
    <n v="4153.75"/>
    <n v="830.75"/>
    <n v="3323"/>
    <n v="3230.4"/>
    <x v="680"/>
    <n v="35.88552915766742"/>
  </r>
  <r>
    <x v="9"/>
    <s v="VD-0670"/>
    <d v="2025-10-24T00:00:00"/>
    <x v="4"/>
    <x v="2"/>
    <x v="0"/>
    <x v="4"/>
    <x v="1"/>
    <s v="Mouse Pro"/>
    <x v="1"/>
    <n v="175.11"/>
    <n v="0.15"/>
    <n v="81.67"/>
    <s v="Concluída"/>
    <n v="350.22"/>
    <n v="52.533000000000001"/>
    <n v="297.68700000000001"/>
    <n v="163.34"/>
    <x v="681"/>
    <n v="2.2158068285856771"/>
  </r>
  <r>
    <x v="9"/>
    <s v="VD-0679"/>
    <d v="2025-10-24T00:00:00"/>
    <x v="7"/>
    <x v="3"/>
    <x v="1"/>
    <x v="11"/>
    <x v="1"/>
    <s v="Fone Wave"/>
    <x v="1"/>
    <n v="248.8"/>
    <n v="0.15"/>
    <n v="120.69"/>
    <s v="Concluída"/>
    <n v="497.6"/>
    <n v="74.64"/>
    <n v="422.96000000000004"/>
    <n v="241.38"/>
    <x v="682"/>
    <n v="2.3293314241656566"/>
  </r>
  <r>
    <x v="9"/>
    <s v="VD-0698"/>
    <d v="2025-10-24T00:00:00"/>
    <x v="7"/>
    <x v="3"/>
    <x v="3"/>
    <x v="2"/>
    <x v="2"/>
    <s v="Tapete Sala"/>
    <x v="0"/>
    <n v="501.6"/>
    <n v="0.05"/>
    <n v="259.26"/>
    <s v="Concluída"/>
    <n v="501.6"/>
    <n v="25.080000000000002"/>
    <n v="476.52000000000004"/>
    <n v="259.26"/>
    <x v="683"/>
    <n v="2.1933167633250479"/>
  </r>
  <r>
    <x v="9"/>
    <s v="VD-0711"/>
    <d v="2025-10-24T00:00:00"/>
    <x v="0"/>
    <x v="0"/>
    <x v="3"/>
    <x v="4"/>
    <x v="3"/>
    <s v="Halteres 10kg"/>
    <x v="0"/>
    <n v="387.09"/>
    <n v="0.15"/>
    <n v="209.63"/>
    <s v="Concluída"/>
    <n v="387.09"/>
    <n v="58.063499999999991"/>
    <n v="329.0265"/>
    <n v="209.63"/>
    <x v="684"/>
    <n v="2.7557466089877005"/>
  </r>
  <r>
    <x v="9"/>
    <s v="VD-0726"/>
    <d v="2025-10-24T00:00:00"/>
    <x v="5"/>
    <x v="1"/>
    <x v="1"/>
    <x v="3"/>
    <x v="3"/>
    <s v="Esteira Compacta"/>
    <x v="0"/>
    <n v="2881.14"/>
    <n v="0.08"/>
    <n v="2007.92"/>
    <s v="Concluída"/>
    <n v="2881.14"/>
    <n v="230.49119999999999"/>
    <n v="2650.6487999999999"/>
    <n v="2007.92"/>
    <x v="685"/>
    <n v="4.1240548112983273"/>
  </r>
  <r>
    <x v="9"/>
    <s v="VD-0727"/>
    <d v="2025-10-24T00:00:00"/>
    <x v="5"/>
    <x v="1"/>
    <x v="3"/>
    <x v="10"/>
    <x v="1"/>
    <s v="Teclado Mecânico"/>
    <x v="0"/>
    <n v="418.63"/>
    <n v="0.05"/>
    <n v="234.79"/>
    <s v="Concluída"/>
    <n v="418.63"/>
    <n v="20.9315"/>
    <n v="397.69849999999997"/>
    <n v="234.79"/>
    <x v="686"/>
    <n v="2.441238486635136"/>
  </r>
  <r>
    <x v="9"/>
    <s v="VD-0676"/>
    <d v="2025-10-25T00:00:00"/>
    <x v="1"/>
    <x v="0"/>
    <x v="0"/>
    <x v="9"/>
    <x v="4"/>
    <s v="Relógio Fit"/>
    <x v="0"/>
    <n v="748.68"/>
    <n v="0.15"/>
    <n v="365.83"/>
    <s v="Concluída"/>
    <n v="748.68"/>
    <n v="112.30199999999999"/>
    <n v="636.37799999999993"/>
    <n v="365.83"/>
    <x v="687"/>
    <n v="2.3521814982923548"/>
  </r>
  <r>
    <x v="9"/>
    <s v="VD-0697"/>
    <d v="2025-10-25T00:00:00"/>
    <x v="5"/>
    <x v="1"/>
    <x v="0"/>
    <x v="5"/>
    <x v="0"/>
    <s v="Creme Facial"/>
    <x v="0"/>
    <n v="140.74"/>
    <n v="0.25"/>
    <n v="50.1"/>
    <s v="Concluída"/>
    <n v="140.74"/>
    <n v="35.185000000000002"/>
    <n v="105.55500000000001"/>
    <n v="50.1"/>
    <x v="688"/>
    <n v="1.9034352177441167"/>
  </r>
  <r>
    <x v="9"/>
    <s v="VD-0666"/>
    <d v="2025-10-26T00:00:00"/>
    <x v="3"/>
    <x v="2"/>
    <x v="3"/>
    <x v="5"/>
    <x v="4"/>
    <s v="Mochila Urban"/>
    <x v="1"/>
    <n v="320.75"/>
    <n v="0.03"/>
    <n v="144.28"/>
    <s v="Concluída"/>
    <n v="641.5"/>
    <n v="19.245000000000001"/>
    <n v="622.255"/>
    <n v="288.56"/>
    <x v="689"/>
    <n v="1.8647417551956127"/>
  </r>
  <r>
    <x v="9"/>
    <s v="VD-0688"/>
    <d v="2025-10-27T00:00:00"/>
    <x v="4"/>
    <x v="2"/>
    <x v="1"/>
    <x v="1"/>
    <x v="3"/>
    <s v="Halteres 10kg"/>
    <x v="0"/>
    <n v="363.81"/>
    <n v="0.1"/>
    <n v="196.07"/>
    <s v="Concluída"/>
    <n v="363.81"/>
    <n v="36.381"/>
    <n v="327.42899999999997"/>
    <n v="196.07"/>
    <x v="690"/>
    <n v="2.492627075419271"/>
  </r>
  <r>
    <x v="9"/>
    <s v="VD-0692"/>
    <d v="2025-10-27T00:00:00"/>
    <x v="7"/>
    <x v="3"/>
    <x v="3"/>
    <x v="0"/>
    <x v="0"/>
    <s v="Secador Pro"/>
    <x v="1"/>
    <n v="439.27"/>
    <n v="0.1"/>
    <n v="249.73"/>
    <s v="Concluída"/>
    <n v="878.54"/>
    <n v="87.853999999999999"/>
    <n v="790.68599999999992"/>
    <n v="499.46"/>
    <x v="691"/>
    <n v="2.715025444156772"/>
  </r>
  <r>
    <x v="9"/>
    <s v="VD-0696"/>
    <d v="2025-10-27T00:00:00"/>
    <x v="2"/>
    <x v="1"/>
    <x v="2"/>
    <x v="7"/>
    <x v="1"/>
    <s v="Notebook Nova 14"/>
    <x v="0"/>
    <n v="3589.55"/>
    <n v="0.12"/>
    <n v="2737.61"/>
    <s v="Concluída"/>
    <n v="3589.55"/>
    <n v="430.74599999999998"/>
    <n v="3158.8040000000001"/>
    <n v="2737.61"/>
    <x v="692"/>
    <n v="7.4996414953679311"/>
  </r>
  <r>
    <x v="9"/>
    <s v="VD-0708"/>
    <d v="2025-10-27T00:00:00"/>
    <x v="3"/>
    <x v="2"/>
    <x v="1"/>
    <x v="2"/>
    <x v="3"/>
    <s v="Bike Urbana"/>
    <x v="0"/>
    <n v="2342.2199999999998"/>
    <n v="0.1"/>
    <n v="1612.76"/>
    <s v="Concluída"/>
    <n v="2342.2199999999998"/>
    <n v="234.22199999999998"/>
    <n v="2107.9979999999996"/>
    <n v="1612.76"/>
    <x v="693"/>
    <n v="4.2565352416413953"/>
  </r>
  <r>
    <x v="9"/>
    <s v="VD-0718"/>
    <d v="2025-10-27T00:00:00"/>
    <x v="2"/>
    <x v="1"/>
    <x v="2"/>
    <x v="9"/>
    <x v="2"/>
    <s v="Cadeira Escritório"/>
    <x v="0"/>
    <n v="1150.3800000000001"/>
    <n v="0.12"/>
    <n v="828.7"/>
    <s v="Concluída"/>
    <n v="1150.3800000000001"/>
    <n v="138.04560000000001"/>
    <n v="1012.3344000000001"/>
    <n v="828.7"/>
    <x v="694"/>
    <n v="5.5127710276505919"/>
  </r>
  <r>
    <x v="9"/>
    <s v="VD-0725"/>
    <d v="2025-10-27T00:00:00"/>
    <x v="4"/>
    <x v="2"/>
    <x v="1"/>
    <x v="11"/>
    <x v="4"/>
    <s v="Óculos Sol"/>
    <x v="0"/>
    <n v="380.91"/>
    <n v="0"/>
    <n v="164.21"/>
    <s v="Concluída"/>
    <n v="380.91"/>
    <n v="0"/>
    <n v="380.91"/>
    <n v="164.21"/>
    <x v="695"/>
    <n v="1.7577757268112597"/>
  </r>
  <r>
    <x v="9"/>
    <s v="VD-0660"/>
    <d v="2025-10-28T00:00:00"/>
    <x v="5"/>
    <x v="1"/>
    <x v="0"/>
    <x v="0"/>
    <x v="1"/>
    <s v="Mouse Pro"/>
    <x v="0"/>
    <n v="200.52"/>
    <n v="0.05"/>
    <n v="95.18"/>
    <s v="Concluída"/>
    <n v="200.52"/>
    <n v="10.026000000000002"/>
    <n v="190.494"/>
    <n v="95.18"/>
    <x v="696"/>
    <n v="1.9985941204859727"/>
  </r>
  <r>
    <x v="9"/>
    <s v="VD-0737"/>
    <d v="2025-10-28T00:00:00"/>
    <x v="0"/>
    <x v="0"/>
    <x v="1"/>
    <x v="6"/>
    <x v="2"/>
    <s v="Panela Pressão 6L"/>
    <x v="0"/>
    <n v="438.7"/>
    <n v="0.05"/>
    <n v="246.34"/>
    <s v="Concluída"/>
    <n v="438.7"/>
    <n v="21.935000000000002"/>
    <n v="416.76499999999999"/>
    <n v="246.34"/>
    <x v="697"/>
    <n v="2.4454452105031539"/>
  </r>
  <r>
    <x v="10"/>
    <s v="VD-0803"/>
    <d v="2025-11-01T00:00:00"/>
    <x v="6"/>
    <x v="0"/>
    <x v="0"/>
    <x v="7"/>
    <x v="0"/>
    <s v="Balança Smart"/>
    <x v="1"/>
    <n v="230.97"/>
    <n v="0.1"/>
    <n v="98.94"/>
    <s v="Concluída"/>
    <n v="461.94"/>
    <n v="46.194000000000003"/>
    <n v="415.74599999999998"/>
    <n v="197.88"/>
    <x v="698"/>
    <n v="1.9082647131723169"/>
  </r>
  <r>
    <x v="10"/>
    <s v="VD-0832"/>
    <d v="2025-11-01T00:00:00"/>
    <x v="3"/>
    <x v="2"/>
    <x v="2"/>
    <x v="11"/>
    <x v="0"/>
    <s v="Creme Facial"/>
    <x v="0"/>
    <n v="137.09"/>
    <n v="0.1"/>
    <n v="49.55"/>
    <s v="Concluída"/>
    <n v="137.09"/>
    <n v="13.709000000000001"/>
    <n v="123.381"/>
    <n v="49.55"/>
    <x v="699"/>
    <n v="1.6711273042488928"/>
  </r>
  <r>
    <x v="10"/>
    <s v="VD-0740"/>
    <d v="2025-11-02T00:00:00"/>
    <x v="7"/>
    <x v="3"/>
    <x v="0"/>
    <x v="6"/>
    <x v="4"/>
    <s v="Mochila Urban"/>
    <x v="0"/>
    <n v="302.51"/>
    <n v="0.1"/>
    <n v="135.87"/>
    <s v="Concluída"/>
    <n v="302.51"/>
    <n v="30.251000000000001"/>
    <n v="272.25900000000001"/>
    <n v="135.87"/>
    <x v="700"/>
    <n v="1.996194707784352"/>
  </r>
  <r>
    <x v="10"/>
    <s v="VD-0753"/>
    <d v="2025-11-02T00:00:00"/>
    <x v="6"/>
    <x v="0"/>
    <x v="1"/>
    <x v="7"/>
    <x v="1"/>
    <s v="Teclado Mecânico"/>
    <x v="1"/>
    <n v="445.56"/>
    <n v="0.1"/>
    <n v="257.72000000000003"/>
    <s v="Concluída"/>
    <n v="891.12"/>
    <n v="89.112000000000009"/>
    <n v="802.00800000000004"/>
    <n v="515.44000000000005"/>
    <x v="701"/>
    <n v="2.7986655872253707"/>
  </r>
  <r>
    <x v="10"/>
    <s v="VD-0778"/>
    <d v="2025-11-02T00:00:00"/>
    <x v="5"/>
    <x v="1"/>
    <x v="1"/>
    <x v="2"/>
    <x v="0"/>
    <s v="Creme Facial"/>
    <x v="0"/>
    <n v="159.09"/>
    <n v="0.05"/>
    <n v="53.65"/>
    <s v="Concluída"/>
    <n v="159.09"/>
    <n v="7.9545000000000003"/>
    <n v="151.13550000000001"/>
    <n v="53.65"/>
    <x v="702"/>
    <n v="1.5503382554328593"/>
  </r>
  <r>
    <x v="10"/>
    <s v="VD-0835"/>
    <d v="2025-11-02T00:00:00"/>
    <x v="0"/>
    <x v="0"/>
    <x v="3"/>
    <x v="4"/>
    <x v="3"/>
    <s v="Halteres 10kg"/>
    <x v="0"/>
    <n v="335.68"/>
    <n v="0.1"/>
    <n v="181.18"/>
    <s v="Concluída"/>
    <n v="335.68"/>
    <n v="33.568000000000005"/>
    <n v="302.11200000000002"/>
    <n v="181.18"/>
    <x v="703"/>
    <n v="2.4981973340389638"/>
  </r>
  <r>
    <x v="10"/>
    <s v="VD-0747"/>
    <d v="2025-11-03T00:00:00"/>
    <x v="5"/>
    <x v="1"/>
    <x v="1"/>
    <x v="9"/>
    <x v="0"/>
    <s v="Secador Pro"/>
    <x v="0"/>
    <n v="409.16"/>
    <n v="0.08"/>
    <n v="218.63"/>
    <s v="Concluída"/>
    <n v="409.16"/>
    <n v="32.732800000000005"/>
    <n v="376.42720000000003"/>
    <n v="218.63"/>
    <x v="704"/>
    <n v="2.3855125439488152"/>
  </r>
  <r>
    <x v="10"/>
    <s v="VD-0754"/>
    <d v="2025-11-03T00:00:00"/>
    <x v="2"/>
    <x v="1"/>
    <x v="0"/>
    <x v="1"/>
    <x v="2"/>
    <s v="Air Fryer 5L"/>
    <x v="2"/>
    <n v="738.99"/>
    <n v="0.1"/>
    <n v="412"/>
    <s v="Concluída"/>
    <n v="2216.9700000000003"/>
    <n v="221.69700000000003"/>
    <n v="1995.2730000000001"/>
    <n v="1236"/>
    <x v="705"/>
    <n v="2.627872978493901"/>
  </r>
  <r>
    <x v="10"/>
    <s v="VD-0780"/>
    <d v="2025-11-03T00:00:00"/>
    <x v="5"/>
    <x v="1"/>
    <x v="3"/>
    <x v="5"/>
    <x v="1"/>
    <s v="Notebook Nova 14"/>
    <x v="1"/>
    <n v="3586.78"/>
    <n v="0.2"/>
    <n v="2882.13"/>
    <s v="Concluída"/>
    <n v="7173.56"/>
    <n v="1434.7120000000002"/>
    <n v="5738.848"/>
    <n v="5764.26"/>
    <x v="706"/>
    <n v="-225.83220525735641"/>
  </r>
  <r>
    <x v="10"/>
    <s v="VD-0842"/>
    <d v="2025-11-03T00:00:00"/>
    <x v="6"/>
    <x v="0"/>
    <x v="0"/>
    <x v="8"/>
    <x v="1"/>
    <s v="Notebook Nova 14"/>
    <x v="0"/>
    <n v="3932.42"/>
    <n v="0.15"/>
    <n v="3045.15"/>
    <s v="Concluída"/>
    <n v="3932.42"/>
    <n v="589.86299999999994"/>
    <n v="3342.5570000000002"/>
    <n v="3045.15"/>
    <x v="707"/>
    <n v="11.238999082065986"/>
  </r>
  <r>
    <x v="10"/>
    <s v="VD-0843"/>
    <d v="2025-11-03T00:00:00"/>
    <x v="7"/>
    <x v="3"/>
    <x v="1"/>
    <x v="6"/>
    <x v="2"/>
    <s v="Air Fryer 5L"/>
    <x v="0"/>
    <n v="712.4"/>
    <n v="0.125"/>
    <n v="417.93"/>
    <s v="Concluída"/>
    <n v="712.4"/>
    <n v="89.05"/>
    <n v="623.35"/>
    <n v="417.93"/>
    <x v="708"/>
    <n v="3.0345146529062408"/>
  </r>
  <r>
    <x v="10"/>
    <s v="VD-0738"/>
    <d v="2025-11-04T00:00:00"/>
    <x v="0"/>
    <x v="0"/>
    <x v="3"/>
    <x v="5"/>
    <x v="4"/>
    <s v="Óculos Sol"/>
    <x v="0"/>
    <n v="360.84"/>
    <n v="0.1"/>
    <n v="153.52000000000001"/>
    <s v="Concluída"/>
    <n v="360.84"/>
    <n v="36.083999999999996"/>
    <n v="324.75599999999997"/>
    <n v="153.52000000000001"/>
    <x v="709"/>
    <n v="1.8965404471022451"/>
  </r>
  <r>
    <x v="10"/>
    <s v="VD-0755"/>
    <d v="2025-11-04T00:00:00"/>
    <x v="3"/>
    <x v="2"/>
    <x v="0"/>
    <x v="0"/>
    <x v="4"/>
    <s v="Relógio Fit"/>
    <x v="0"/>
    <n v="661.03"/>
    <n v="0.2"/>
    <n v="316.70999999999998"/>
    <s v="Concluída"/>
    <n v="661.03"/>
    <n v="132.20599999999999"/>
    <n v="528.82399999999996"/>
    <n v="316.70999999999998"/>
    <x v="710"/>
    <n v="2.4931121943860379"/>
  </r>
  <r>
    <x v="10"/>
    <s v="VD-0758"/>
    <d v="2025-11-04T00:00:00"/>
    <x v="1"/>
    <x v="0"/>
    <x v="1"/>
    <x v="9"/>
    <x v="2"/>
    <s v="Air Fryer 5L"/>
    <x v="0"/>
    <n v="679.6"/>
    <n v="2.5000000000000001E-2"/>
    <n v="397.56"/>
    <s v="Concluída"/>
    <n v="679.6"/>
    <n v="16.990000000000002"/>
    <n v="662.61"/>
    <n v="397.56"/>
    <x v="711"/>
    <n v="2.4999434069043578"/>
  </r>
  <r>
    <x v="10"/>
    <s v="VD-0762"/>
    <d v="2025-11-04T00:00:00"/>
    <x v="4"/>
    <x v="2"/>
    <x v="2"/>
    <x v="0"/>
    <x v="2"/>
    <s v="Kit Lençol 4p"/>
    <x v="2"/>
    <n v="271.31"/>
    <n v="0"/>
    <n v="122.13"/>
    <s v="Concluída"/>
    <n v="813.93000000000006"/>
    <n v="0"/>
    <n v="813.93000000000006"/>
    <n v="366.39"/>
    <x v="712"/>
    <n v="1.818675425660276"/>
  </r>
  <r>
    <x v="10"/>
    <s v="VD-0806"/>
    <d v="2025-11-04T00:00:00"/>
    <x v="5"/>
    <x v="1"/>
    <x v="3"/>
    <x v="9"/>
    <x v="4"/>
    <s v="Mochila Urban"/>
    <x v="0"/>
    <n v="324.04000000000002"/>
    <n v="0.1"/>
    <n v="150.87"/>
    <s v="Concluída"/>
    <n v="324.04000000000002"/>
    <n v="32.404000000000003"/>
    <n v="291.63600000000002"/>
    <n v="150.87"/>
    <x v="713"/>
    <n v="2.0717786965602487"/>
  </r>
  <r>
    <x v="10"/>
    <s v="VD-0833"/>
    <d v="2025-11-04T00:00:00"/>
    <x v="2"/>
    <x v="1"/>
    <x v="1"/>
    <x v="0"/>
    <x v="2"/>
    <s v="Tapete Sala"/>
    <x v="0"/>
    <n v="490.77"/>
    <n v="0"/>
    <n v="262.58999999999997"/>
    <s v="Concluída"/>
    <n v="490.77"/>
    <n v="0"/>
    <n v="490.77"/>
    <n v="262.58999999999997"/>
    <x v="714"/>
    <n v="2.1508019984222981"/>
  </r>
  <r>
    <x v="10"/>
    <s v="VD-0841"/>
    <d v="2025-11-04T00:00:00"/>
    <x v="6"/>
    <x v="0"/>
    <x v="1"/>
    <x v="7"/>
    <x v="1"/>
    <s v="Mouse Pro"/>
    <x v="0"/>
    <n v="191.39"/>
    <n v="0.05"/>
    <n v="86.55"/>
    <s v="Concluída"/>
    <n v="191.39"/>
    <n v="9.5694999999999997"/>
    <n v="181.82049999999998"/>
    <n v="86.55"/>
    <x v="715"/>
    <n v="1.9084658944794035"/>
  </r>
  <r>
    <x v="10"/>
    <s v="VD-0741"/>
    <d v="2025-11-05T00:00:00"/>
    <x v="3"/>
    <x v="2"/>
    <x v="1"/>
    <x v="2"/>
    <x v="1"/>
    <s v="Teclado Mecânico"/>
    <x v="0"/>
    <n v="452.43"/>
    <n v="0.05"/>
    <n v="267.51"/>
    <s v="Concluída"/>
    <n v="452.43"/>
    <n v="22.621500000000001"/>
    <n v="429.80849999999998"/>
    <n v="267.51"/>
    <x v="716"/>
    <n v="2.6482592260556936"/>
  </r>
  <r>
    <x v="10"/>
    <s v="VD-0744"/>
    <d v="2025-11-05T00:00:00"/>
    <x v="5"/>
    <x v="1"/>
    <x v="3"/>
    <x v="9"/>
    <x v="4"/>
    <s v="Mochila Urban"/>
    <x v="0"/>
    <n v="321.86"/>
    <n v="0.05"/>
    <n v="152.81"/>
    <s v="Concluída"/>
    <n v="321.86"/>
    <n v="16.093"/>
    <n v="305.767"/>
    <n v="152.81"/>
    <x v="717"/>
    <n v="1.9990389455860145"/>
  </r>
  <r>
    <x v="10"/>
    <s v="VD-0770"/>
    <d v="2025-11-05T00:00:00"/>
    <x v="1"/>
    <x v="0"/>
    <x v="3"/>
    <x v="4"/>
    <x v="0"/>
    <s v="Creme Facial"/>
    <x v="0"/>
    <n v="148.38999999999999"/>
    <n v="0.15"/>
    <n v="53.16"/>
    <s v="Concluída"/>
    <n v="148.38999999999999"/>
    <n v="22.258499999999998"/>
    <n v="126.13149999999999"/>
    <n v="53.16"/>
    <x v="718"/>
    <n v="1.7285035938688393"/>
  </r>
  <r>
    <x v="10"/>
    <s v="VD-0800"/>
    <d v="2025-11-05T00:00:00"/>
    <x v="6"/>
    <x v="0"/>
    <x v="1"/>
    <x v="7"/>
    <x v="1"/>
    <s v="Teclado Mecânico"/>
    <x v="0"/>
    <n v="388.79"/>
    <n v="0.08"/>
    <n v="222.45"/>
    <s v="Concluída"/>
    <n v="388.79"/>
    <n v="31.103200000000001"/>
    <n v="357.68680000000001"/>
    <n v="222.45"/>
    <x v="719"/>
    <n v="2.6448925144635185"/>
  </r>
  <r>
    <x v="10"/>
    <s v="VD-0801"/>
    <d v="2025-11-05T00:00:00"/>
    <x v="7"/>
    <x v="3"/>
    <x v="0"/>
    <x v="5"/>
    <x v="0"/>
    <s v="Secador Pro"/>
    <x v="2"/>
    <n v="419.08"/>
    <n v="0.05"/>
    <n v="222.51"/>
    <s v="Concluída"/>
    <n v="1257.24"/>
    <n v="62.862000000000002"/>
    <n v="1194.3779999999999"/>
    <n v="667.53"/>
    <x v="720"/>
    <n v="2.2670257835276968"/>
  </r>
  <r>
    <x v="10"/>
    <s v="VD-0830"/>
    <d v="2025-11-05T00:00:00"/>
    <x v="1"/>
    <x v="0"/>
    <x v="3"/>
    <x v="8"/>
    <x v="0"/>
    <s v="Secador Pro"/>
    <x v="0"/>
    <n v="394.79"/>
    <n v="0.2"/>
    <n v="209.07"/>
    <s v="Concluída"/>
    <n v="394.79"/>
    <n v="78.958000000000013"/>
    <n v="315.83199999999999"/>
    <n v="209.07"/>
    <x v="721"/>
    <n v="2.9582810363237857"/>
  </r>
  <r>
    <x v="10"/>
    <s v="VD-0836"/>
    <d v="2025-11-05T00:00:00"/>
    <x v="4"/>
    <x v="2"/>
    <x v="3"/>
    <x v="11"/>
    <x v="4"/>
    <s v="Óculos Sol"/>
    <x v="0"/>
    <n v="349.64"/>
    <n v="0.15"/>
    <n v="157.09"/>
    <s v="Concluída"/>
    <n v="349.64"/>
    <n v="52.445999999999998"/>
    <n v="297.19399999999996"/>
    <n v="157.09"/>
    <x v="722"/>
    <n v="2.121238508536516"/>
  </r>
  <r>
    <x v="10"/>
    <s v="VD-0743"/>
    <d v="2025-11-06T00:00:00"/>
    <x v="5"/>
    <x v="1"/>
    <x v="3"/>
    <x v="7"/>
    <x v="1"/>
    <s v="Mouse Pro"/>
    <x v="0"/>
    <n v="189.38"/>
    <n v="0.125"/>
    <n v="90.3"/>
    <s v="Concluída"/>
    <n v="189.38"/>
    <n v="23.672499999999999"/>
    <n v="165.70749999999998"/>
    <n v="90.3"/>
    <x v="723"/>
    <n v="2.1974936180088189"/>
  </r>
  <r>
    <x v="10"/>
    <s v="VD-0766"/>
    <d v="2025-11-06T00:00:00"/>
    <x v="5"/>
    <x v="1"/>
    <x v="3"/>
    <x v="4"/>
    <x v="1"/>
    <s v="Teclado Mecânico"/>
    <x v="0"/>
    <n v="406.39"/>
    <n v="0.03"/>
    <n v="235.06"/>
    <s v="Concluída"/>
    <n v="406.39"/>
    <n v="12.191699999999999"/>
    <n v="394.19829999999996"/>
    <n v="235.06"/>
    <x v="724"/>
    <n v="2.4770799989694501"/>
  </r>
  <r>
    <x v="10"/>
    <s v="VD-0822"/>
    <d v="2025-11-06T00:00:00"/>
    <x v="1"/>
    <x v="0"/>
    <x v="1"/>
    <x v="3"/>
    <x v="0"/>
    <s v="Creme Facial"/>
    <x v="0"/>
    <n v="144.16"/>
    <n v="0.1"/>
    <n v="49.22"/>
    <s v="Concluída"/>
    <n v="144.16"/>
    <n v="14.416"/>
    <n v="129.744"/>
    <n v="49.22"/>
    <x v="725"/>
    <n v="1.6112463364959515"/>
  </r>
  <r>
    <x v="10"/>
    <s v="VD-0844"/>
    <d v="2025-11-06T00:00:00"/>
    <x v="7"/>
    <x v="3"/>
    <x v="2"/>
    <x v="8"/>
    <x v="2"/>
    <s v="Cadeira Escritório"/>
    <x v="0"/>
    <n v="1104.8399999999999"/>
    <n v="0.14499999999999999"/>
    <n v="791.05"/>
    <s v="Concluída"/>
    <n v="1104.8399999999999"/>
    <n v="160.20179999999996"/>
    <n v="944.63819999999998"/>
    <n v="791.05"/>
    <x v="726"/>
    <n v="6.1504607775857769"/>
  </r>
  <r>
    <x v="10"/>
    <s v="VD-0845"/>
    <d v="2025-11-06T00:00:00"/>
    <x v="5"/>
    <x v="1"/>
    <x v="3"/>
    <x v="0"/>
    <x v="3"/>
    <s v="Bike Urbana"/>
    <x v="0"/>
    <n v="2191.38"/>
    <n v="0.03"/>
    <n v="1454.66"/>
    <s v="Concluída"/>
    <n v="2191.38"/>
    <n v="65.741399999999999"/>
    <n v="2125.6386000000002"/>
    <n v="1454.66"/>
    <x v="727"/>
    <n v="3.1679678010595267"/>
  </r>
  <r>
    <x v="10"/>
    <s v="VD-0764"/>
    <d v="2025-11-07T00:00:00"/>
    <x v="3"/>
    <x v="2"/>
    <x v="3"/>
    <x v="8"/>
    <x v="1"/>
    <s v="Teclado Mecânico"/>
    <x v="0"/>
    <n v="413.84"/>
    <n v="0.05"/>
    <n v="235.69"/>
    <s v="Concluída"/>
    <n v="413.84"/>
    <n v="20.692"/>
    <n v="393.14799999999997"/>
    <n v="235.69"/>
    <x v="728"/>
    <n v="2.4968436027385081"/>
  </r>
  <r>
    <x v="10"/>
    <s v="VD-0786"/>
    <d v="2025-11-07T00:00:00"/>
    <x v="1"/>
    <x v="0"/>
    <x v="2"/>
    <x v="3"/>
    <x v="1"/>
    <s v="Teclado Mecânico"/>
    <x v="0"/>
    <n v="422.03"/>
    <n v="0.05"/>
    <n v="253.29"/>
    <s v="Concluída"/>
    <n v="422.03"/>
    <n v="21.101500000000001"/>
    <n v="400.92849999999999"/>
    <n v="253.29"/>
    <x v="729"/>
    <n v="2.7156094108244124"/>
  </r>
  <r>
    <x v="10"/>
    <s v="VD-0808"/>
    <d v="2025-11-07T00:00:00"/>
    <x v="7"/>
    <x v="3"/>
    <x v="0"/>
    <x v="7"/>
    <x v="4"/>
    <s v="Óculos Sol"/>
    <x v="0"/>
    <n v="398.78"/>
    <n v="0.2"/>
    <n v="182.33"/>
    <s v="Concluída"/>
    <n v="398.78"/>
    <n v="79.756"/>
    <n v="319.024"/>
    <n v="182.33"/>
    <x v="730"/>
    <n v="2.3338551801834755"/>
  </r>
  <r>
    <x v="10"/>
    <s v="VD-0781"/>
    <d v="2025-11-08T00:00:00"/>
    <x v="6"/>
    <x v="0"/>
    <x v="1"/>
    <x v="1"/>
    <x v="1"/>
    <s v="Mouse Pro"/>
    <x v="0"/>
    <n v="184.21"/>
    <n v="0.05"/>
    <n v="87.91"/>
    <s v="Concluída"/>
    <n v="184.21"/>
    <n v="9.2105000000000015"/>
    <n v="174.99950000000001"/>
    <n v="87.91"/>
    <x v="731"/>
    <n v="2.0094213424121161"/>
  </r>
  <r>
    <x v="10"/>
    <s v="VD-0782"/>
    <d v="2025-11-08T00:00:00"/>
    <x v="3"/>
    <x v="2"/>
    <x v="1"/>
    <x v="11"/>
    <x v="3"/>
    <s v="Esteira Compacta"/>
    <x v="0"/>
    <n v="2579.33"/>
    <n v="0.1"/>
    <n v="1868.82"/>
    <s v="Concluída"/>
    <n v="2579.33"/>
    <n v="257.93299999999999"/>
    <n v="2321.3969999999999"/>
    <n v="1868.82"/>
    <x v="732"/>
    <n v="5.1292862871953275"/>
  </r>
  <r>
    <x v="10"/>
    <s v="VD-0792"/>
    <d v="2025-11-08T00:00:00"/>
    <x v="6"/>
    <x v="0"/>
    <x v="1"/>
    <x v="5"/>
    <x v="2"/>
    <s v="Kit Lençol 4p"/>
    <x v="1"/>
    <n v="277.69"/>
    <n v="2.5000000000000001E-2"/>
    <n v="118.33"/>
    <s v="Concluída"/>
    <n v="555.38"/>
    <n v="13.884500000000001"/>
    <n v="541.49549999999999"/>
    <n v="236.66"/>
    <x v="733"/>
    <n v="1.7763531478453132"/>
  </r>
  <r>
    <x v="10"/>
    <s v="VD-0739"/>
    <d v="2025-11-09T00:00:00"/>
    <x v="4"/>
    <x v="2"/>
    <x v="0"/>
    <x v="6"/>
    <x v="0"/>
    <s v="Balança Smart"/>
    <x v="1"/>
    <n v="245.6"/>
    <n v="0.2"/>
    <n v="103.66"/>
    <s v="Concluída"/>
    <n v="491.2"/>
    <n v="98.240000000000009"/>
    <n v="392.96"/>
    <n v="207.32"/>
    <x v="734"/>
    <n v="2.116785175608705"/>
  </r>
  <r>
    <x v="10"/>
    <s v="VD-0748"/>
    <d v="2025-11-09T00:00:00"/>
    <x v="6"/>
    <x v="0"/>
    <x v="0"/>
    <x v="4"/>
    <x v="4"/>
    <s v="Mochila Urban"/>
    <x v="0"/>
    <n v="318.89"/>
    <n v="0.15"/>
    <n v="147.32"/>
    <s v="Concluída"/>
    <n v="318.89"/>
    <n v="47.833499999999994"/>
    <n v="271.05649999999997"/>
    <n v="147.32"/>
    <x v="735"/>
    <n v="2.1905945295042288"/>
  </r>
  <r>
    <x v="10"/>
    <s v="VD-0775"/>
    <d v="2025-11-09T00:00:00"/>
    <x v="2"/>
    <x v="1"/>
    <x v="1"/>
    <x v="2"/>
    <x v="3"/>
    <s v="Halteres 10kg"/>
    <x v="1"/>
    <n v="363.84"/>
    <n v="0.05"/>
    <n v="196.35"/>
    <s v="Concluída"/>
    <n v="727.68"/>
    <n v="36.384"/>
    <n v="691.29599999999994"/>
    <n v="392.7"/>
    <x v="736"/>
    <n v="2.3151549250492307"/>
  </r>
  <r>
    <x v="10"/>
    <s v="VD-0777"/>
    <d v="2025-11-09T00:00:00"/>
    <x v="2"/>
    <x v="1"/>
    <x v="0"/>
    <x v="3"/>
    <x v="4"/>
    <s v="Mochila Urban"/>
    <x v="1"/>
    <n v="304.24"/>
    <n v="0.05"/>
    <n v="140.58000000000001"/>
    <s v="Concluída"/>
    <n v="608.48"/>
    <n v="30.424000000000003"/>
    <n v="578.05600000000004"/>
    <n v="281.16000000000003"/>
    <x v="737"/>
    <n v="1.9469982754904074"/>
  </r>
  <r>
    <x v="10"/>
    <s v="VD-0839"/>
    <d v="2025-11-09T00:00:00"/>
    <x v="7"/>
    <x v="3"/>
    <x v="0"/>
    <x v="3"/>
    <x v="1"/>
    <s v="Teclado Mecânico"/>
    <x v="0"/>
    <n v="437.71"/>
    <n v="0.05"/>
    <n v="263.13"/>
    <s v="Concluída"/>
    <n v="437.71"/>
    <n v="21.8855"/>
    <n v="415.8245"/>
    <n v="263.13"/>
    <x v="738"/>
    <n v="2.7232447796089576"/>
  </r>
  <r>
    <x v="10"/>
    <s v="VD-0849"/>
    <d v="2025-11-09T00:00:00"/>
    <x v="0"/>
    <x v="0"/>
    <x v="1"/>
    <x v="5"/>
    <x v="1"/>
    <s v="Fone Wave"/>
    <x v="0"/>
    <n v="263.33"/>
    <n v="0"/>
    <n v="127.93"/>
    <s v="Concluída"/>
    <n v="263.33"/>
    <n v="0"/>
    <n v="263.33"/>
    <n v="127.93"/>
    <x v="739"/>
    <n v="1.9448301329394388"/>
  </r>
  <r>
    <x v="10"/>
    <s v="VD-0824"/>
    <d v="2025-11-10T00:00:00"/>
    <x v="3"/>
    <x v="2"/>
    <x v="1"/>
    <x v="3"/>
    <x v="1"/>
    <s v="Mouse Pro"/>
    <x v="0"/>
    <n v="194.4"/>
    <n v="0.15"/>
    <n v="91.47"/>
    <s v="Concluída"/>
    <n v="194.4"/>
    <n v="29.16"/>
    <n v="165.24"/>
    <n v="91.47"/>
    <x v="740"/>
    <n v="2.2399349328995526"/>
  </r>
  <r>
    <x v="10"/>
    <s v="VD-0848"/>
    <d v="2025-11-10T00:00:00"/>
    <x v="6"/>
    <x v="0"/>
    <x v="2"/>
    <x v="0"/>
    <x v="4"/>
    <s v="Relógio Fit"/>
    <x v="0"/>
    <n v="732.9"/>
    <n v="0"/>
    <n v="353.86"/>
    <s v="Concluída"/>
    <n v="732.9"/>
    <n v="0"/>
    <n v="732.9"/>
    <n v="353.86"/>
    <x v="741"/>
    <n v="1.9335690164626427"/>
  </r>
  <r>
    <x v="10"/>
    <s v="VD-0774"/>
    <d v="2025-11-11T00:00:00"/>
    <x v="1"/>
    <x v="0"/>
    <x v="1"/>
    <x v="2"/>
    <x v="2"/>
    <s v="Kit Lençol 4p"/>
    <x v="1"/>
    <n v="275.61"/>
    <n v="0.15"/>
    <n v="121.01"/>
    <s v="Concluída"/>
    <n v="551.22"/>
    <n v="82.683000000000007"/>
    <n v="468.53700000000003"/>
    <n v="242.02"/>
    <x v="742"/>
    <n v="2.0684407792792592"/>
  </r>
  <r>
    <x v="10"/>
    <s v="VD-0799"/>
    <d v="2025-11-11T00:00:00"/>
    <x v="2"/>
    <x v="1"/>
    <x v="3"/>
    <x v="5"/>
    <x v="0"/>
    <s v="Balança Smart"/>
    <x v="0"/>
    <n v="239.45"/>
    <n v="0.2"/>
    <n v="106.18"/>
    <s v="Concluída"/>
    <n v="239.45"/>
    <n v="47.89"/>
    <n v="191.56"/>
    <n v="106.18"/>
    <x v="743"/>
    <n v="2.24361677207777"/>
  </r>
  <r>
    <x v="10"/>
    <s v="VD-0823"/>
    <d v="2025-11-11T00:00:00"/>
    <x v="5"/>
    <x v="1"/>
    <x v="1"/>
    <x v="0"/>
    <x v="3"/>
    <s v="Bike Urbana"/>
    <x v="0"/>
    <n v="2419.4299999999998"/>
    <n v="0"/>
    <n v="1654.91"/>
    <s v="Concluída"/>
    <n v="2419.4299999999998"/>
    <n v="0"/>
    <n v="2419.4299999999998"/>
    <n v="1654.91"/>
    <x v="744"/>
    <n v="3.1646392507717267"/>
  </r>
  <r>
    <x v="10"/>
    <s v="VD-0825"/>
    <d v="2025-11-11T00:00:00"/>
    <x v="2"/>
    <x v="1"/>
    <x v="1"/>
    <x v="0"/>
    <x v="2"/>
    <s v="Panela Pressão 6L"/>
    <x v="0"/>
    <n v="440.19"/>
    <n v="0.05"/>
    <n v="239.48"/>
    <s v="Concluída"/>
    <n v="440.19"/>
    <n v="22.009500000000003"/>
    <n v="418.18049999999999"/>
    <n v="239.48"/>
    <x v="745"/>
    <n v="2.3401193617253448"/>
  </r>
  <r>
    <x v="10"/>
    <s v="VD-0769"/>
    <d v="2025-11-12T00:00:00"/>
    <x v="7"/>
    <x v="3"/>
    <x v="0"/>
    <x v="1"/>
    <x v="0"/>
    <s v="Balança Smart"/>
    <x v="0"/>
    <n v="227.25"/>
    <n v="0.2"/>
    <n v="100.31"/>
    <s v="Concluída"/>
    <n v="227.25"/>
    <n v="45.45"/>
    <n v="181.8"/>
    <n v="100.31"/>
    <x v="746"/>
    <n v="2.2309485826481774"/>
  </r>
  <r>
    <x v="10"/>
    <s v="VD-0829"/>
    <d v="2025-11-12T00:00:00"/>
    <x v="3"/>
    <x v="2"/>
    <x v="1"/>
    <x v="6"/>
    <x v="4"/>
    <s v="Óculos Sol"/>
    <x v="2"/>
    <n v="403.7"/>
    <n v="0.1"/>
    <n v="174.96"/>
    <s v="Concluída"/>
    <n v="1211.0999999999999"/>
    <n v="121.11"/>
    <n v="1089.99"/>
    <n v="524.88"/>
    <x v="747"/>
    <n v="1.928810320114668"/>
  </r>
  <r>
    <x v="10"/>
    <s v="VD-0834"/>
    <d v="2025-11-12T00:00:00"/>
    <x v="6"/>
    <x v="0"/>
    <x v="0"/>
    <x v="1"/>
    <x v="1"/>
    <s v="Notebook Nova 14"/>
    <x v="0"/>
    <n v="4068.91"/>
    <n v="7.5000000000000011E-2"/>
    <n v="3214.34"/>
    <s v="Concluída"/>
    <n v="4068.91"/>
    <n v="305.16825000000006"/>
    <n v="3763.7417499999997"/>
    <n v="3214.34"/>
    <x v="748"/>
    <n v="6.8506184226752147"/>
  </r>
  <r>
    <x v="10"/>
    <s v="VD-0838"/>
    <d v="2025-11-12T00:00:00"/>
    <x v="2"/>
    <x v="1"/>
    <x v="3"/>
    <x v="10"/>
    <x v="3"/>
    <s v="Colchonete Pro"/>
    <x v="0"/>
    <n v="148.93"/>
    <n v="0.05"/>
    <n v="59.38"/>
    <s v="Concluída"/>
    <n v="148.93"/>
    <n v="7.4465000000000003"/>
    <n v="141.48349999999999"/>
    <n v="59.38"/>
    <x v="749"/>
    <n v="1.723233479693314"/>
  </r>
  <r>
    <x v="10"/>
    <s v="VD-0846"/>
    <d v="2025-11-12T00:00:00"/>
    <x v="4"/>
    <x v="2"/>
    <x v="3"/>
    <x v="3"/>
    <x v="1"/>
    <s v="Teclado Mecânico"/>
    <x v="0"/>
    <n v="450.23"/>
    <n v="0.03"/>
    <n v="261.14"/>
    <s v="Concluída"/>
    <n v="450.23"/>
    <n v="13.5069"/>
    <n v="436.72310000000004"/>
    <n v="261.14"/>
    <x v="750"/>
    <n v="2.4872729778663203"/>
  </r>
  <r>
    <x v="10"/>
    <s v="VD-0756"/>
    <d v="2025-11-13T00:00:00"/>
    <x v="0"/>
    <x v="0"/>
    <x v="1"/>
    <x v="2"/>
    <x v="1"/>
    <s v="Fone Wave"/>
    <x v="0"/>
    <n v="258.18"/>
    <n v="0.15"/>
    <n v="124.57"/>
    <s v="Concluída"/>
    <n v="258.18"/>
    <n v="38.726999999999997"/>
    <n v="219.453"/>
    <n v="124.57"/>
    <x v="751"/>
    <n v="2.3128800733534982"/>
  </r>
  <r>
    <x v="10"/>
    <s v="VD-0759"/>
    <d v="2025-11-13T00:00:00"/>
    <x v="0"/>
    <x v="0"/>
    <x v="1"/>
    <x v="1"/>
    <x v="2"/>
    <s v="Cadeira Escritório"/>
    <x v="0"/>
    <n v="1120.02"/>
    <n v="0.08"/>
    <n v="849.63"/>
    <s v="Concluída"/>
    <n v="1120.02"/>
    <n v="89.601600000000005"/>
    <n v="1030.4184"/>
    <n v="849.63"/>
    <x v="752"/>
    <n v="5.6995824953370899"/>
  </r>
  <r>
    <x v="10"/>
    <s v="VD-0813"/>
    <d v="2025-11-13T00:00:00"/>
    <x v="7"/>
    <x v="3"/>
    <x v="3"/>
    <x v="8"/>
    <x v="0"/>
    <s v="Secador Pro"/>
    <x v="1"/>
    <n v="423.89"/>
    <n v="0.05"/>
    <n v="224.8"/>
    <s v="Concluída"/>
    <n v="847.78"/>
    <n v="42.389000000000003"/>
    <n v="805.39099999999996"/>
    <n v="449.6"/>
    <x v="753"/>
    <n v="2.2636632180128222"/>
  </r>
  <r>
    <x v="10"/>
    <s v="VD-0742"/>
    <d v="2025-11-14T00:00:00"/>
    <x v="4"/>
    <x v="2"/>
    <x v="3"/>
    <x v="8"/>
    <x v="2"/>
    <s v="Kit Lençol 4p"/>
    <x v="0"/>
    <n v="274.99"/>
    <n v="0.1"/>
    <n v="123.26"/>
    <s v="Concluída"/>
    <n v="274.99"/>
    <n v="27.499000000000002"/>
    <n v="247.49100000000001"/>
    <n v="123.26"/>
    <x v="754"/>
    <n v="1.9921839154478351"/>
  </r>
  <r>
    <x v="10"/>
    <s v="VD-0761"/>
    <d v="2025-11-14T00:00:00"/>
    <x v="2"/>
    <x v="1"/>
    <x v="1"/>
    <x v="1"/>
    <x v="2"/>
    <s v="Cadeira Escritório"/>
    <x v="0"/>
    <n v="1258.32"/>
    <n v="7.5000000000000011E-2"/>
    <n v="913.9"/>
    <s v="Concluída"/>
    <n v="1258.32"/>
    <n v="94.374000000000009"/>
    <n v="1163.9459999999999"/>
    <n v="913.9"/>
    <x v="755"/>
    <n v="4.6549274933412264"/>
  </r>
  <r>
    <x v="10"/>
    <s v="VD-0793"/>
    <d v="2025-11-14T00:00:00"/>
    <x v="6"/>
    <x v="0"/>
    <x v="3"/>
    <x v="5"/>
    <x v="0"/>
    <s v="Balança Smart"/>
    <x v="0"/>
    <n v="230.23"/>
    <n v="0.1"/>
    <n v="99.05"/>
    <s v="Concluída"/>
    <n v="230.23"/>
    <n v="23.023"/>
    <n v="207.20699999999999"/>
    <n v="99.05"/>
    <x v="756"/>
    <n v="1.9157983302051647"/>
  </r>
  <r>
    <x v="10"/>
    <s v="VD-0811"/>
    <d v="2025-11-14T00:00:00"/>
    <x v="0"/>
    <x v="0"/>
    <x v="3"/>
    <x v="10"/>
    <x v="2"/>
    <s v="Panela Pressão 6L"/>
    <x v="1"/>
    <n v="437.14"/>
    <n v="0.05"/>
    <n v="237.49"/>
    <s v="Concluída"/>
    <n v="874.28"/>
    <n v="43.713999999999999"/>
    <n v="830.56600000000003"/>
    <n v="474.98"/>
    <x v="757"/>
    <n v="2.3357668749613314"/>
  </r>
  <r>
    <x v="10"/>
    <s v="VD-0826"/>
    <d v="2025-11-14T00:00:00"/>
    <x v="2"/>
    <x v="1"/>
    <x v="3"/>
    <x v="1"/>
    <x v="0"/>
    <s v="Creme Facial"/>
    <x v="0"/>
    <n v="159.07"/>
    <n v="0.03"/>
    <n v="54.36"/>
    <s v="Concluída"/>
    <n v="159.07"/>
    <n v="4.7721"/>
    <n v="154.2979"/>
    <n v="54.36"/>
    <x v="758"/>
    <n v="1.5439377853647114"/>
  </r>
  <r>
    <x v="10"/>
    <s v="VD-0831"/>
    <d v="2025-11-14T00:00:00"/>
    <x v="6"/>
    <x v="0"/>
    <x v="0"/>
    <x v="5"/>
    <x v="2"/>
    <s v="Cadeira Escritório"/>
    <x v="0"/>
    <n v="1125.27"/>
    <n v="0.125"/>
    <n v="795.68"/>
    <s v="Concluída"/>
    <n v="1125.27"/>
    <n v="140.65875"/>
    <n v="984.61124999999993"/>
    <n v="795.68"/>
    <x v="759"/>
    <n v="5.2114790433027887"/>
  </r>
  <r>
    <x v="10"/>
    <s v="VD-0837"/>
    <d v="2025-11-14T00:00:00"/>
    <x v="5"/>
    <x v="1"/>
    <x v="1"/>
    <x v="9"/>
    <x v="1"/>
    <s v="Teclado Mecânico"/>
    <x v="0"/>
    <n v="428.02"/>
    <n v="0.05"/>
    <n v="245"/>
    <s v="Concluída"/>
    <n v="428.02"/>
    <n v="21.401"/>
    <n v="406.61899999999997"/>
    <n v="245"/>
    <x v="760"/>
    <n v="2.5159108768152261"/>
  </r>
  <r>
    <x v="10"/>
    <s v="VD-0847"/>
    <d v="2025-11-14T00:00:00"/>
    <x v="6"/>
    <x v="0"/>
    <x v="2"/>
    <x v="4"/>
    <x v="2"/>
    <s v="Air Fryer 5L"/>
    <x v="2"/>
    <n v="647.73"/>
    <n v="2.5000000000000001E-2"/>
    <n v="373.99"/>
    <s v="Concluída"/>
    <n v="1943.19"/>
    <n v="48.579750000000004"/>
    <n v="1894.61025"/>
    <n v="1121.97"/>
    <x v="761"/>
    <n v="2.4521247113388154"/>
  </r>
  <r>
    <x v="10"/>
    <s v="VD-0776"/>
    <d v="2025-11-15T00:00:00"/>
    <x v="3"/>
    <x v="2"/>
    <x v="1"/>
    <x v="2"/>
    <x v="2"/>
    <s v="Air Fryer 5L"/>
    <x v="1"/>
    <n v="664.43"/>
    <n v="0.05"/>
    <n v="372.2"/>
    <s v="Concluída"/>
    <n v="1328.86"/>
    <n v="66.442999999999998"/>
    <n v="1262.4169999999999"/>
    <n v="744.4"/>
    <x v="762"/>
    <n v="2.4370184762276144"/>
  </r>
  <r>
    <x v="10"/>
    <s v="VD-0779"/>
    <d v="2025-11-15T00:00:00"/>
    <x v="4"/>
    <x v="2"/>
    <x v="1"/>
    <x v="5"/>
    <x v="3"/>
    <s v="Colchonete Pro"/>
    <x v="0"/>
    <n v="130.31"/>
    <n v="0.08"/>
    <n v="50.38"/>
    <s v="Concluída"/>
    <n v="130.31"/>
    <n v="10.424800000000001"/>
    <n v="119.8852"/>
    <n v="50.38"/>
    <x v="763"/>
    <n v="1.7248378538584164"/>
  </r>
  <r>
    <x v="10"/>
    <s v="VD-0784"/>
    <d v="2025-11-15T00:00:00"/>
    <x v="5"/>
    <x v="1"/>
    <x v="2"/>
    <x v="1"/>
    <x v="4"/>
    <s v="Relógio Fit"/>
    <x v="0"/>
    <n v="686.95"/>
    <n v="0.03"/>
    <n v="324.56"/>
    <s v="Concluída"/>
    <n v="686.95"/>
    <n v="20.608499999999999"/>
    <n v="666.3415"/>
    <n v="324.56"/>
    <x v="764"/>
    <n v="1.9496125448568749"/>
  </r>
  <r>
    <x v="10"/>
    <s v="VD-0819"/>
    <d v="2025-11-15T00:00:00"/>
    <x v="0"/>
    <x v="0"/>
    <x v="1"/>
    <x v="8"/>
    <x v="1"/>
    <s v="Mouse Pro"/>
    <x v="0"/>
    <n v="197.72"/>
    <n v="0.1"/>
    <n v="87.48"/>
    <s v="Concluída"/>
    <n v="197.72"/>
    <n v="19.772000000000002"/>
    <n v="177.94800000000001"/>
    <n v="87.48"/>
    <x v="765"/>
    <n v="1.9669717469160366"/>
  </r>
  <r>
    <x v="10"/>
    <s v="VD-0820"/>
    <d v="2025-11-15T00:00:00"/>
    <x v="2"/>
    <x v="1"/>
    <x v="2"/>
    <x v="11"/>
    <x v="1"/>
    <s v="Mouse Pro"/>
    <x v="0"/>
    <n v="190.37"/>
    <n v="0"/>
    <n v="90.17"/>
    <s v="Concluída"/>
    <n v="190.37"/>
    <n v="0"/>
    <n v="190.37"/>
    <n v="90.17"/>
    <x v="766"/>
    <n v="1.8999001996007985"/>
  </r>
  <r>
    <x v="10"/>
    <s v="VD-0745"/>
    <d v="2025-11-16T00:00:00"/>
    <x v="7"/>
    <x v="3"/>
    <x v="0"/>
    <x v="4"/>
    <x v="1"/>
    <s v="Notebook Nova 14"/>
    <x v="1"/>
    <n v="3650.09"/>
    <n v="0.17499999999999999"/>
    <n v="2856.01"/>
    <s v="Concluída"/>
    <n v="7300.18"/>
    <n v="1277.5315000000001"/>
    <n v="6022.6485000000002"/>
    <n v="5712.02"/>
    <x v="767"/>
    <n v="19.388589585308509"/>
  </r>
  <r>
    <x v="10"/>
    <s v="VD-0760"/>
    <d v="2025-11-16T00:00:00"/>
    <x v="5"/>
    <x v="1"/>
    <x v="0"/>
    <x v="4"/>
    <x v="0"/>
    <s v="Balança Smart"/>
    <x v="0"/>
    <n v="238.74"/>
    <n v="0.15"/>
    <n v="102.12"/>
    <s v="Concluída"/>
    <n v="238.74"/>
    <n v="35.811"/>
    <n v="202.929"/>
    <n v="102.12"/>
    <x v="768"/>
    <n v="2.0130047912388775"/>
  </r>
  <r>
    <x v="10"/>
    <s v="VD-0773"/>
    <d v="2025-11-16T00:00:00"/>
    <x v="1"/>
    <x v="0"/>
    <x v="0"/>
    <x v="2"/>
    <x v="2"/>
    <s v="Cadeira Escritório"/>
    <x v="0"/>
    <n v="1129.1400000000001"/>
    <n v="0.22500000000000001"/>
    <n v="843.2"/>
    <s v="Concluída"/>
    <n v="1129.1400000000001"/>
    <n v="254.05650000000003"/>
    <n v="875.08350000000007"/>
    <n v="843.2"/>
    <x v="769"/>
    <n v="27.446280991735517"/>
  </r>
  <r>
    <x v="10"/>
    <s v="VD-0790"/>
    <d v="2025-11-16T00:00:00"/>
    <x v="5"/>
    <x v="1"/>
    <x v="1"/>
    <x v="9"/>
    <x v="2"/>
    <s v="Tapete Sala"/>
    <x v="0"/>
    <n v="556.85"/>
    <n v="0.08"/>
    <n v="294.64999999999998"/>
    <s v="Concluída"/>
    <n v="556.85"/>
    <n v="44.548000000000002"/>
    <n v="512.30200000000002"/>
    <n v="294.64999999999998"/>
    <x v="770"/>
    <n v="2.3537665631374853"/>
  </r>
  <r>
    <x v="10"/>
    <s v="VD-0791"/>
    <d v="2025-11-17T00:00:00"/>
    <x v="5"/>
    <x v="1"/>
    <x v="1"/>
    <x v="0"/>
    <x v="0"/>
    <s v="Secador Pro"/>
    <x v="0"/>
    <n v="413.45"/>
    <n v="0.05"/>
    <n v="223.35"/>
    <s v="Concluída"/>
    <n v="413.45"/>
    <n v="20.672499999999999"/>
    <n v="392.77749999999997"/>
    <n v="223.35"/>
    <x v="771"/>
    <n v="2.3182629738383675"/>
  </r>
  <r>
    <x v="10"/>
    <s v="VD-0797"/>
    <d v="2025-11-17T00:00:00"/>
    <x v="6"/>
    <x v="0"/>
    <x v="3"/>
    <x v="5"/>
    <x v="2"/>
    <s v="Panela Pressão 6L"/>
    <x v="0"/>
    <n v="455.42"/>
    <n v="0.1"/>
    <n v="241.07"/>
    <s v="Concluída"/>
    <n v="455.42"/>
    <n v="45.542000000000002"/>
    <n v="409.87800000000004"/>
    <n v="241.07"/>
    <x v="772"/>
    <n v="2.4280721292829721"/>
  </r>
  <r>
    <x v="10"/>
    <s v="VD-0798"/>
    <d v="2025-11-17T00:00:00"/>
    <x v="5"/>
    <x v="1"/>
    <x v="2"/>
    <x v="11"/>
    <x v="4"/>
    <s v="Mochila Urban"/>
    <x v="1"/>
    <n v="343.75"/>
    <n v="0.1"/>
    <n v="159.11000000000001"/>
    <s v="Concluída"/>
    <n v="687.5"/>
    <n v="68.75"/>
    <n v="618.75"/>
    <n v="318.22000000000003"/>
    <x v="773"/>
    <n v="2.0588626759391744"/>
  </r>
  <r>
    <x v="10"/>
    <s v="VD-0810"/>
    <d v="2025-11-17T00:00:00"/>
    <x v="0"/>
    <x v="0"/>
    <x v="3"/>
    <x v="9"/>
    <x v="0"/>
    <s v="Creme Facial"/>
    <x v="1"/>
    <n v="144.76"/>
    <n v="0.1"/>
    <n v="51.42"/>
    <s v="Concluída"/>
    <n v="289.52"/>
    <n v="28.951999999999998"/>
    <n v="260.56799999999998"/>
    <n v="102.84"/>
    <x v="774"/>
    <n v="1.6520085209981741"/>
  </r>
  <r>
    <x v="10"/>
    <s v="VD-0812"/>
    <d v="2025-11-17T00:00:00"/>
    <x v="2"/>
    <x v="1"/>
    <x v="1"/>
    <x v="5"/>
    <x v="0"/>
    <s v="Secador Pro"/>
    <x v="1"/>
    <n v="408.32"/>
    <n v="0.05"/>
    <n v="222.04"/>
    <s v="Concluída"/>
    <n v="816.64"/>
    <n v="40.832000000000001"/>
    <n v="775.80799999999999"/>
    <n v="444.08"/>
    <x v="775"/>
    <n v="2.3386871171562245"/>
  </r>
  <r>
    <x v="10"/>
    <s v="VD-0746"/>
    <d v="2025-11-18T00:00:00"/>
    <x v="1"/>
    <x v="0"/>
    <x v="3"/>
    <x v="2"/>
    <x v="2"/>
    <s v="Air Fryer 5L"/>
    <x v="1"/>
    <n v="683.94"/>
    <n v="0.05"/>
    <n v="398.69"/>
    <s v="Concluída"/>
    <n v="1367.88"/>
    <n v="68.394000000000005"/>
    <n v="1299.4860000000001"/>
    <n v="797.38"/>
    <x v="776"/>
    <n v="2.5880710447594728"/>
  </r>
  <r>
    <x v="10"/>
    <s v="VD-0795"/>
    <d v="2025-11-18T00:00:00"/>
    <x v="5"/>
    <x v="1"/>
    <x v="1"/>
    <x v="8"/>
    <x v="2"/>
    <s v="Cadeira Escritório"/>
    <x v="1"/>
    <n v="1152.78"/>
    <n v="0"/>
    <n v="857.65"/>
    <s v="Concluída"/>
    <n v="2305.56"/>
    <n v="0"/>
    <n v="2305.56"/>
    <n v="1715.3"/>
    <x v="777"/>
    <n v="3.9060075221089012"/>
  </r>
  <r>
    <x v="10"/>
    <s v="VD-0804"/>
    <d v="2025-11-19T00:00:00"/>
    <x v="1"/>
    <x v="0"/>
    <x v="3"/>
    <x v="9"/>
    <x v="2"/>
    <s v="Air Fryer 5L"/>
    <x v="1"/>
    <n v="637.19000000000005"/>
    <n v="0.03"/>
    <n v="374.59"/>
    <s v="Concluída"/>
    <n v="1274.3800000000001"/>
    <n v="38.231400000000001"/>
    <n v="1236.1486000000002"/>
    <n v="749.18"/>
    <x v="778"/>
    <n v="2.5384564836418599"/>
  </r>
  <r>
    <x v="10"/>
    <s v="VD-0816"/>
    <d v="2025-11-19T00:00:00"/>
    <x v="5"/>
    <x v="1"/>
    <x v="1"/>
    <x v="7"/>
    <x v="3"/>
    <s v="Bike Urbana"/>
    <x v="0"/>
    <n v="2258.52"/>
    <n v="0.08"/>
    <n v="1575.87"/>
    <s v="Concluída"/>
    <n v="2258.52"/>
    <n v="180.6816"/>
    <n v="2077.8384000000001"/>
    <n v="1575.87"/>
    <x v="779"/>
    <n v="4.1393808853306293"/>
  </r>
  <r>
    <x v="10"/>
    <s v="VD-0818"/>
    <d v="2025-11-19T00:00:00"/>
    <x v="0"/>
    <x v="0"/>
    <x v="1"/>
    <x v="7"/>
    <x v="4"/>
    <s v="Óculos Sol"/>
    <x v="0"/>
    <n v="377.44"/>
    <n v="0.05"/>
    <n v="171.35"/>
    <s v="Concluída"/>
    <n v="377.44"/>
    <n v="18.872"/>
    <n v="358.56799999999998"/>
    <n v="171.35"/>
    <x v="780"/>
    <n v="1.9152431924280786"/>
  </r>
  <r>
    <x v="10"/>
    <s v="VD-0750"/>
    <d v="2025-11-20T00:00:00"/>
    <x v="0"/>
    <x v="0"/>
    <x v="0"/>
    <x v="10"/>
    <x v="4"/>
    <s v="Mochila Urban"/>
    <x v="1"/>
    <n v="297.54000000000002"/>
    <n v="0.125"/>
    <n v="134.69999999999999"/>
    <s v="Concluída"/>
    <n v="595.08000000000004"/>
    <n v="74.385000000000005"/>
    <n v="520.69500000000005"/>
    <n v="269.39999999999998"/>
    <x v="781"/>
    <n v="2.0720467975884911"/>
  </r>
  <r>
    <x v="10"/>
    <s v="VD-0796"/>
    <d v="2025-11-20T00:00:00"/>
    <x v="4"/>
    <x v="2"/>
    <x v="0"/>
    <x v="2"/>
    <x v="1"/>
    <s v="Monitor 27 Ultra"/>
    <x v="0"/>
    <n v="1345.53"/>
    <n v="0.05"/>
    <n v="944.83"/>
    <s v="Concluída"/>
    <n v="1345.53"/>
    <n v="67.276499999999999"/>
    <n v="1278.2535"/>
    <n v="944.83"/>
    <x v="782"/>
    <n v="3.8337234777992557"/>
  </r>
  <r>
    <x v="10"/>
    <s v="VD-0817"/>
    <d v="2025-11-20T00:00:00"/>
    <x v="6"/>
    <x v="0"/>
    <x v="2"/>
    <x v="5"/>
    <x v="0"/>
    <s v="Secador Pro"/>
    <x v="0"/>
    <n v="424.6"/>
    <n v="0.03"/>
    <n v="232.55"/>
    <s v="Concluída"/>
    <n v="424.6"/>
    <n v="12.738"/>
    <n v="411.86200000000002"/>
    <n v="232.55"/>
    <x v="783"/>
    <n v="2.2969014901400908"/>
  </r>
  <r>
    <x v="10"/>
    <s v="VD-0763"/>
    <d v="2025-11-21T00:00:00"/>
    <x v="2"/>
    <x v="1"/>
    <x v="1"/>
    <x v="9"/>
    <x v="1"/>
    <s v="Teclado Mecânico"/>
    <x v="0"/>
    <n v="436.53"/>
    <n v="0.05"/>
    <n v="249.75"/>
    <s v="Concluída"/>
    <n v="436.53"/>
    <n v="21.826499999999999"/>
    <n v="414.70349999999996"/>
    <n v="249.75"/>
    <x v="784"/>
    <n v="2.5140630541334379"/>
  </r>
  <r>
    <x v="10"/>
    <s v="VD-0767"/>
    <d v="2025-11-21T00:00:00"/>
    <x v="6"/>
    <x v="0"/>
    <x v="1"/>
    <x v="3"/>
    <x v="1"/>
    <s v="Monitor 27 Ultra"/>
    <x v="0"/>
    <n v="1247.26"/>
    <n v="0.05"/>
    <n v="878.99"/>
    <s v="Concluída"/>
    <n v="1247.26"/>
    <n v="62.363"/>
    <n v="1184.8969999999999"/>
    <n v="878.99"/>
    <x v="785"/>
    <n v="3.8733896249513746"/>
  </r>
  <r>
    <x v="10"/>
    <s v="VD-0772"/>
    <d v="2025-11-21T00:00:00"/>
    <x v="2"/>
    <x v="1"/>
    <x v="0"/>
    <x v="1"/>
    <x v="4"/>
    <s v="Óculos Sol"/>
    <x v="0"/>
    <n v="402.58"/>
    <n v="0.15"/>
    <n v="180.59"/>
    <s v="Concluída"/>
    <n v="402.58"/>
    <n v="60.386999999999993"/>
    <n v="342.19299999999998"/>
    <n v="180.59"/>
    <x v="786"/>
    <n v="2.1174916307246772"/>
  </r>
  <r>
    <x v="10"/>
    <s v="VD-0785"/>
    <d v="2025-11-21T00:00:00"/>
    <x v="5"/>
    <x v="1"/>
    <x v="1"/>
    <x v="6"/>
    <x v="1"/>
    <s v="Fone Wave"/>
    <x v="0"/>
    <n v="253.61"/>
    <n v="0"/>
    <n v="119.5"/>
    <s v="Concluída"/>
    <n v="253.61"/>
    <n v="0"/>
    <n v="253.61"/>
    <n v="119.5"/>
    <x v="787"/>
    <n v="1.8910595779583923"/>
  </r>
  <r>
    <x v="10"/>
    <s v="VD-0809"/>
    <d v="2025-11-21T00:00:00"/>
    <x v="6"/>
    <x v="0"/>
    <x v="3"/>
    <x v="0"/>
    <x v="3"/>
    <s v="Colchonete Pro"/>
    <x v="0"/>
    <n v="143.57"/>
    <n v="5.5E-2"/>
    <n v="57.41"/>
    <s v="Concluída"/>
    <n v="143.57"/>
    <n v="7.89635"/>
    <n v="135.67364999999998"/>
    <n v="57.41"/>
    <x v="788"/>
    <n v="1.733546160957226"/>
  </r>
  <r>
    <x v="10"/>
    <s v="VD-0787"/>
    <d v="2025-11-22T00:00:00"/>
    <x v="4"/>
    <x v="2"/>
    <x v="3"/>
    <x v="1"/>
    <x v="1"/>
    <s v="Teclado Mecânico"/>
    <x v="0"/>
    <n v="409.78"/>
    <n v="0.03"/>
    <n v="230.8"/>
    <s v="Concluída"/>
    <n v="409.78"/>
    <n v="12.293399999999998"/>
    <n v="397.48659999999995"/>
    <n v="230.8"/>
    <x v="789"/>
    <n v="2.3846343977260327"/>
  </r>
  <r>
    <x v="10"/>
    <s v="VD-0788"/>
    <d v="2025-11-22T00:00:00"/>
    <x v="5"/>
    <x v="1"/>
    <x v="1"/>
    <x v="10"/>
    <x v="1"/>
    <s v="Mouse Pro"/>
    <x v="0"/>
    <n v="201.01"/>
    <n v="0.10500000000000001"/>
    <n v="91.6"/>
    <s v="Concluída"/>
    <n v="201.01"/>
    <n v="21.10605"/>
    <n v="179.90394999999998"/>
    <n v="91.6"/>
    <x v="790"/>
    <n v="2.0373261898250306"/>
  </r>
  <r>
    <x v="10"/>
    <s v="VD-0789"/>
    <d v="2025-11-22T00:00:00"/>
    <x v="0"/>
    <x v="0"/>
    <x v="1"/>
    <x v="8"/>
    <x v="2"/>
    <s v="Cadeira Escritório"/>
    <x v="0"/>
    <n v="1203.02"/>
    <n v="0"/>
    <n v="897.73"/>
    <s v="Concluída"/>
    <n v="1203.02"/>
    <n v="0"/>
    <n v="1203.02"/>
    <n v="897.73"/>
    <x v="791"/>
    <n v="3.9405810868354685"/>
  </r>
  <r>
    <x v="10"/>
    <s v="VD-0805"/>
    <d v="2025-11-22T00:00:00"/>
    <x v="1"/>
    <x v="0"/>
    <x v="3"/>
    <x v="3"/>
    <x v="1"/>
    <s v="Teclado Mecânico"/>
    <x v="0"/>
    <n v="395.74"/>
    <n v="0.1"/>
    <n v="232.72"/>
    <s v="Concluída"/>
    <n v="395.74"/>
    <n v="39.574000000000005"/>
    <n v="356.166"/>
    <n v="232.72"/>
    <x v="792"/>
    <n v="2.8851967661973656"/>
  </r>
  <r>
    <x v="10"/>
    <s v="VD-0814"/>
    <d v="2025-11-23T00:00:00"/>
    <x v="4"/>
    <x v="2"/>
    <x v="1"/>
    <x v="8"/>
    <x v="4"/>
    <s v="Mochila Urban"/>
    <x v="1"/>
    <n v="338.03"/>
    <n v="0.15"/>
    <n v="157.08000000000001"/>
    <s v="Concluída"/>
    <n v="676.06"/>
    <n v="101.40899999999999"/>
    <n v="574.65099999999995"/>
    <n v="314.16000000000003"/>
    <x v="793"/>
    <n v="2.2060301507537692"/>
  </r>
  <r>
    <x v="10"/>
    <s v="VD-0794"/>
    <d v="2025-11-24T00:00:00"/>
    <x v="3"/>
    <x v="2"/>
    <x v="0"/>
    <x v="4"/>
    <x v="2"/>
    <s v="Air Fryer 5L"/>
    <x v="0"/>
    <n v="667.88"/>
    <n v="0.22500000000000001"/>
    <n v="376.88"/>
    <s v="Concluída"/>
    <n v="667.88"/>
    <n v="150.273"/>
    <n v="517.60699999999997"/>
    <n v="376.88"/>
    <x v="794"/>
    <n v="3.6780930453999594"/>
  </r>
  <r>
    <x v="10"/>
    <s v="VD-0749"/>
    <d v="2025-11-25T00:00:00"/>
    <x v="4"/>
    <x v="2"/>
    <x v="0"/>
    <x v="10"/>
    <x v="1"/>
    <s v="Teclado Mecânico"/>
    <x v="0"/>
    <n v="394.31"/>
    <n v="0.15"/>
    <n v="226.51"/>
    <s v="Concluída"/>
    <n v="394.31"/>
    <n v="59.146499999999996"/>
    <n v="335.1635"/>
    <n v="226.51"/>
    <x v="795"/>
    <n v="3.0847004468332817"/>
  </r>
  <r>
    <x v="10"/>
    <s v="VD-0757"/>
    <d v="2025-11-25T00:00:00"/>
    <x v="7"/>
    <x v="3"/>
    <x v="1"/>
    <x v="2"/>
    <x v="1"/>
    <s v="Fone Wave"/>
    <x v="0"/>
    <n v="244.13"/>
    <n v="0.05"/>
    <n v="118.53"/>
    <s v="Concluída"/>
    <n v="244.13"/>
    <n v="12.2065"/>
    <n v="231.92349999999999"/>
    <n v="118.53"/>
    <x v="796"/>
    <n v="2.0452980109089145"/>
  </r>
  <r>
    <x v="10"/>
    <s v="VD-0802"/>
    <d v="2025-11-25T00:00:00"/>
    <x v="5"/>
    <x v="1"/>
    <x v="1"/>
    <x v="11"/>
    <x v="0"/>
    <s v="Creme Facial"/>
    <x v="0"/>
    <n v="156.13999999999999"/>
    <n v="2.5000000000000001E-2"/>
    <n v="55.03"/>
    <s v="Concluída"/>
    <n v="156.13999999999999"/>
    <n v="3.9034999999999997"/>
    <n v="152.23649999999998"/>
    <n v="55.03"/>
    <x v="797"/>
    <n v="1.5661144059296448"/>
  </r>
  <r>
    <x v="10"/>
    <s v="VD-0815"/>
    <d v="2025-11-25T00:00:00"/>
    <x v="6"/>
    <x v="0"/>
    <x v="3"/>
    <x v="0"/>
    <x v="1"/>
    <s v="Teclado Mecânico"/>
    <x v="1"/>
    <n v="406.2"/>
    <n v="0.15"/>
    <n v="234.93"/>
    <s v="Concluída"/>
    <n v="812.4"/>
    <n v="121.85999999999999"/>
    <n v="690.54"/>
    <n v="469.86"/>
    <x v="798"/>
    <n v="3.1291462751495382"/>
  </r>
  <r>
    <x v="10"/>
    <s v="VD-0751"/>
    <d v="2025-11-26T00:00:00"/>
    <x v="0"/>
    <x v="0"/>
    <x v="0"/>
    <x v="5"/>
    <x v="3"/>
    <s v="Esteira Compacta"/>
    <x v="0"/>
    <n v="2865.57"/>
    <n v="0.25"/>
    <n v="2077.73"/>
    <s v="Concluída"/>
    <n v="2865.57"/>
    <n v="716.39250000000004"/>
    <n v="2149.1775000000002"/>
    <n v="2077.73"/>
    <x v="799"/>
    <n v="30.080513663878982"/>
  </r>
  <r>
    <x v="10"/>
    <s v="VD-0752"/>
    <d v="2025-11-26T00:00:00"/>
    <x v="6"/>
    <x v="0"/>
    <x v="1"/>
    <x v="8"/>
    <x v="2"/>
    <s v="Panela Pressão 6L"/>
    <x v="1"/>
    <n v="478.82"/>
    <n v="0.15"/>
    <n v="268.85000000000002"/>
    <s v="Concluída"/>
    <n v="957.64"/>
    <n v="143.64599999999999"/>
    <n v="813.99400000000003"/>
    <n v="537.70000000000005"/>
    <x v="800"/>
    <n v="2.9461153698596427"/>
  </r>
  <r>
    <x v="10"/>
    <s v="VD-0807"/>
    <d v="2025-11-26T00:00:00"/>
    <x v="5"/>
    <x v="1"/>
    <x v="0"/>
    <x v="7"/>
    <x v="2"/>
    <s v="Panela Pressão 6L"/>
    <x v="0"/>
    <n v="476.97"/>
    <n v="0.2"/>
    <n v="253.7"/>
    <s v="Concluída"/>
    <n v="476.97"/>
    <n v="95.394000000000005"/>
    <n v="381.57600000000002"/>
    <n v="253.7"/>
    <x v="801"/>
    <n v="2.9839532046670207"/>
  </r>
  <r>
    <x v="10"/>
    <s v="VD-0765"/>
    <d v="2025-11-27T00:00:00"/>
    <x v="1"/>
    <x v="0"/>
    <x v="1"/>
    <x v="3"/>
    <x v="3"/>
    <s v="Colchonete Pro"/>
    <x v="0"/>
    <n v="143.96"/>
    <n v="0.08"/>
    <n v="57.72"/>
    <s v="Concluída"/>
    <n v="143.96"/>
    <n v="11.516800000000002"/>
    <n v="132.44320000000002"/>
    <n v="57.72"/>
    <x v="802"/>
    <n v="1.7724508586356043"/>
  </r>
  <r>
    <x v="10"/>
    <s v="VD-0783"/>
    <d v="2025-11-27T00:00:00"/>
    <x v="6"/>
    <x v="0"/>
    <x v="1"/>
    <x v="4"/>
    <x v="3"/>
    <s v="Halteres 10kg"/>
    <x v="0"/>
    <n v="338.3"/>
    <n v="0.05"/>
    <n v="192.13"/>
    <s v="Concluída"/>
    <n v="338.3"/>
    <n v="16.915000000000003"/>
    <n v="321.38499999999999"/>
    <n v="192.13"/>
    <x v="803"/>
    <n v="2.4864415303083054"/>
  </r>
  <r>
    <x v="10"/>
    <s v="VD-0821"/>
    <d v="2025-11-27T00:00:00"/>
    <x v="7"/>
    <x v="3"/>
    <x v="1"/>
    <x v="8"/>
    <x v="4"/>
    <s v="Mochila Urban"/>
    <x v="0"/>
    <n v="342.91"/>
    <n v="0.1"/>
    <n v="156.87"/>
    <s v="Concluída"/>
    <n v="342.91"/>
    <n v="34.291000000000004"/>
    <n v="308.61900000000003"/>
    <n v="156.87"/>
    <x v="804"/>
    <n v="2.0337465156277799"/>
  </r>
  <r>
    <x v="10"/>
    <s v="VD-0827"/>
    <d v="2025-11-27T00:00:00"/>
    <x v="4"/>
    <x v="2"/>
    <x v="0"/>
    <x v="7"/>
    <x v="1"/>
    <s v="Monitor 27 Ultra"/>
    <x v="0"/>
    <n v="1206.28"/>
    <n v="0.25"/>
    <n v="860.96"/>
    <s v="Concluída"/>
    <n v="1206.28"/>
    <n v="301.57"/>
    <n v="904.71"/>
    <n v="860.96"/>
    <x v="805"/>
    <n v="20.679085714285716"/>
  </r>
  <r>
    <x v="10"/>
    <s v="VD-0840"/>
    <d v="2025-11-27T00:00:00"/>
    <x v="1"/>
    <x v="0"/>
    <x v="1"/>
    <x v="8"/>
    <x v="3"/>
    <s v="Halteres 10kg"/>
    <x v="1"/>
    <n v="382.29"/>
    <n v="0.05"/>
    <n v="218.52"/>
    <s v="Concluída"/>
    <n v="764.58"/>
    <n v="38.229000000000006"/>
    <n v="726.351"/>
    <n v="437.04"/>
    <x v="806"/>
    <n v="2.5106235158704648"/>
  </r>
  <r>
    <x v="10"/>
    <s v="VD-0768"/>
    <d v="2025-11-28T00:00:00"/>
    <x v="1"/>
    <x v="0"/>
    <x v="3"/>
    <x v="4"/>
    <x v="2"/>
    <s v="Panela Pressão 6L"/>
    <x v="0"/>
    <n v="416.45"/>
    <n v="0.1"/>
    <n v="229.93"/>
    <s v="Concluída"/>
    <n v="416.45"/>
    <n v="41.645000000000003"/>
    <n v="374.80500000000001"/>
    <n v="229.93"/>
    <x v="807"/>
    <n v="2.5870923209663506"/>
  </r>
  <r>
    <x v="10"/>
    <s v="VD-0771"/>
    <d v="2025-11-28T00:00:00"/>
    <x v="5"/>
    <x v="1"/>
    <x v="3"/>
    <x v="6"/>
    <x v="0"/>
    <s v="Secador Pro"/>
    <x v="1"/>
    <n v="429.29"/>
    <n v="0.2"/>
    <n v="230.22"/>
    <s v="Concluída"/>
    <n v="858.58"/>
    <n v="171.71600000000001"/>
    <n v="686.86400000000003"/>
    <n v="460.44"/>
    <x v="808"/>
    <n v="3.0335300144860966"/>
  </r>
  <r>
    <x v="10"/>
    <s v="VD-0828"/>
    <d v="2025-11-28T00:00:00"/>
    <x v="1"/>
    <x v="0"/>
    <x v="0"/>
    <x v="4"/>
    <x v="3"/>
    <s v="Halteres 10kg"/>
    <x v="0"/>
    <n v="349.67"/>
    <n v="0.05"/>
    <n v="202.17"/>
    <s v="Concluída"/>
    <n v="349.67"/>
    <n v="17.483500000000003"/>
    <n v="332.18650000000002"/>
    <n v="202.17"/>
    <x v="809"/>
    <n v="2.5549564862921241"/>
  </r>
  <r>
    <x v="11"/>
    <s v="VD-0854"/>
    <d v="2025-12-01T00:00:00"/>
    <x v="6"/>
    <x v="0"/>
    <x v="2"/>
    <x v="6"/>
    <x v="2"/>
    <s v="Cadeira Escritório"/>
    <x v="0"/>
    <n v="1149.5"/>
    <n v="0.03"/>
    <n v="812.65"/>
    <s v="Concluída"/>
    <n v="1149.5"/>
    <n v="34.484999999999999"/>
    <n v="1115.0150000000001"/>
    <n v="812.65"/>
    <x v="810"/>
    <n v="3.6876457261918532"/>
  </r>
  <r>
    <x v="11"/>
    <s v="VD-0892"/>
    <d v="2025-12-01T00:00:00"/>
    <x v="3"/>
    <x v="2"/>
    <x v="3"/>
    <x v="4"/>
    <x v="3"/>
    <s v="Halteres 10kg"/>
    <x v="0"/>
    <n v="371.07"/>
    <n v="0.1"/>
    <n v="215.16"/>
    <s v="Concluída"/>
    <n v="371.07"/>
    <n v="37.106999999999999"/>
    <n v="333.96299999999997"/>
    <n v="215.16"/>
    <x v="811"/>
    <n v="2.8110653771369414"/>
  </r>
  <r>
    <x v="11"/>
    <s v="VD-0893"/>
    <d v="2025-12-01T00:00:00"/>
    <x v="6"/>
    <x v="0"/>
    <x v="0"/>
    <x v="2"/>
    <x v="2"/>
    <s v="Tapete Sala"/>
    <x v="0"/>
    <n v="566.70000000000005"/>
    <n v="0.2"/>
    <n v="299.73"/>
    <s v="Concluída"/>
    <n v="566.70000000000005"/>
    <n v="113.34000000000002"/>
    <n v="453.36"/>
    <n v="299.73"/>
    <x v="812"/>
    <n v="2.9509861355204063"/>
  </r>
  <r>
    <x v="11"/>
    <s v="VD-0898"/>
    <d v="2025-12-01T00:00:00"/>
    <x v="6"/>
    <x v="0"/>
    <x v="1"/>
    <x v="6"/>
    <x v="3"/>
    <s v="Esteira Compacta"/>
    <x v="0"/>
    <n v="2992.2"/>
    <n v="0"/>
    <n v="2119.46"/>
    <s v="Concluída"/>
    <n v="2992.2"/>
    <n v="0"/>
    <n v="2992.2"/>
    <n v="2119.46"/>
    <x v="813"/>
    <n v="3.4285125008593633"/>
  </r>
  <r>
    <x v="11"/>
    <s v="VD-0899"/>
    <d v="2025-12-01T00:00:00"/>
    <x v="0"/>
    <x v="0"/>
    <x v="3"/>
    <x v="5"/>
    <x v="0"/>
    <s v="Secador Pro"/>
    <x v="0"/>
    <n v="448.4"/>
    <n v="0.03"/>
    <n v="248.79"/>
    <s v="Concluída"/>
    <n v="448.4"/>
    <n v="13.451999999999998"/>
    <n v="434.94799999999998"/>
    <n v="248.79"/>
    <x v="814"/>
    <n v="2.3364453851029769"/>
  </r>
  <r>
    <x v="11"/>
    <s v="VD-0904"/>
    <d v="2025-12-01T00:00:00"/>
    <x v="5"/>
    <x v="1"/>
    <x v="0"/>
    <x v="3"/>
    <x v="1"/>
    <s v="Notebook Nova 14"/>
    <x v="1"/>
    <n v="3638.32"/>
    <n v="0.1"/>
    <n v="2814.79"/>
    <s v="Concluída"/>
    <n v="7276.64"/>
    <n v="727.6640000000001"/>
    <n v="6548.9760000000006"/>
    <n v="5629.58"/>
    <x v="815"/>
    <n v="7.1231286627307453"/>
  </r>
  <r>
    <x v="11"/>
    <s v="VD-0945"/>
    <d v="2025-12-01T00:00:00"/>
    <x v="7"/>
    <x v="3"/>
    <x v="1"/>
    <x v="4"/>
    <x v="1"/>
    <s v="Fone Wave"/>
    <x v="0"/>
    <n v="255.16"/>
    <n v="0.05"/>
    <n v="123.14"/>
    <s v="Concluída"/>
    <n v="255.16"/>
    <n v="12.758000000000001"/>
    <n v="242.40199999999999"/>
    <n v="123.14"/>
    <x v="816"/>
    <n v="2.0325166440274356"/>
  </r>
  <r>
    <x v="11"/>
    <s v="VD-0866"/>
    <d v="2025-12-02T00:00:00"/>
    <x v="0"/>
    <x v="0"/>
    <x v="3"/>
    <x v="8"/>
    <x v="1"/>
    <s v="Notebook Nova 14"/>
    <x v="0"/>
    <n v="3718.99"/>
    <n v="0.125"/>
    <n v="2889.27"/>
    <s v="Concluída"/>
    <n v="3718.99"/>
    <n v="464.87374999999997"/>
    <n v="3254.11625"/>
    <n v="2889.27"/>
    <x v="817"/>
    <n v="8.9191440229959866"/>
  </r>
  <r>
    <x v="11"/>
    <s v="VD-0901"/>
    <d v="2025-12-02T00:00:00"/>
    <x v="5"/>
    <x v="1"/>
    <x v="1"/>
    <x v="6"/>
    <x v="4"/>
    <s v="Óculos Sol"/>
    <x v="1"/>
    <n v="359.95"/>
    <n v="0"/>
    <n v="158.66"/>
    <s v="Concluída"/>
    <n v="719.9"/>
    <n v="0"/>
    <n v="719.9"/>
    <n v="317.32"/>
    <x v="818"/>
    <n v="1.788216006756421"/>
  </r>
  <r>
    <x v="11"/>
    <s v="VD-0903"/>
    <d v="2025-12-02T00:00:00"/>
    <x v="4"/>
    <x v="2"/>
    <x v="1"/>
    <x v="6"/>
    <x v="4"/>
    <s v="Óculos Sol"/>
    <x v="0"/>
    <n v="395.1"/>
    <n v="0.05"/>
    <n v="177.82"/>
    <s v="Concluída"/>
    <n v="395.1"/>
    <n v="19.755000000000003"/>
    <n v="375.34500000000003"/>
    <n v="177.82"/>
    <x v="819"/>
    <n v="1.9002404758891278"/>
  </r>
  <r>
    <x v="11"/>
    <s v="VD-0908"/>
    <d v="2025-12-02T00:00:00"/>
    <x v="5"/>
    <x v="1"/>
    <x v="2"/>
    <x v="1"/>
    <x v="3"/>
    <s v="Colchonete Pro"/>
    <x v="1"/>
    <n v="144.99"/>
    <n v="0.1"/>
    <n v="59.63"/>
    <s v="Concluída"/>
    <n v="289.98"/>
    <n v="28.998000000000005"/>
    <n v="260.98200000000003"/>
    <n v="119.26"/>
    <x v="820"/>
    <n v="1.841506611535259"/>
  </r>
  <r>
    <x v="11"/>
    <s v="VD-0850"/>
    <d v="2025-12-03T00:00:00"/>
    <x v="4"/>
    <x v="2"/>
    <x v="1"/>
    <x v="3"/>
    <x v="1"/>
    <s v="Fone Wave"/>
    <x v="1"/>
    <n v="248.67"/>
    <n v="0.17499999999999999"/>
    <n v="116.24"/>
    <s v="Concluída"/>
    <n v="497.34"/>
    <n v="87.034499999999994"/>
    <n v="410.30549999999999"/>
    <n v="232.48"/>
    <x v="821"/>
    <n v="2.3073490584871124"/>
  </r>
  <r>
    <x v="11"/>
    <s v="VD-0881"/>
    <d v="2025-12-03T00:00:00"/>
    <x v="0"/>
    <x v="0"/>
    <x v="0"/>
    <x v="7"/>
    <x v="1"/>
    <s v="Mouse Pro"/>
    <x v="0"/>
    <n v="186.47"/>
    <n v="0.25"/>
    <n v="84.58"/>
    <s v="Concluída"/>
    <n v="186.47"/>
    <n v="46.6175"/>
    <n v="139.85249999999999"/>
    <n v="84.58"/>
    <x v="822"/>
    <n v="2.5302365552489938"/>
  </r>
  <r>
    <x v="11"/>
    <s v="VD-0910"/>
    <d v="2025-12-03T00:00:00"/>
    <x v="7"/>
    <x v="3"/>
    <x v="0"/>
    <x v="9"/>
    <x v="4"/>
    <s v="Relógio Fit"/>
    <x v="0"/>
    <n v="658.48"/>
    <n v="0.25"/>
    <n v="325.48"/>
    <s v="Concluída"/>
    <n v="658.48"/>
    <n v="164.62"/>
    <n v="493.86"/>
    <n v="325.48"/>
    <x v="823"/>
    <n v="2.933008670863523"/>
  </r>
  <r>
    <x v="11"/>
    <s v="VD-0940"/>
    <d v="2025-12-03T00:00:00"/>
    <x v="0"/>
    <x v="0"/>
    <x v="3"/>
    <x v="3"/>
    <x v="2"/>
    <s v="Air Fryer 5L"/>
    <x v="0"/>
    <n v="680.56"/>
    <n v="0.05"/>
    <n v="379.22"/>
    <s v="Concluída"/>
    <n v="680.56"/>
    <n v="34.027999999999999"/>
    <n v="646.53199999999993"/>
    <n v="379.22"/>
    <x v="824"/>
    <n v="2.4186418866343455"/>
  </r>
  <r>
    <x v="11"/>
    <s v="VD-0857"/>
    <d v="2025-12-04T00:00:00"/>
    <x v="1"/>
    <x v="0"/>
    <x v="2"/>
    <x v="11"/>
    <x v="1"/>
    <s v="Mouse Pro"/>
    <x v="1"/>
    <n v="186.28"/>
    <n v="0.1"/>
    <n v="84.89"/>
    <s v="Concluída"/>
    <n v="372.56"/>
    <n v="37.256"/>
    <n v="335.30399999999997"/>
    <n v="169.78"/>
    <x v="825"/>
    <n v="2.025712283415094"/>
  </r>
  <r>
    <x v="11"/>
    <s v="VD-0865"/>
    <d v="2025-12-04T00:00:00"/>
    <x v="6"/>
    <x v="0"/>
    <x v="0"/>
    <x v="3"/>
    <x v="0"/>
    <s v="Creme Facial"/>
    <x v="0"/>
    <n v="140.13999999999999"/>
    <n v="0.15"/>
    <n v="48.47"/>
    <s v="Concluída"/>
    <n v="140.13999999999999"/>
    <n v="21.020999999999997"/>
    <n v="119.11899999999999"/>
    <n v="48.47"/>
    <x v="826"/>
    <n v="1.6860677433509321"/>
  </r>
  <r>
    <x v="11"/>
    <s v="VD-0911"/>
    <d v="2025-12-04T00:00:00"/>
    <x v="1"/>
    <x v="0"/>
    <x v="0"/>
    <x v="0"/>
    <x v="2"/>
    <s v="Cadeira Escritório"/>
    <x v="0"/>
    <n v="1193.6300000000001"/>
    <n v="0.2"/>
    <n v="896.94"/>
    <s v="Concluída"/>
    <n v="1193.6300000000001"/>
    <n v="238.72600000000003"/>
    <n v="954.90400000000011"/>
    <n v="896.94"/>
    <x v="827"/>
    <n v="16.474087364571098"/>
  </r>
  <r>
    <x v="11"/>
    <s v="VD-0919"/>
    <d v="2025-12-04T00:00:00"/>
    <x v="5"/>
    <x v="1"/>
    <x v="2"/>
    <x v="4"/>
    <x v="3"/>
    <s v="Colchonete Pro"/>
    <x v="0"/>
    <n v="144.87"/>
    <n v="5.5E-2"/>
    <n v="57.36"/>
    <s v="Concluída"/>
    <n v="144.87"/>
    <n v="7.9678500000000003"/>
    <n v="136.90215000000001"/>
    <n v="57.36"/>
    <x v="828"/>
    <n v="1.7211271005372621"/>
  </r>
  <r>
    <x v="11"/>
    <s v="VD-0925"/>
    <d v="2025-12-04T00:00:00"/>
    <x v="3"/>
    <x v="2"/>
    <x v="1"/>
    <x v="5"/>
    <x v="2"/>
    <s v="Air Fryer 5L"/>
    <x v="0"/>
    <n v="678.39"/>
    <n v="0.15"/>
    <n v="400.87"/>
    <s v="Concluída"/>
    <n v="678.39"/>
    <n v="101.7585"/>
    <n v="576.63149999999996"/>
    <n v="400.87"/>
    <x v="829"/>
    <n v="3.2807611450744338"/>
  </r>
  <r>
    <x v="11"/>
    <s v="VD-0877"/>
    <d v="2025-12-05T00:00:00"/>
    <x v="0"/>
    <x v="0"/>
    <x v="3"/>
    <x v="2"/>
    <x v="1"/>
    <s v="Notebook Nova 14"/>
    <x v="0"/>
    <n v="4157.05"/>
    <n v="0.15"/>
    <n v="3299.32"/>
    <s v="Concluída"/>
    <n v="4157.05"/>
    <n v="623.5575"/>
    <n v="3533.4925000000003"/>
    <n v="3299.32"/>
    <x v="830"/>
    <n v="15.0892717974997"/>
  </r>
  <r>
    <x v="11"/>
    <s v="VD-0889"/>
    <d v="2025-12-05T00:00:00"/>
    <x v="0"/>
    <x v="0"/>
    <x v="0"/>
    <x v="10"/>
    <x v="0"/>
    <s v="Secador Pro"/>
    <x v="0"/>
    <n v="428.38"/>
    <n v="0.25"/>
    <n v="244.46"/>
    <s v="Concluída"/>
    <n v="428.38"/>
    <n v="107.095"/>
    <n v="321.28499999999997"/>
    <n v="244.46"/>
    <x v="831"/>
    <n v="4.1820370972990579"/>
  </r>
  <r>
    <x v="11"/>
    <s v="VD-0926"/>
    <d v="2025-12-05T00:00:00"/>
    <x v="2"/>
    <x v="1"/>
    <x v="3"/>
    <x v="1"/>
    <x v="3"/>
    <s v="Colchonete Pro"/>
    <x v="0"/>
    <n v="143.31"/>
    <n v="0.1"/>
    <n v="57.12"/>
    <s v="Concluída"/>
    <n v="143.31"/>
    <n v="14.331000000000001"/>
    <n v="128.97900000000001"/>
    <n v="57.12"/>
    <x v="832"/>
    <n v="1.794889992902768"/>
  </r>
  <r>
    <x v="11"/>
    <s v="VD-0900"/>
    <d v="2025-12-06T00:00:00"/>
    <x v="2"/>
    <x v="1"/>
    <x v="3"/>
    <x v="5"/>
    <x v="1"/>
    <s v="Notebook Nova 14"/>
    <x v="0"/>
    <n v="3685.38"/>
    <n v="0.03"/>
    <n v="2966.63"/>
    <s v="Concluída"/>
    <n v="3685.38"/>
    <n v="110.56140000000001"/>
    <n v="3574.8186000000001"/>
    <n v="2966.63"/>
    <x v="833"/>
    <n v="5.8778125732708579"/>
  </r>
  <r>
    <x v="11"/>
    <s v="VD-0909"/>
    <d v="2025-12-06T00:00:00"/>
    <x v="3"/>
    <x v="2"/>
    <x v="0"/>
    <x v="0"/>
    <x v="2"/>
    <s v="Tapete Sala"/>
    <x v="0"/>
    <n v="548.91"/>
    <n v="0.05"/>
    <n v="280.10000000000002"/>
    <s v="Concluída"/>
    <n v="548.91"/>
    <n v="27.445499999999999"/>
    <n v="521.46449999999993"/>
    <n v="280.10000000000002"/>
    <x v="834"/>
    <n v="2.1604854897882668"/>
  </r>
  <r>
    <x v="11"/>
    <s v="VD-0928"/>
    <d v="2025-12-06T00:00:00"/>
    <x v="4"/>
    <x v="2"/>
    <x v="2"/>
    <x v="10"/>
    <x v="1"/>
    <s v="Mouse Pro"/>
    <x v="2"/>
    <n v="203.79"/>
    <n v="0.1"/>
    <n v="94.46"/>
    <s v="Concluída"/>
    <n v="611.37"/>
    <n v="61.137"/>
    <n v="550.23299999999995"/>
    <n v="283.38"/>
    <x v="835"/>
    <n v="2.0619329743341841"/>
  </r>
  <r>
    <x v="11"/>
    <s v="VD-0938"/>
    <d v="2025-12-06T00:00:00"/>
    <x v="6"/>
    <x v="0"/>
    <x v="1"/>
    <x v="9"/>
    <x v="1"/>
    <s v="Monitor 27 Ultra"/>
    <x v="0"/>
    <n v="1385.5"/>
    <n v="0.08"/>
    <n v="938.61"/>
    <s v="Concluída"/>
    <n v="1385.5"/>
    <n v="110.84"/>
    <n v="1274.6600000000001"/>
    <n v="938.61"/>
    <x v="836"/>
    <n v="3.7930665079601242"/>
  </r>
  <r>
    <x v="11"/>
    <s v="VD-0912"/>
    <d v="2025-12-07T00:00:00"/>
    <x v="2"/>
    <x v="1"/>
    <x v="1"/>
    <x v="10"/>
    <x v="0"/>
    <s v="Creme Facial"/>
    <x v="0"/>
    <n v="140.93"/>
    <n v="0"/>
    <n v="50.6"/>
    <s v="Concluída"/>
    <n v="140.93"/>
    <n v="0"/>
    <n v="140.93"/>
    <n v="50.6"/>
    <x v="837"/>
    <n v="1.5601682718919516"/>
  </r>
  <r>
    <x v="11"/>
    <s v="VD-0949"/>
    <d v="2025-12-07T00:00:00"/>
    <x v="1"/>
    <x v="0"/>
    <x v="0"/>
    <x v="0"/>
    <x v="1"/>
    <s v="Teclado Mecânico"/>
    <x v="0"/>
    <n v="419.25"/>
    <n v="0.1"/>
    <n v="245.89"/>
    <s v="Concluída"/>
    <n v="419.25"/>
    <n v="41.925000000000004"/>
    <n v="377.32499999999999"/>
    <n v="245.89"/>
    <x v="838"/>
    <n v="2.8708106668695552"/>
  </r>
  <r>
    <x v="11"/>
    <s v="VD-0856"/>
    <d v="2025-12-08T00:00:00"/>
    <x v="5"/>
    <x v="1"/>
    <x v="0"/>
    <x v="11"/>
    <x v="0"/>
    <s v="Balança Smart"/>
    <x v="0"/>
    <n v="220.35"/>
    <n v="0.25"/>
    <n v="92.3"/>
    <s v="Concluída"/>
    <n v="220.35"/>
    <n v="55.087499999999999"/>
    <n v="165.26249999999999"/>
    <n v="92.3"/>
    <x v="839"/>
    <n v="2.2650334075723833"/>
  </r>
  <r>
    <x v="11"/>
    <s v="VD-0873"/>
    <d v="2025-12-08T00:00:00"/>
    <x v="7"/>
    <x v="3"/>
    <x v="3"/>
    <x v="5"/>
    <x v="4"/>
    <s v="Relógio Fit"/>
    <x v="0"/>
    <n v="720.75"/>
    <n v="0.03"/>
    <n v="353.4"/>
    <s v="Concluída"/>
    <n v="720.75"/>
    <n v="21.622499999999999"/>
    <n v="699.12750000000005"/>
    <n v="353.4"/>
    <x v="840"/>
    <n v="2.0221923335574981"/>
  </r>
  <r>
    <x v="11"/>
    <s v="VD-0884"/>
    <d v="2025-12-08T00:00:00"/>
    <x v="4"/>
    <x v="2"/>
    <x v="3"/>
    <x v="0"/>
    <x v="0"/>
    <s v="Balança Smart"/>
    <x v="0"/>
    <n v="230.61"/>
    <n v="0.1"/>
    <n v="98.21"/>
    <s v="Concluída"/>
    <n v="230.61"/>
    <n v="23.061000000000003"/>
    <n v="207.54900000000001"/>
    <n v="98.21"/>
    <x v="841"/>
    <n v="1.8982156412624953"/>
  </r>
  <r>
    <x v="11"/>
    <s v="VD-0894"/>
    <d v="2025-12-08T00:00:00"/>
    <x v="2"/>
    <x v="1"/>
    <x v="0"/>
    <x v="0"/>
    <x v="2"/>
    <s v="Air Fryer 5L"/>
    <x v="0"/>
    <n v="658.13"/>
    <n v="0.25"/>
    <n v="374.14"/>
    <s v="Concluída"/>
    <n v="658.13"/>
    <n v="164.5325"/>
    <n v="493.59749999999997"/>
    <n v="374.14"/>
    <x v="842"/>
    <n v="4.1319925496515504"/>
  </r>
  <r>
    <x v="11"/>
    <s v="VD-0934"/>
    <d v="2025-12-08T00:00:00"/>
    <x v="2"/>
    <x v="1"/>
    <x v="3"/>
    <x v="7"/>
    <x v="0"/>
    <s v="Secador Pro"/>
    <x v="2"/>
    <n v="408.51"/>
    <n v="0.2"/>
    <n v="223.77"/>
    <s v="Concluída"/>
    <n v="1225.53"/>
    <n v="245.10599999999999"/>
    <n v="980.42399999999998"/>
    <n v="671.31000000000006"/>
    <x v="843"/>
    <n v="3.1717230536307"/>
  </r>
  <r>
    <x v="11"/>
    <s v="VD-0859"/>
    <d v="2025-12-09T00:00:00"/>
    <x v="6"/>
    <x v="0"/>
    <x v="1"/>
    <x v="7"/>
    <x v="3"/>
    <s v="Colchonete Pro"/>
    <x v="1"/>
    <n v="140.74"/>
    <n v="0.1"/>
    <n v="56.81"/>
    <s v="Concluída"/>
    <n v="281.48"/>
    <n v="28.148000000000003"/>
    <n v="253.33200000000002"/>
    <n v="113.62"/>
    <x v="844"/>
    <n v="1.8132443884562528"/>
  </r>
  <r>
    <x v="11"/>
    <s v="VD-0914"/>
    <d v="2025-12-09T00:00:00"/>
    <x v="5"/>
    <x v="1"/>
    <x v="1"/>
    <x v="4"/>
    <x v="2"/>
    <s v="Panela Pressão 6L"/>
    <x v="1"/>
    <n v="462.77"/>
    <n v="0"/>
    <n v="257.08999999999997"/>
    <s v="Concluída"/>
    <n v="925.54"/>
    <n v="0"/>
    <n v="925.54"/>
    <n v="514.17999999999995"/>
    <x v="845"/>
    <n v="2.2499513807856864"/>
  </r>
  <r>
    <x v="11"/>
    <s v="VD-0920"/>
    <d v="2025-12-09T00:00:00"/>
    <x v="7"/>
    <x v="3"/>
    <x v="1"/>
    <x v="6"/>
    <x v="0"/>
    <s v="Creme Facial"/>
    <x v="1"/>
    <n v="156.05000000000001"/>
    <n v="0"/>
    <n v="55.96"/>
    <s v="Concluída"/>
    <n v="312.10000000000002"/>
    <n v="0"/>
    <n v="312.10000000000002"/>
    <n v="111.92"/>
    <x v="846"/>
    <n v="1.5590968128684184"/>
  </r>
  <r>
    <x v="11"/>
    <s v="VD-0867"/>
    <d v="2025-12-10T00:00:00"/>
    <x v="2"/>
    <x v="1"/>
    <x v="1"/>
    <x v="1"/>
    <x v="0"/>
    <s v="Creme Facial"/>
    <x v="0"/>
    <n v="142.85"/>
    <n v="0.15"/>
    <n v="49"/>
    <s v="Concluída"/>
    <n v="142.85"/>
    <n v="21.427499999999998"/>
    <n v="121.4225"/>
    <n v="49"/>
    <x v="847"/>
    <n v="1.6765853153370844"/>
  </r>
  <r>
    <x v="11"/>
    <s v="VD-0886"/>
    <d v="2025-12-10T00:00:00"/>
    <x v="4"/>
    <x v="2"/>
    <x v="3"/>
    <x v="6"/>
    <x v="3"/>
    <s v="Colchonete Pro"/>
    <x v="1"/>
    <n v="142.07"/>
    <n v="0.05"/>
    <n v="54.58"/>
    <s v="Concluída"/>
    <n v="284.14"/>
    <n v="14.207000000000001"/>
    <n v="269.93299999999999"/>
    <n v="109.16"/>
    <x v="848"/>
    <n v="1.6789697275039963"/>
  </r>
  <r>
    <x v="11"/>
    <s v="VD-0907"/>
    <d v="2025-12-10T00:00:00"/>
    <x v="7"/>
    <x v="3"/>
    <x v="1"/>
    <x v="2"/>
    <x v="4"/>
    <s v="Óculos Sol"/>
    <x v="0"/>
    <n v="394.27"/>
    <n v="0"/>
    <n v="175.74"/>
    <s v="Concluída"/>
    <n v="394.27"/>
    <n v="0"/>
    <n v="394.27"/>
    <n v="175.74"/>
    <x v="849"/>
    <n v="1.8041916441678489"/>
  </r>
  <r>
    <x v="11"/>
    <s v="VD-0947"/>
    <d v="2025-12-10T00:00:00"/>
    <x v="3"/>
    <x v="2"/>
    <x v="1"/>
    <x v="9"/>
    <x v="1"/>
    <s v="Monitor 27 Ultra"/>
    <x v="0"/>
    <n v="1268.27"/>
    <n v="0.10500000000000001"/>
    <n v="867.96"/>
    <s v="Concluída"/>
    <n v="1268.27"/>
    <n v="133.16835"/>
    <n v="1135.1016500000001"/>
    <n v="867.96"/>
    <x v="850"/>
    <n v="4.2490628099362269"/>
  </r>
  <r>
    <x v="11"/>
    <s v="VD-0855"/>
    <d v="2025-12-11T00:00:00"/>
    <x v="4"/>
    <x v="2"/>
    <x v="1"/>
    <x v="9"/>
    <x v="1"/>
    <s v="Mouse Pro"/>
    <x v="0"/>
    <n v="193.35"/>
    <n v="0.08"/>
    <n v="86.78"/>
    <s v="Concluída"/>
    <n v="193.35"/>
    <n v="15.468"/>
    <n v="177.88200000000001"/>
    <n v="86.78"/>
    <x v="851"/>
    <n v="1.9525586705011964"/>
  </r>
  <r>
    <x v="11"/>
    <s v="VD-0863"/>
    <d v="2025-12-11T00:00:00"/>
    <x v="4"/>
    <x v="2"/>
    <x v="3"/>
    <x v="9"/>
    <x v="3"/>
    <s v="Colchonete Pro"/>
    <x v="1"/>
    <n v="149.58000000000001"/>
    <n v="0.15"/>
    <n v="60.4"/>
    <s v="Concluída"/>
    <n v="299.16000000000003"/>
    <n v="44.874000000000002"/>
    <n v="254.28600000000003"/>
    <n v="120.8"/>
    <x v="852"/>
    <n v="1.904963816430187"/>
  </r>
  <r>
    <x v="11"/>
    <s v="VD-0869"/>
    <d v="2025-12-11T00:00:00"/>
    <x v="6"/>
    <x v="0"/>
    <x v="3"/>
    <x v="11"/>
    <x v="0"/>
    <s v="Creme Facial"/>
    <x v="0"/>
    <n v="148.61000000000001"/>
    <n v="0.05"/>
    <n v="53.71"/>
    <s v="Cancelada"/>
    <n v="148.61000000000001"/>
    <n v="7.4305000000000012"/>
    <n v="0"/>
    <n v="0"/>
    <x v="2"/>
    <s v="sem Valor"/>
  </r>
  <r>
    <x v="11"/>
    <s v="VD-0878"/>
    <d v="2025-12-11T00:00:00"/>
    <x v="1"/>
    <x v="0"/>
    <x v="1"/>
    <x v="9"/>
    <x v="3"/>
    <s v="Halteres 10kg"/>
    <x v="0"/>
    <n v="372.17"/>
    <n v="0.15"/>
    <n v="204.4"/>
    <s v="Concluída"/>
    <n v="372.17"/>
    <n v="55.825499999999998"/>
    <n v="316.34450000000004"/>
    <n v="204.4"/>
    <x v="853"/>
    <n v="2.8259048010398007"/>
  </r>
  <r>
    <x v="11"/>
    <s v="VD-0879"/>
    <d v="2025-12-11T00:00:00"/>
    <x v="6"/>
    <x v="0"/>
    <x v="3"/>
    <x v="3"/>
    <x v="0"/>
    <s v="Secador Pro"/>
    <x v="1"/>
    <n v="441.52"/>
    <n v="0.05"/>
    <n v="244.31"/>
    <s v="Concluída"/>
    <n v="883.04"/>
    <n v="44.152000000000001"/>
    <n v="838.88799999999992"/>
    <n v="488.62"/>
    <x v="854"/>
    <n v="2.3949889798668451"/>
  </r>
  <r>
    <x v="11"/>
    <s v="VD-0883"/>
    <d v="2025-12-11T00:00:00"/>
    <x v="4"/>
    <x v="2"/>
    <x v="0"/>
    <x v="6"/>
    <x v="4"/>
    <s v="Óculos Sol"/>
    <x v="0"/>
    <n v="390.53"/>
    <n v="0.2"/>
    <n v="170.77"/>
    <s v="Concluída"/>
    <n v="390.53"/>
    <n v="78.105999999999995"/>
    <n v="312.42399999999998"/>
    <n v="170.77"/>
    <x v="855"/>
    <n v="2.2055430838522034"/>
  </r>
  <r>
    <x v="11"/>
    <s v="VD-0887"/>
    <d v="2025-12-11T00:00:00"/>
    <x v="3"/>
    <x v="2"/>
    <x v="0"/>
    <x v="7"/>
    <x v="2"/>
    <s v="Tapete Sala"/>
    <x v="0"/>
    <n v="559.95000000000005"/>
    <n v="0.15"/>
    <n v="296.16000000000003"/>
    <s v="Cancelada"/>
    <n v="559.95000000000005"/>
    <n v="83.992500000000007"/>
    <n v="0"/>
    <n v="0"/>
    <x v="2"/>
    <s v="sem Valor"/>
  </r>
  <r>
    <x v="11"/>
    <s v="VD-0895"/>
    <d v="2025-12-11T00:00:00"/>
    <x v="0"/>
    <x v="0"/>
    <x v="2"/>
    <x v="5"/>
    <x v="3"/>
    <s v="Halteres 10kg"/>
    <x v="0"/>
    <n v="350.22"/>
    <n v="0.05"/>
    <n v="191.75"/>
    <s v="Concluída"/>
    <n v="350.22"/>
    <n v="17.511000000000003"/>
    <n v="332.709"/>
    <n v="191.75"/>
    <x v="856"/>
    <n v="2.3603246334040393"/>
  </r>
  <r>
    <x v="11"/>
    <s v="VD-0948"/>
    <d v="2025-12-11T00:00:00"/>
    <x v="2"/>
    <x v="1"/>
    <x v="1"/>
    <x v="9"/>
    <x v="1"/>
    <s v="Fone Wave"/>
    <x v="0"/>
    <n v="236.3"/>
    <n v="0.15"/>
    <n v="109.32"/>
    <s v="Concluída"/>
    <n v="236.3"/>
    <n v="35.445"/>
    <n v="200.85500000000002"/>
    <n v="109.32"/>
    <x v="857"/>
    <n v="2.1942972633418907"/>
  </r>
  <r>
    <x v="11"/>
    <s v="VD-0868"/>
    <d v="2025-12-12T00:00:00"/>
    <x v="2"/>
    <x v="1"/>
    <x v="3"/>
    <x v="1"/>
    <x v="2"/>
    <s v="Kit Lençol 4p"/>
    <x v="0"/>
    <n v="291.16000000000003"/>
    <n v="0.03"/>
    <n v="125.63"/>
    <s v="Concluída"/>
    <n v="291.16000000000003"/>
    <n v="8.7347999999999999"/>
    <n v="282.42520000000002"/>
    <n v="125.63"/>
    <x v="858"/>
    <n v="1.801236262334561"/>
  </r>
  <r>
    <x v="11"/>
    <s v="VD-0902"/>
    <d v="2025-12-12T00:00:00"/>
    <x v="1"/>
    <x v="0"/>
    <x v="1"/>
    <x v="0"/>
    <x v="1"/>
    <s v="Mouse Pro"/>
    <x v="0"/>
    <n v="188.57"/>
    <n v="0.15"/>
    <n v="88.82"/>
    <s v="Concluída"/>
    <n v="188.57"/>
    <n v="28.285499999999999"/>
    <n v="160.28449999999998"/>
    <n v="88.82"/>
    <x v="859"/>
    <n v="2.2428548440134612"/>
  </r>
  <r>
    <x v="11"/>
    <s v="VD-0918"/>
    <d v="2025-12-12T00:00:00"/>
    <x v="0"/>
    <x v="0"/>
    <x v="1"/>
    <x v="5"/>
    <x v="2"/>
    <s v="Kit Lençol 4p"/>
    <x v="0"/>
    <n v="281.8"/>
    <n v="0"/>
    <n v="123.32"/>
    <s v="Concluída"/>
    <n v="281.8"/>
    <n v="0"/>
    <n v="281.8"/>
    <n v="123.32"/>
    <x v="860"/>
    <n v="1.7781423523472992"/>
  </r>
  <r>
    <x v="11"/>
    <s v="VD-0874"/>
    <d v="2025-12-13T00:00:00"/>
    <x v="0"/>
    <x v="0"/>
    <x v="1"/>
    <x v="11"/>
    <x v="1"/>
    <s v="Fone Wave"/>
    <x v="0"/>
    <n v="241.93"/>
    <n v="0.08"/>
    <n v="120.04"/>
    <s v="Concluída"/>
    <n v="241.93"/>
    <n v="19.354400000000002"/>
    <n v="222.57560000000001"/>
    <n v="120.04"/>
    <x v="861"/>
    <n v="2.1707153417934846"/>
  </r>
  <r>
    <x v="11"/>
    <s v="VD-0897"/>
    <d v="2025-12-13T00:00:00"/>
    <x v="5"/>
    <x v="1"/>
    <x v="1"/>
    <x v="10"/>
    <x v="3"/>
    <s v="Halteres 10kg"/>
    <x v="0"/>
    <n v="332.57"/>
    <n v="0.15"/>
    <n v="180.34"/>
    <s v="Concluída"/>
    <n v="332.57"/>
    <n v="49.8855"/>
    <n v="282.68450000000001"/>
    <n v="180.34"/>
    <x v="862"/>
    <n v="2.7620878503485775"/>
  </r>
  <r>
    <x v="11"/>
    <s v="VD-0950"/>
    <d v="2025-12-13T00:00:00"/>
    <x v="4"/>
    <x v="2"/>
    <x v="1"/>
    <x v="10"/>
    <x v="4"/>
    <s v="Relógio Fit"/>
    <x v="1"/>
    <n v="740.78"/>
    <n v="0.05"/>
    <n v="363.16"/>
    <s v="Concluída"/>
    <n v="1481.56"/>
    <n v="74.078000000000003"/>
    <n v="1407.482"/>
    <n v="726.32"/>
    <x v="863"/>
    <n v="2.0662955361573312"/>
  </r>
  <r>
    <x v="11"/>
    <s v="VD-0864"/>
    <d v="2025-12-14T00:00:00"/>
    <x v="6"/>
    <x v="0"/>
    <x v="3"/>
    <x v="0"/>
    <x v="4"/>
    <s v="Mochila Urban"/>
    <x v="0"/>
    <n v="305.10000000000002"/>
    <n v="0.2"/>
    <n v="135.43"/>
    <s v="Concluída"/>
    <n v="305.10000000000002"/>
    <n v="61.02000000000001"/>
    <n v="244.08"/>
    <n v="135.43"/>
    <x v="864"/>
    <n v="2.2464795213989874"/>
  </r>
  <r>
    <x v="11"/>
    <s v="VD-0876"/>
    <d v="2025-12-14T00:00:00"/>
    <x v="7"/>
    <x v="3"/>
    <x v="1"/>
    <x v="2"/>
    <x v="3"/>
    <s v="Colchonete Pro"/>
    <x v="0"/>
    <n v="130.86000000000001"/>
    <n v="0"/>
    <n v="53.29"/>
    <s v="Cancelada"/>
    <n v="130.86000000000001"/>
    <n v="0"/>
    <n v="0"/>
    <n v="0"/>
    <x v="2"/>
    <s v="sem Valor"/>
  </r>
  <r>
    <x v="11"/>
    <s v="VD-0882"/>
    <d v="2025-12-14T00:00:00"/>
    <x v="5"/>
    <x v="1"/>
    <x v="2"/>
    <x v="8"/>
    <x v="1"/>
    <s v="Mouse Pro"/>
    <x v="0"/>
    <n v="202.69"/>
    <n v="0.1"/>
    <n v="92.85"/>
    <s v="Concluída"/>
    <n v="202.69"/>
    <n v="20.269000000000002"/>
    <n v="182.42099999999999"/>
    <n v="92.85"/>
    <x v="865"/>
    <n v="2.0366078306594768"/>
  </r>
  <r>
    <x v="11"/>
    <s v="VD-0921"/>
    <d v="2025-12-14T00:00:00"/>
    <x v="5"/>
    <x v="1"/>
    <x v="1"/>
    <x v="10"/>
    <x v="2"/>
    <s v="Kit Lençol 4p"/>
    <x v="1"/>
    <n v="275.67"/>
    <n v="0.15"/>
    <n v="122.85"/>
    <s v="Concluída"/>
    <n v="551.34"/>
    <n v="82.701000000000008"/>
    <n v="468.63900000000001"/>
    <n v="245.7"/>
    <x v="866"/>
    <n v="2.1020951919583384"/>
  </r>
  <r>
    <x v="11"/>
    <s v="VD-0932"/>
    <d v="2025-12-14T00:00:00"/>
    <x v="6"/>
    <x v="0"/>
    <x v="1"/>
    <x v="4"/>
    <x v="4"/>
    <s v="Óculos Sol"/>
    <x v="2"/>
    <n v="367.43"/>
    <n v="0.1"/>
    <n v="159.63999999999999"/>
    <s v="Concluída"/>
    <n v="1102.29"/>
    <n v="110.229"/>
    <n v="992.06099999999992"/>
    <n v="478.91999999999996"/>
    <x v="867"/>
    <n v="1.9333107274608734"/>
  </r>
  <r>
    <x v="11"/>
    <s v="VD-0944"/>
    <d v="2025-12-14T00:00:00"/>
    <x v="2"/>
    <x v="1"/>
    <x v="3"/>
    <x v="10"/>
    <x v="4"/>
    <s v="Relógio Fit"/>
    <x v="0"/>
    <n v="666.63"/>
    <n v="0.2"/>
    <n v="314.36"/>
    <s v="Concluída"/>
    <n v="666.63"/>
    <n v="133.32599999999999"/>
    <n v="533.30399999999997"/>
    <n v="314.36"/>
    <x v="868"/>
    <n v="2.4358009353990067"/>
  </r>
  <r>
    <x v="11"/>
    <s v="VD-0930"/>
    <d v="2025-12-15T00:00:00"/>
    <x v="7"/>
    <x v="3"/>
    <x v="0"/>
    <x v="11"/>
    <x v="3"/>
    <s v="Esteira Compacta"/>
    <x v="0"/>
    <n v="2832.51"/>
    <n v="0.25"/>
    <n v="1965.84"/>
    <s v="Concluída"/>
    <n v="2832.51"/>
    <n v="708.12750000000005"/>
    <n v="2124.3825000000002"/>
    <n v="1965.84"/>
    <x v="869"/>
    <n v="13.399451251241761"/>
  </r>
  <r>
    <x v="11"/>
    <s v="VD-0941"/>
    <d v="2025-12-15T00:00:00"/>
    <x v="0"/>
    <x v="0"/>
    <x v="0"/>
    <x v="0"/>
    <x v="3"/>
    <s v="Halteres 10kg"/>
    <x v="0"/>
    <n v="347.39"/>
    <n v="0.27500000000000002"/>
    <n v="200.14"/>
    <s v="Concluída"/>
    <n v="347.39"/>
    <n v="95.532250000000005"/>
    <n v="251.85774999999998"/>
    <n v="200.14"/>
    <x v="870"/>
    <n v="4.869851259963939"/>
  </r>
  <r>
    <x v="11"/>
    <s v="VD-0942"/>
    <d v="2025-12-15T00:00:00"/>
    <x v="0"/>
    <x v="0"/>
    <x v="0"/>
    <x v="10"/>
    <x v="2"/>
    <s v="Panela Pressão 6L"/>
    <x v="0"/>
    <n v="456.56"/>
    <n v="0.1"/>
    <n v="255.47"/>
    <s v="Concluída"/>
    <n v="456.56"/>
    <n v="45.656000000000006"/>
    <n v="410.904"/>
    <n v="255.47"/>
    <x v="871"/>
    <n v="2.6435914922089117"/>
  </r>
  <r>
    <x v="11"/>
    <s v="VD-0943"/>
    <d v="2025-12-15T00:00:00"/>
    <x v="3"/>
    <x v="2"/>
    <x v="3"/>
    <x v="7"/>
    <x v="1"/>
    <s v="Teclado Mecânico"/>
    <x v="0"/>
    <n v="398.89"/>
    <n v="0.2"/>
    <n v="231.02"/>
    <s v="Concluída"/>
    <n v="398.89"/>
    <n v="79.778000000000006"/>
    <n v="319.11199999999997"/>
    <n v="231.02"/>
    <x v="872"/>
    <n v="3.6224855832538725"/>
  </r>
  <r>
    <x v="11"/>
    <s v="VD-0896"/>
    <d v="2025-12-16T00:00:00"/>
    <x v="0"/>
    <x v="0"/>
    <x v="0"/>
    <x v="9"/>
    <x v="0"/>
    <s v="Secador Pro"/>
    <x v="0"/>
    <n v="456.63"/>
    <n v="0.15"/>
    <n v="247.82"/>
    <s v="Concluída"/>
    <n v="456.63"/>
    <n v="68.494500000000002"/>
    <n v="388.13549999999998"/>
    <n v="247.82"/>
    <x v="873"/>
    <n v="2.7661626833813799"/>
  </r>
  <r>
    <x v="11"/>
    <s v="VD-0922"/>
    <d v="2025-12-16T00:00:00"/>
    <x v="7"/>
    <x v="3"/>
    <x v="1"/>
    <x v="2"/>
    <x v="4"/>
    <s v="Relógio Fit"/>
    <x v="1"/>
    <n v="700.96"/>
    <n v="0.125"/>
    <n v="330.7"/>
    <s v="Concluída"/>
    <n v="1401.92"/>
    <n v="175.24"/>
    <n v="1226.68"/>
    <n v="661.4"/>
    <x v="874"/>
    <n v="2.1700396263798472"/>
  </r>
  <r>
    <x v="11"/>
    <s v="VD-0927"/>
    <d v="2025-12-16T00:00:00"/>
    <x v="5"/>
    <x v="1"/>
    <x v="1"/>
    <x v="6"/>
    <x v="2"/>
    <s v="Panela Pressão 6L"/>
    <x v="1"/>
    <n v="445.19"/>
    <n v="0.08"/>
    <n v="241.06"/>
    <s v="Concluída"/>
    <n v="890.38"/>
    <n v="71.230400000000003"/>
    <n v="819.14959999999996"/>
    <n v="482.12"/>
    <x v="875"/>
    <n v="2.4304974993294359"/>
  </r>
  <r>
    <x v="11"/>
    <s v="VD-0939"/>
    <d v="2025-12-16T00:00:00"/>
    <x v="4"/>
    <x v="2"/>
    <x v="1"/>
    <x v="1"/>
    <x v="0"/>
    <s v="Balança Smart"/>
    <x v="0"/>
    <n v="243.85"/>
    <n v="0"/>
    <n v="105.85"/>
    <s v="Concluída"/>
    <n v="243.85"/>
    <n v="0"/>
    <n v="243.85"/>
    <n v="105.85"/>
    <x v="876"/>
    <n v="1.7670289855072463"/>
  </r>
  <r>
    <x v="11"/>
    <s v="VD-0916"/>
    <d v="2025-12-17T00:00:00"/>
    <x v="3"/>
    <x v="2"/>
    <x v="3"/>
    <x v="3"/>
    <x v="1"/>
    <s v="Fone Wave"/>
    <x v="1"/>
    <n v="239.75"/>
    <n v="0.1"/>
    <n v="116.42"/>
    <s v="Concluída"/>
    <n v="479.5"/>
    <n v="47.95"/>
    <n v="431.55"/>
    <n v="232.84"/>
    <x v="877"/>
    <n v="2.1717578380554579"/>
  </r>
  <r>
    <x v="11"/>
    <s v="VD-0937"/>
    <d v="2025-12-17T00:00:00"/>
    <x v="4"/>
    <x v="2"/>
    <x v="1"/>
    <x v="0"/>
    <x v="3"/>
    <s v="Colchonete Pro"/>
    <x v="0"/>
    <n v="148.55000000000001"/>
    <n v="0.08"/>
    <n v="59.89"/>
    <s v="Concluída"/>
    <n v="148.55000000000001"/>
    <n v="11.884"/>
    <n v="136.666"/>
    <n v="59.89"/>
    <x v="878"/>
    <n v="1.7800614775450663"/>
  </r>
  <r>
    <x v="11"/>
    <s v="VD-0870"/>
    <d v="2025-12-18T00:00:00"/>
    <x v="0"/>
    <x v="0"/>
    <x v="1"/>
    <x v="6"/>
    <x v="0"/>
    <s v="Secador Pro"/>
    <x v="0"/>
    <n v="438.94"/>
    <n v="0"/>
    <n v="243.19"/>
    <s v="Concluída"/>
    <n v="438.94"/>
    <n v="0"/>
    <n v="438.94"/>
    <n v="243.19"/>
    <x v="879"/>
    <n v="2.2423499361430395"/>
  </r>
  <r>
    <x v="11"/>
    <s v="VD-0880"/>
    <d v="2025-12-18T00:00:00"/>
    <x v="2"/>
    <x v="1"/>
    <x v="0"/>
    <x v="10"/>
    <x v="2"/>
    <s v="Air Fryer 5L"/>
    <x v="0"/>
    <n v="729.94"/>
    <n v="0.25"/>
    <n v="417.17"/>
    <s v="Concluída"/>
    <n v="729.94"/>
    <n v="182.48500000000001"/>
    <n v="547.45500000000004"/>
    <n v="417.17"/>
    <x v="880"/>
    <n v="4.2019802740146597"/>
  </r>
  <r>
    <x v="11"/>
    <s v="VD-0923"/>
    <d v="2025-12-18T00:00:00"/>
    <x v="2"/>
    <x v="1"/>
    <x v="1"/>
    <x v="9"/>
    <x v="2"/>
    <s v="Panela Pressão 6L"/>
    <x v="0"/>
    <n v="448.4"/>
    <n v="0"/>
    <n v="239.89"/>
    <s v="Concluída"/>
    <n v="448.4"/>
    <n v="0"/>
    <n v="448.4"/>
    <n v="239.89"/>
    <x v="881"/>
    <n v="2.1504963790705482"/>
  </r>
  <r>
    <x v="11"/>
    <s v="VD-0852"/>
    <d v="2025-12-19T00:00:00"/>
    <x v="2"/>
    <x v="1"/>
    <x v="1"/>
    <x v="2"/>
    <x v="0"/>
    <s v="Balança Smart"/>
    <x v="1"/>
    <n v="251.53"/>
    <n v="0"/>
    <n v="108.25"/>
    <s v="Concluída"/>
    <n v="503.06"/>
    <n v="0"/>
    <n v="503.06"/>
    <n v="216.5"/>
    <x v="882"/>
    <n v="1.7555136795086543"/>
  </r>
  <r>
    <x v="11"/>
    <s v="VD-0875"/>
    <d v="2025-12-19T00:00:00"/>
    <x v="2"/>
    <x v="1"/>
    <x v="3"/>
    <x v="6"/>
    <x v="2"/>
    <s v="Cadeira Escritório"/>
    <x v="0"/>
    <n v="1233.7"/>
    <n v="0.2"/>
    <n v="893.5"/>
    <s v="Concluída"/>
    <n v="1233.7"/>
    <n v="246.74"/>
    <n v="986.96"/>
    <n v="893.5"/>
    <x v="883"/>
    <n v="10.560239674727152"/>
  </r>
  <r>
    <x v="11"/>
    <s v="VD-0906"/>
    <d v="2025-12-19T00:00:00"/>
    <x v="6"/>
    <x v="0"/>
    <x v="1"/>
    <x v="6"/>
    <x v="1"/>
    <s v="Monitor 27 Ultra"/>
    <x v="0"/>
    <n v="1231.7"/>
    <n v="0.08"/>
    <n v="870.23"/>
    <s v="Concluída"/>
    <n v="1231.7"/>
    <n v="98.536000000000001"/>
    <n v="1133.164"/>
    <n v="870.23"/>
    <x v="884"/>
    <n v="4.3096898841534381"/>
  </r>
  <r>
    <x v="11"/>
    <s v="VD-0872"/>
    <d v="2025-12-20T00:00:00"/>
    <x v="3"/>
    <x v="2"/>
    <x v="3"/>
    <x v="10"/>
    <x v="0"/>
    <s v="Secador Pro"/>
    <x v="0"/>
    <n v="459.51"/>
    <n v="0.1"/>
    <n v="245.82"/>
    <s v="Cancelada"/>
    <n v="459.51"/>
    <n v="45.951000000000001"/>
    <n v="0"/>
    <n v="0"/>
    <x v="2"/>
    <s v="sem Valor"/>
  </r>
  <r>
    <x v="11"/>
    <s v="VD-0929"/>
    <d v="2025-12-20T00:00:00"/>
    <x v="3"/>
    <x v="2"/>
    <x v="1"/>
    <x v="0"/>
    <x v="0"/>
    <s v="Secador Pro"/>
    <x v="0"/>
    <n v="456.47"/>
    <n v="0"/>
    <n v="256.64999999999998"/>
    <s v="Concluída"/>
    <n v="456.47"/>
    <n v="0"/>
    <n v="456.47"/>
    <n v="256.64999999999998"/>
    <x v="885"/>
    <n v="2.2844059653688316"/>
  </r>
  <r>
    <x v="11"/>
    <s v="VD-0860"/>
    <d v="2025-12-21T00:00:00"/>
    <x v="7"/>
    <x v="3"/>
    <x v="1"/>
    <x v="1"/>
    <x v="1"/>
    <s v="Mouse Pro"/>
    <x v="0"/>
    <n v="190.16"/>
    <n v="0"/>
    <n v="85.84"/>
    <s v="Concluída"/>
    <n v="190.16"/>
    <n v="0"/>
    <n v="190.16"/>
    <n v="85.84"/>
    <x v="886"/>
    <n v="1.8228527607361964"/>
  </r>
  <r>
    <x v="11"/>
    <s v="VD-0936"/>
    <d v="2025-12-21T00:00:00"/>
    <x v="3"/>
    <x v="2"/>
    <x v="1"/>
    <x v="6"/>
    <x v="3"/>
    <s v="Halteres 10kg"/>
    <x v="0"/>
    <n v="383.09"/>
    <n v="0"/>
    <n v="213.81"/>
    <s v="Concluída"/>
    <n v="383.09"/>
    <n v="0"/>
    <n v="383.09"/>
    <n v="213.81"/>
    <x v="887"/>
    <n v="2.2630552930056713"/>
  </r>
  <r>
    <x v="11"/>
    <s v="VD-0861"/>
    <d v="2025-12-22T00:00:00"/>
    <x v="6"/>
    <x v="0"/>
    <x v="0"/>
    <x v="6"/>
    <x v="4"/>
    <s v="Óculos Sol"/>
    <x v="0"/>
    <n v="400.97"/>
    <n v="0.25"/>
    <n v="173.21"/>
    <s v="Concluída"/>
    <n v="400.97"/>
    <n v="100.24250000000001"/>
    <n v="300.72750000000002"/>
    <n v="173.21"/>
    <x v="888"/>
    <n v="2.3583233673809478"/>
  </r>
  <r>
    <x v="11"/>
    <s v="VD-0891"/>
    <d v="2025-12-22T00:00:00"/>
    <x v="6"/>
    <x v="0"/>
    <x v="2"/>
    <x v="7"/>
    <x v="3"/>
    <s v="Bike Urbana"/>
    <x v="1"/>
    <n v="2302.4899999999998"/>
    <n v="0.05"/>
    <n v="1633.36"/>
    <s v="Concluída"/>
    <n v="4604.9799999999996"/>
    <n v="230.249"/>
    <n v="4374.7309999999998"/>
    <n v="3266.72"/>
    <x v="889"/>
    <n v="3.9482739792294481"/>
  </r>
  <r>
    <x v="11"/>
    <s v="VD-0905"/>
    <d v="2025-12-22T00:00:00"/>
    <x v="5"/>
    <x v="1"/>
    <x v="3"/>
    <x v="7"/>
    <x v="1"/>
    <s v="Notebook Nova 14"/>
    <x v="0"/>
    <n v="3778.55"/>
    <n v="0.03"/>
    <n v="2921.11"/>
    <s v="Concluída"/>
    <n v="3778.55"/>
    <n v="113.3565"/>
    <n v="3665.1935000000003"/>
    <n v="2921.11"/>
    <x v="890"/>
    <n v="4.9257825230636065"/>
  </r>
  <r>
    <x v="11"/>
    <s v="VD-0885"/>
    <d v="2025-12-24T00:00:00"/>
    <x v="5"/>
    <x v="1"/>
    <x v="0"/>
    <x v="5"/>
    <x v="1"/>
    <s v="Notebook Nova 14"/>
    <x v="1"/>
    <n v="4154.0600000000004"/>
    <n v="0.05"/>
    <n v="3355.75"/>
    <s v="Concluída"/>
    <n v="8308.1200000000008"/>
    <n v="415.40600000000006"/>
    <n v="7892.7140000000009"/>
    <n v="6711.5"/>
    <x v="891"/>
    <n v="6.6818662833322291"/>
  </r>
  <r>
    <x v="11"/>
    <s v="VD-0851"/>
    <d v="2025-12-25T00:00:00"/>
    <x v="4"/>
    <x v="2"/>
    <x v="1"/>
    <x v="9"/>
    <x v="3"/>
    <s v="Halteres 10kg"/>
    <x v="0"/>
    <n v="344.84"/>
    <n v="0.05"/>
    <n v="193.29"/>
    <s v="Concluída"/>
    <n v="344.84"/>
    <n v="17.242000000000001"/>
    <n v="327.59799999999996"/>
    <n v="193.29"/>
    <x v="892"/>
    <n v="2.4391547785686636"/>
  </r>
  <r>
    <x v="11"/>
    <s v="VD-0858"/>
    <d v="2025-12-25T00:00:00"/>
    <x v="3"/>
    <x v="2"/>
    <x v="1"/>
    <x v="8"/>
    <x v="4"/>
    <s v="Óculos Sol"/>
    <x v="1"/>
    <n v="376.45"/>
    <n v="0.1"/>
    <n v="166.9"/>
    <s v="Concluída"/>
    <n v="752.9"/>
    <n v="75.290000000000006"/>
    <n v="677.61"/>
    <n v="333.8"/>
    <x v="893"/>
    <n v="1.9708850818766179"/>
  </r>
  <r>
    <x v="11"/>
    <s v="VD-0917"/>
    <d v="2025-12-25T00:00:00"/>
    <x v="2"/>
    <x v="1"/>
    <x v="1"/>
    <x v="1"/>
    <x v="0"/>
    <s v="Creme Facial"/>
    <x v="0"/>
    <n v="146.88999999999999"/>
    <n v="0"/>
    <n v="52.52"/>
    <s v="Concluída"/>
    <n v="146.88999999999999"/>
    <n v="0"/>
    <n v="146.88999999999999"/>
    <n v="52.52"/>
    <x v="894"/>
    <n v="1.5565327964395468"/>
  </r>
  <r>
    <x v="11"/>
    <s v="VD-0935"/>
    <d v="2025-12-25T00:00:00"/>
    <x v="7"/>
    <x v="3"/>
    <x v="1"/>
    <x v="8"/>
    <x v="2"/>
    <s v="Air Fryer 5L"/>
    <x v="0"/>
    <n v="639.67999999999995"/>
    <n v="0.05"/>
    <n v="352.16"/>
    <s v="Concluída"/>
    <n v="639.67999999999995"/>
    <n v="31.983999999999998"/>
    <n v="607.69599999999991"/>
    <n v="352.16"/>
    <x v="895"/>
    <n v="2.3781228476613872"/>
  </r>
  <r>
    <x v="11"/>
    <s v="VD-0853"/>
    <d v="2025-12-26T00:00:00"/>
    <x v="0"/>
    <x v="0"/>
    <x v="3"/>
    <x v="8"/>
    <x v="2"/>
    <s v="Cadeira Escritório"/>
    <x v="0"/>
    <n v="1096.1400000000001"/>
    <n v="0.03"/>
    <n v="797"/>
    <s v="Concluída"/>
    <n v="1096.1400000000001"/>
    <n v="32.8842"/>
    <n v="1063.2558000000001"/>
    <n v="797"/>
    <x v="896"/>
    <n v="3.9933620225362212"/>
  </r>
  <r>
    <x v="11"/>
    <s v="VD-0862"/>
    <d v="2025-12-26T00:00:00"/>
    <x v="2"/>
    <x v="1"/>
    <x v="3"/>
    <x v="9"/>
    <x v="3"/>
    <s v="Bike Urbana"/>
    <x v="0"/>
    <n v="2117.7199999999998"/>
    <n v="0.05"/>
    <n v="1498.15"/>
    <s v="Concluída"/>
    <n v="2117.7199999999998"/>
    <n v="105.886"/>
    <n v="2011.8339999999998"/>
    <n v="1498.15"/>
    <x v="897"/>
    <n v="3.9164817280662838"/>
  </r>
  <r>
    <x v="11"/>
    <s v="VD-0871"/>
    <d v="2025-12-26T00:00:00"/>
    <x v="3"/>
    <x v="2"/>
    <x v="3"/>
    <x v="6"/>
    <x v="0"/>
    <s v="Creme Facial"/>
    <x v="0"/>
    <n v="155.63999999999999"/>
    <n v="0.22500000000000001"/>
    <n v="55.37"/>
    <s v="Concluída"/>
    <n v="155.63999999999999"/>
    <n v="35.018999999999998"/>
    <n v="120.62099999999998"/>
    <n v="55.37"/>
    <x v="898"/>
    <n v="1.8485693705843593"/>
  </r>
  <r>
    <x v="11"/>
    <s v="VD-0890"/>
    <d v="2025-12-26T00:00:00"/>
    <x v="6"/>
    <x v="0"/>
    <x v="1"/>
    <x v="3"/>
    <x v="1"/>
    <s v="Fone Wave"/>
    <x v="0"/>
    <n v="256.64999999999998"/>
    <n v="0.1"/>
    <n v="119.39"/>
    <s v="Concluída"/>
    <n v="256.64999999999998"/>
    <n v="25.664999999999999"/>
    <n v="230.98499999999999"/>
    <n v="119.39"/>
    <x v="899"/>
    <n v="2.0698507997670146"/>
  </r>
  <r>
    <x v="11"/>
    <s v="VD-0913"/>
    <d v="2025-12-26T00:00:00"/>
    <x v="6"/>
    <x v="0"/>
    <x v="2"/>
    <x v="7"/>
    <x v="2"/>
    <s v="Air Fryer 5L"/>
    <x v="0"/>
    <n v="642.28"/>
    <n v="0.12"/>
    <n v="368.86"/>
    <s v="Concluída"/>
    <n v="642.28"/>
    <n v="77.073599999999999"/>
    <n v="565.20640000000003"/>
    <n v="368.86"/>
    <x v="900"/>
    <n v="2.8786186046701134"/>
  </r>
  <r>
    <x v="11"/>
    <s v="VD-0915"/>
    <d v="2025-12-26T00:00:00"/>
    <x v="5"/>
    <x v="1"/>
    <x v="3"/>
    <x v="2"/>
    <x v="4"/>
    <s v="Relógio Fit"/>
    <x v="0"/>
    <n v="724.12"/>
    <n v="0.2"/>
    <n v="349.27"/>
    <s v="Concluída"/>
    <n v="724.12"/>
    <n v="144.82400000000001"/>
    <n v="579.29600000000005"/>
    <n v="349.27"/>
    <x v="901"/>
    <n v="2.5183935729004543"/>
  </r>
  <r>
    <x v="11"/>
    <s v="VD-0946"/>
    <d v="2025-12-26T00:00:00"/>
    <x v="6"/>
    <x v="0"/>
    <x v="1"/>
    <x v="4"/>
    <x v="4"/>
    <s v="Relógio Fit"/>
    <x v="0"/>
    <n v="689.61"/>
    <n v="0.1"/>
    <n v="328.17"/>
    <s v="Concluída"/>
    <n v="689.61"/>
    <n v="68.960999999999999"/>
    <n v="620.649"/>
    <n v="328.17"/>
    <x v="902"/>
    <n v="2.1220292738965876"/>
  </r>
  <r>
    <x v="11"/>
    <s v="VD-0951"/>
    <d v="2025-12-26T00:00:00"/>
    <x v="2"/>
    <x v="1"/>
    <x v="1"/>
    <x v="2"/>
    <x v="0"/>
    <s v="Creme Facial"/>
    <x v="1"/>
    <n v="150.34"/>
    <n v="0.05"/>
    <n v="52.14"/>
    <s v="Concluída"/>
    <n v="300.68"/>
    <n v="15.034000000000001"/>
    <n v="285.64600000000002"/>
    <n v="104.28"/>
    <x v="903"/>
    <n v="1.5749699502663124"/>
  </r>
  <r>
    <x v="11"/>
    <s v="VD-0888"/>
    <d v="2025-12-28T00:00:00"/>
    <x v="2"/>
    <x v="1"/>
    <x v="2"/>
    <x v="0"/>
    <x v="4"/>
    <s v="Relógio Fit"/>
    <x v="1"/>
    <n v="665.78"/>
    <n v="0.1"/>
    <n v="330.07"/>
    <s v="Concluída"/>
    <n v="1331.56"/>
    <n v="133.15600000000001"/>
    <n v="1198.404"/>
    <n v="660.14"/>
    <x v="904"/>
    <n v="2.226424208195235"/>
  </r>
  <r>
    <x v="11"/>
    <s v="VD-0924"/>
    <d v="2025-12-28T00:00:00"/>
    <x v="2"/>
    <x v="1"/>
    <x v="0"/>
    <x v="2"/>
    <x v="2"/>
    <s v="Panela Pressão 6L"/>
    <x v="0"/>
    <n v="473.55"/>
    <n v="0.1"/>
    <n v="269.88"/>
    <s v="Concluída"/>
    <n v="473.55"/>
    <n v="47.355000000000004"/>
    <n v="426.19499999999999"/>
    <n v="269.88"/>
    <x v="905"/>
    <n v="2.7265137702715672"/>
  </r>
  <r>
    <x v="11"/>
    <s v="VD-0931"/>
    <d v="2025-12-28T00:00:00"/>
    <x v="0"/>
    <x v="0"/>
    <x v="3"/>
    <x v="0"/>
    <x v="3"/>
    <s v="Halteres 10kg"/>
    <x v="0"/>
    <n v="362.42"/>
    <n v="0.15"/>
    <n v="198.07"/>
    <s v="Concluída"/>
    <n v="362.42"/>
    <n v="54.363"/>
    <n v="308.05700000000002"/>
    <n v="198.07"/>
    <x v="906"/>
    <n v="2.8008491912680586"/>
  </r>
  <r>
    <x v="11"/>
    <s v="VD-0933"/>
    <d v="2025-12-28T00:00:00"/>
    <x v="1"/>
    <x v="0"/>
    <x v="1"/>
    <x v="5"/>
    <x v="1"/>
    <s v="Notebook Nova 14"/>
    <x v="0"/>
    <n v="3617.12"/>
    <n v="0.17499999999999999"/>
    <n v="2844.58"/>
    <s v="Concluída"/>
    <n v="3617.12"/>
    <n v="632.99599999999998"/>
    <n v="2984.1239999999998"/>
    <n v="2844.58"/>
    <x v="907"/>
    <n v="21.384824858109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">
  <r>
    <s v="VD-0017"/>
    <d v="2025-01-01T00:00:00"/>
    <x v="0"/>
    <x v="0"/>
    <s v="Marketplace"/>
    <s v="Bruno Lima"/>
    <s v="Beleza"/>
    <s v="Balança Smart"/>
    <n v="1"/>
    <n v="254.01"/>
    <n v="0.05"/>
    <n v="110.69"/>
    <s v="Concluída"/>
    <n v="254.01"/>
    <n v="12.7005"/>
    <n v="241.30949999999999"/>
    <n v="110.69"/>
    <n v="130.61949999999999"/>
    <n v="0.54129447866743741"/>
  </r>
  <r>
    <s v="VD-0041"/>
    <d v="2025-01-01T00:00:00"/>
    <x v="1"/>
    <x v="0"/>
    <s v="Loja Física"/>
    <s v="Diego Alves"/>
    <s v="Informática"/>
    <s v="Teclado Mecânico"/>
    <n v="1"/>
    <n v="424.15"/>
    <n v="0.15"/>
    <n v="246.26"/>
    <s v="Concluída"/>
    <n v="424.15"/>
    <n v="63.622499999999995"/>
    <n v="360.52749999999997"/>
    <n v="246.26"/>
    <n v="114.26749999999998"/>
    <n v="0.31694530930372855"/>
  </r>
  <r>
    <s v="VD-0047"/>
    <d v="2025-01-01T00:00:00"/>
    <x v="2"/>
    <x v="1"/>
    <s v="Televendas"/>
    <s v="Marcos Silva"/>
    <s v="Casa"/>
    <s v="Air Fryer 5L"/>
    <n v="1"/>
    <n v="678.6"/>
    <n v="0.05"/>
    <n v="401.43"/>
    <s v="Cancelada"/>
    <n v="678.6"/>
    <n v="33.93"/>
    <n v="0"/>
    <n v="0"/>
    <n v="0"/>
    <s v=""/>
  </r>
  <r>
    <s v="VD-0011"/>
    <d v="2025-01-02T00:00:00"/>
    <x v="0"/>
    <x v="0"/>
    <s v="Loja Física"/>
    <s v="João Pedro"/>
    <s v="Casa"/>
    <s v="Kit Lençol 4p"/>
    <n v="2"/>
    <n v="296.89"/>
    <n v="0.05"/>
    <n v="131.16999999999999"/>
    <s v="Concluída"/>
    <n v="593.78"/>
    <n v="29.689"/>
    <n v="564.09100000000001"/>
    <n v="262.33999999999997"/>
    <n v="301.75100000000003"/>
    <n v="0.53493319340319212"/>
  </r>
  <r>
    <s v="VD-0043"/>
    <d v="2025-01-02T00:00:00"/>
    <x v="3"/>
    <x v="2"/>
    <s v="Loja Física"/>
    <s v="Larissa Freitas"/>
    <s v="Casa"/>
    <s v="Panela Pressão 6L"/>
    <n v="1"/>
    <n v="462.26"/>
    <n v="0.08"/>
    <n v="263.05"/>
    <s v="Concluída"/>
    <n v="462.26"/>
    <n v="36.980800000000002"/>
    <n v="425.2792"/>
    <n v="263.05"/>
    <n v="162.22919999999999"/>
    <n v="0.3814651645319122"/>
  </r>
  <r>
    <s v="VD-0065"/>
    <d v="2025-01-02T00:00:00"/>
    <x v="4"/>
    <x v="2"/>
    <s v="Loja Física"/>
    <s v="Marcos Silva"/>
    <s v="Esporte"/>
    <s v="Bike Urbana"/>
    <n v="2"/>
    <n v="2285.31"/>
    <n v="0.15"/>
    <n v="1624.43"/>
    <s v="Concluída"/>
    <n v="4570.62"/>
    <n v="685.59299999999996"/>
    <n v="3885.027"/>
    <n v="3248.86"/>
    <n v="636.16699999999992"/>
    <n v="0.16374841152970104"/>
  </r>
  <r>
    <s v="VD-0033"/>
    <d v="2025-01-03T00:00:00"/>
    <x v="1"/>
    <x v="0"/>
    <s v="E-commerce"/>
    <s v="Elisa Rocha"/>
    <s v="Acessórios"/>
    <s v="Relógio Fit"/>
    <n v="1"/>
    <n v="650.51"/>
    <n v="0.05"/>
    <n v="301.66000000000003"/>
    <s v="Concluída"/>
    <n v="650.51"/>
    <n v="32.525500000000001"/>
    <n v="617.98450000000003"/>
    <n v="301.66000000000003"/>
    <n v="316.3245"/>
    <n v="0.51186477978007539"/>
  </r>
  <r>
    <s v="VD-0042"/>
    <d v="2025-01-03T00:00:00"/>
    <x v="3"/>
    <x v="2"/>
    <s v="E-commerce"/>
    <s v="Giovana Melo"/>
    <s v="Beleza"/>
    <s v="Balança Smart"/>
    <n v="1"/>
    <n v="244.08"/>
    <n v="0.2"/>
    <n v="103.33"/>
    <s v="Concluída"/>
    <n v="244.08"/>
    <n v="48.816000000000003"/>
    <n v="195.26400000000001"/>
    <n v="103.33"/>
    <n v="91.934000000000012"/>
    <n v="0.47081899377253361"/>
  </r>
  <r>
    <s v="VD-0061"/>
    <d v="2025-01-03T00:00:00"/>
    <x v="5"/>
    <x v="1"/>
    <s v="Loja Física"/>
    <s v="João Pedro"/>
    <s v="Informática"/>
    <s v="Fone Wave"/>
    <n v="1"/>
    <n v="263.20999999999998"/>
    <n v="0.05"/>
    <n v="121.72"/>
    <s v="Cancelada"/>
    <n v="263.20999999999998"/>
    <n v="13.160499999999999"/>
    <n v="0"/>
    <n v="0"/>
    <n v="0"/>
    <s v=""/>
  </r>
  <r>
    <s v="VD-0013"/>
    <d v="2025-01-04T00:00:00"/>
    <x v="6"/>
    <x v="0"/>
    <s v="Loja Física"/>
    <s v="Giovana Melo"/>
    <s v="Esporte"/>
    <s v="Bike Urbana"/>
    <n v="2"/>
    <n v="2152.46"/>
    <n v="0.05"/>
    <n v="1517.23"/>
    <s v="Concluída"/>
    <n v="4304.92"/>
    <n v="215.24600000000001"/>
    <n v="4089.674"/>
    <n v="3034.46"/>
    <n v="1055.2139999999999"/>
    <n v="0.25801909883281648"/>
  </r>
  <r>
    <s v="VD-0030"/>
    <d v="2025-01-04T00:00:00"/>
    <x v="5"/>
    <x v="1"/>
    <s v="Loja Física"/>
    <s v="Marcos Silva"/>
    <s v="Beleza"/>
    <s v="Secador Pro"/>
    <n v="1"/>
    <n v="444.68"/>
    <n v="0"/>
    <n v="235.77"/>
    <s v="Concluída"/>
    <n v="444.68"/>
    <n v="0"/>
    <n v="444.68"/>
    <n v="235.77"/>
    <n v="208.91"/>
    <n v="0.46979850679140056"/>
  </r>
  <r>
    <s v="VD-0051"/>
    <d v="2025-01-04T00:00:00"/>
    <x v="7"/>
    <x v="3"/>
    <s v="Loja Física"/>
    <s v="Elisa Rocha"/>
    <s v="Esporte"/>
    <s v="Colchonete Pro"/>
    <n v="1"/>
    <n v="132.76"/>
    <n v="0.15"/>
    <n v="53.09"/>
    <s v="Concluída"/>
    <n v="132.76"/>
    <n v="19.913999999999998"/>
    <n v="112.84599999999999"/>
    <n v="53.09"/>
    <n v="59.755999999999986"/>
    <n v="0.5295358275880403"/>
  </r>
  <r>
    <s v="VD-0029"/>
    <d v="2025-01-05T00:00:00"/>
    <x v="1"/>
    <x v="0"/>
    <s v="E-commerce"/>
    <s v="Ana Costa"/>
    <s v="Esporte"/>
    <s v="Esteira Compacta"/>
    <n v="1"/>
    <n v="2573.36"/>
    <n v="0.2"/>
    <n v="1800.4"/>
    <s v="Concluída"/>
    <n v="2573.36"/>
    <n v="514.67200000000003"/>
    <n v="2058.6880000000001"/>
    <n v="1800.4"/>
    <n v="258.28800000000001"/>
    <n v="0.12546243044113534"/>
  </r>
  <r>
    <s v="VD-0059"/>
    <d v="2025-01-05T00:00:00"/>
    <x v="6"/>
    <x v="0"/>
    <s v="E-commerce"/>
    <s v="Larissa Freitas"/>
    <s v="Beleza"/>
    <s v="Balança Smart"/>
    <n v="2"/>
    <n v="227.55"/>
    <n v="0.15"/>
    <n v="99.48"/>
    <s v="Concluída"/>
    <n v="455.1"/>
    <n v="68.265000000000001"/>
    <n v="386.83500000000004"/>
    <n v="198.96"/>
    <n v="187.87500000000003"/>
    <n v="0.48567218581565785"/>
  </r>
  <r>
    <s v="VD-0010"/>
    <d v="2025-01-07T00:00:00"/>
    <x v="1"/>
    <x v="0"/>
    <s v="Marketplace"/>
    <s v="Larissa Freitas"/>
    <s v="Beleza"/>
    <s v="Creme Facial"/>
    <n v="2"/>
    <n v="152.63"/>
    <n v="0.2"/>
    <n v="52.66"/>
    <s v="Concluída"/>
    <n v="305.26"/>
    <n v="61.052"/>
    <n v="244.208"/>
    <n v="105.32"/>
    <n v="138.88800000000001"/>
    <n v="0.56872829718928131"/>
  </r>
  <r>
    <s v="VD-0018"/>
    <d v="2025-01-07T00:00:00"/>
    <x v="0"/>
    <x v="0"/>
    <s v="E-commerce"/>
    <s v="Larissa Freitas"/>
    <s v="Informática"/>
    <s v="Fone Wave"/>
    <n v="1"/>
    <n v="238.51"/>
    <n v="0.1"/>
    <n v="114.17"/>
    <s v="Concluída"/>
    <n v="238.51"/>
    <n v="23.850999999999999"/>
    <n v="214.65899999999999"/>
    <n v="114.17"/>
    <n v="100.48899999999999"/>
    <n v="0.4681331786694245"/>
  </r>
  <r>
    <s v="VD-0027"/>
    <d v="2025-01-07T00:00:00"/>
    <x v="6"/>
    <x v="0"/>
    <s v="Loja Física"/>
    <s v="Diego Alves"/>
    <s v="Beleza"/>
    <s v="Creme Facial"/>
    <n v="2"/>
    <n v="143.52000000000001"/>
    <n v="0"/>
    <n v="48.75"/>
    <s v="Concluída"/>
    <n v="287.04000000000002"/>
    <n v="0"/>
    <n v="287.04000000000002"/>
    <n v="97.5"/>
    <n v="189.54000000000002"/>
    <n v="0.66032608695652173"/>
  </r>
  <r>
    <s v="VD-0034"/>
    <d v="2025-01-08T00:00:00"/>
    <x v="0"/>
    <x v="0"/>
    <s v="Marketplace"/>
    <s v="Marcos Silva"/>
    <s v="Esporte"/>
    <s v="Colchonete Pro"/>
    <n v="1"/>
    <n v="137.63999999999999"/>
    <n v="0.25"/>
    <n v="54.08"/>
    <s v="Concluída"/>
    <n v="137.63999999999999"/>
    <n v="34.409999999999997"/>
    <n v="103.22999999999999"/>
    <n v="54.08"/>
    <n v="49.149999999999991"/>
    <n v="0.47612128257289543"/>
  </r>
  <r>
    <s v="VD-0035"/>
    <d v="2025-01-08T00:00:00"/>
    <x v="4"/>
    <x v="2"/>
    <s v="Loja Física"/>
    <s v="João Pedro"/>
    <s v="Beleza"/>
    <s v="Balança Smart"/>
    <n v="2"/>
    <n v="230.23"/>
    <n v="0.08"/>
    <n v="97.01"/>
    <s v="Concluída"/>
    <n v="460.46"/>
    <n v="36.836799999999997"/>
    <n v="423.6232"/>
    <n v="194.02"/>
    <n v="229.60319999999999"/>
    <n v="0.5419986440780391"/>
  </r>
  <r>
    <s v="VD-0020"/>
    <d v="2025-01-09T00:00:00"/>
    <x v="1"/>
    <x v="0"/>
    <s v="E-commerce"/>
    <s v="Larissa Freitas"/>
    <s v="Beleza"/>
    <s v="Creme Facial"/>
    <n v="2"/>
    <n v="141.25"/>
    <n v="0.15"/>
    <n v="50.53"/>
    <s v="Cancelada"/>
    <n v="282.5"/>
    <n v="42.375"/>
    <n v="0"/>
    <n v="0"/>
    <n v="0"/>
    <s v=""/>
  </r>
  <r>
    <s v="VD-0022"/>
    <d v="2025-01-09T00:00:00"/>
    <x v="3"/>
    <x v="2"/>
    <s v="E-commerce"/>
    <s v="Felipe Martins"/>
    <s v="Informática"/>
    <s v="Teclado Mecânico"/>
    <n v="1"/>
    <n v="433.84"/>
    <n v="0.2"/>
    <n v="250.69"/>
    <s v="Concluída"/>
    <n v="433.84"/>
    <n v="86.768000000000001"/>
    <n v="347.072"/>
    <n v="250.69"/>
    <n v="96.382000000000005"/>
    <n v="0.27770030425963488"/>
  </r>
  <r>
    <s v="VD-0054"/>
    <d v="2025-01-09T00:00:00"/>
    <x v="5"/>
    <x v="1"/>
    <s v="E-commerce"/>
    <s v="Larissa Freitas"/>
    <s v="Esporte"/>
    <s v="Colchonete Pro"/>
    <n v="1"/>
    <n v="138.59"/>
    <n v="0.05"/>
    <n v="56.23"/>
    <s v="Concluída"/>
    <n v="138.59"/>
    <n v="6.9295000000000009"/>
    <n v="131.66050000000001"/>
    <n v="56.23"/>
    <n v="75.430500000000023"/>
    <n v="0.57291670622548152"/>
  </r>
  <r>
    <s v="VD-0064"/>
    <d v="2025-01-09T00:00:00"/>
    <x v="6"/>
    <x v="0"/>
    <s v="Loja Física"/>
    <s v="Camila Souza"/>
    <s v="Esporte"/>
    <s v="Halteres 10kg"/>
    <n v="1"/>
    <n v="335.02"/>
    <n v="0"/>
    <n v="181.55"/>
    <s v="Concluída"/>
    <n v="335.02"/>
    <n v="0"/>
    <n v="335.02"/>
    <n v="181.55"/>
    <n v="153.46999999999997"/>
    <n v="0.45809205420571902"/>
  </r>
  <r>
    <s v="VD-0045"/>
    <d v="2025-01-10T00:00:00"/>
    <x v="2"/>
    <x v="1"/>
    <s v="Loja Física"/>
    <s v="Camila Souza"/>
    <s v="Esporte"/>
    <s v="Halteres 10kg"/>
    <n v="2"/>
    <n v="339.82"/>
    <n v="0.05"/>
    <n v="192.12"/>
    <s v="Concluída"/>
    <n v="679.64"/>
    <n v="33.981999999999999"/>
    <n v="645.65800000000002"/>
    <n v="384.24"/>
    <n v="261.41800000000001"/>
    <n v="0.40488617813145661"/>
  </r>
  <r>
    <s v="VD-0053"/>
    <d v="2025-01-10T00:00:00"/>
    <x v="5"/>
    <x v="1"/>
    <s v="Marketplace"/>
    <s v="Diego Alves"/>
    <s v="Informática"/>
    <s v="Mouse Pro"/>
    <n v="2"/>
    <n v="191.96"/>
    <n v="0.2"/>
    <n v="89.09"/>
    <s v="Concluída"/>
    <n v="383.92"/>
    <n v="76.784000000000006"/>
    <n v="307.13600000000002"/>
    <n v="178.18"/>
    <n v="128.95600000000002"/>
    <n v="0.41986611794123779"/>
  </r>
  <r>
    <s v="VD-0066"/>
    <d v="2025-01-10T00:00:00"/>
    <x v="2"/>
    <x v="1"/>
    <s v="Loja Física"/>
    <s v="Isabela Reis"/>
    <s v="Esporte"/>
    <s v="Colchonete Pro"/>
    <n v="1"/>
    <n v="141.04"/>
    <n v="0.05"/>
    <n v="58.32"/>
    <s v="Concluída"/>
    <n v="141.04"/>
    <n v="7.0519999999999996"/>
    <n v="133.988"/>
    <n v="58.32"/>
    <n v="75.668000000000006"/>
    <n v="0.56473714063946034"/>
  </r>
  <r>
    <s v="VD-0005"/>
    <d v="2025-01-11T00:00:00"/>
    <x v="6"/>
    <x v="0"/>
    <s v="E-commerce"/>
    <s v="Bruno Lima"/>
    <s v="Informática"/>
    <s v="Fone Wave"/>
    <n v="1"/>
    <n v="262.35000000000002"/>
    <n v="0.15"/>
    <n v="130.63999999999999"/>
    <s v="Concluída"/>
    <n v="262.35000000000002"/>
    <n v="39.352499999999999"/>
    <n v="222.99750000000003"/>
    <n v="130.63999999999999"/>
    <n v="92.357500000000044"/>
    <n v="0.41416383591744316"/>
  </r>
  <r>
    <s v="VD-0006"/>
    <d v="2025-01-11T00:00:00"/>
    <x v="3"/>
    <x v="2"/>
    <s v="Televendas"/>
    <s v="Ana Costa"/>
    <s v="Informática"/>
    <s v="Monitor 27 Ultra"/>
    <n v="1"/>
    <n v="1266.06"/>
    <n v="0.05"/>
    <n v="880.66"/>
    <s v="Cancelada"/>
    <n v="1266.06"/>
    <n v="63.302999999999997"/>
    <n v="0"/>
    <n v="0"/>
    <n v="0"/>
    <s v=""/>
  </r>
  <r>
    <s v="VD-0019"/>
    <d v="2025-01-11T00:00:00"/>
    <x v="7"/>
    <x v="3"/>
    <s v="Televendas"/>
    <s v="Larissa Freitas"/>
    <s v="Beleza"/>
    <s v="Secador Pro"/>
    <n v="1"/>
    <n v="427.24"/>
    <n v="0.05"/>
    <n v="236.98"/>
    <s v="Concluída"/>
    <n v="427.24"/>
    <n v="21.362000000000002"/>
    <n v="405.87799999999999"/>
    <n v="236.98"/>
    <n v="168.898"/>
    <n v="0.41612997008953428"/>
  </r>
  <r>
    <s v="VD-0031"/>
    <d v="2025-01-11T00:00:00"/>
    <x v="0"/>
    <x v="0"/>
    <s v="Marketplace"/>
    <s v="Larissa Freitas"/>
    <s v="Casa"/>
    <s v="Panela Pressão 6L"/>
    <n v="2"/>
    <n v="439.48"/>
    <n v="0.25"/>
    <n v="248.02"/>
    <s v="Cancelada"/>
    <n v="878.96"/>
    <n v="219.74"/>
    <n v="0"/>
    <n v="0"/>
    <n v="0"/>
    <s v=""/>
  </r>
  <r>
    <s v="VD-0012"/>
    <d v="2025-01-12T00:00:00"/>
    <x v="3"/>
    <x v="2"/>
    <s v="E-commerce"/>
    <s v="Bruno Lima"/>
    <s v="Informática"/>
    <s v="Fone Wave"/>
    <n v="1"/>
    <n v="233.44"/>
    <n v="0.05"/>
    <n v="114.83"/>
    <s v="Concluída"/>
    <n v="233.44"/>
    <n v="11.672000000000001"/>
    <n v="221.768"/>
    <n v="114.83"/>
    <n v="106.938"/>
    <n v="0.48220663035244038"/>
  </r>
  <r>
    <s v="VD-0001"/>
    <d v="2025-01-13T00:00:00"/>
    <x v="1"/>
    <x v="0"/>
    <s v="E-commerce"/>
    <s v="Bruno Lima"/>
    <s v="Beleza"/>
    <s v="Secador Pro"/>
    <n v="1"/>
    <n v="454.84"/>
    <n v="0.15"/>
    <n v="248.6"/>
    <s v="Concluída"/>
    <n v="454.84"/>
    <n v="68.225999999999999"/>
    <n v="386.61399999999998"/>
    <n v="248.6"/>
    <n v="138.01399999999998"/>
    <n v="0.35698138194685136"/>
  </r>
  <r>
    <s v="VD-0009"/>
    <d v="2025-01-13T00:00:00"/>
    <x v="2"/>
    <x v="1"/>
    <s v="Loja Física"/>
    <s v="Felipe Martins"/>
    <s v="Informática"/>
    <s v="Fone Wave"/>
    <n v="2"/>
    <n v="254.69"/>
    <n v="0.1"/>
    <n v="119.58"/>
    <s v="Concluída"/>
    <n v="509.38"/>
    <n v="50.938000000000002"/>
    <n v="458.44200000000001"/>
    <n v="239.16"/>
    <n v="219.28200000000001"/>
    <n v="0.47832004921015092"/>
  </r>
  <r>
    <s v="VD-0060"/>
    <d v="2025-01-13T00:00:00"/>
    <x v="3"/>
    <x v="2"/>
    <s v="Loja Física"/>
    <s v="Camila Souza"/>
    <s v="Casa"/>
    <s v="Tapete Sala"/>
    <n v="1"/>
    <n v="542.82000000000005"/>
    <n v="0"/>
    <n v="274.06"/>
    <s v="Concluída"/>
    <n v="542.82000000000005"/>
    <n v="0"/>
    <n v="542.82000000000005"/>
    <n v="274.06"/>
    <n v="268.76000000000005"/>
    <n v="0.49511808702700716"/>
  </r>
  <r>
    <s v="VD-0007"/>
    <d v="2025-01-14T00:00:00"/>
    <x v="5"/>
    <x v="1"/>
    <s v="E-commerce"/>
    <s v="João Pedro"/>
    <s v="Beleza"/>
    <s v="Creme Facial"/>
    <n v="1"/>
    <n v="156.61000000000001"/>
    <n v="0.03"/>
    <n v="54.57"/>
    <s v="Concluída"/>
    <n v="156.61000000000001"/>
    <n v="4.6983000000000006"/>
    <n v="151.91170000000002"/>
    <n v="54.57"/>
    <n v="97.341700000000031"/>
    <n v="0.64077816257733944"/>
  </r>
  <r>
    <s v="VD-0023"/>
    <d v="2025-01-14T00:00:00"/>
    <x v="6"/>
    <x v="0"/>
    <s v="Loja Física"/>
    <s v="João Pedro"/>
    <s v="Informática"/>
    <s v="Notebook Nova 14"/>
    <n v="1"/>
    <n v="3934.3"/>
    <n v="0"/>
    <n v="3061.79"/>
    <s v="Concluída"/>
    <n v="3934.3"/>
    <n v="0"/>
    <n v="3934.3"/>
    <n v="3061.79"/>
    <n v="872.51000000000022"/>
    <n v="0.22177007345652344"/>
  </r>
  <r>
    <s v="VD-0003"/>
    <d v="2025-01-15T00:00:00"/>
    <x v="5"/>
    <x v="1"/>
    <s v="E-commerce"/>
    <s v="Giovana Melo"/>
    <s v="Beleza"/>
    <s v="Balança Smart"/>
    <n v="1"/>
    <n v="245.4"/>
    <n v="0.15"/>
    <n v="108.52"/>
    <s v="Concluída"/>
    <n v="245.4"/>
    <n v="36.81"/>
    <n v="208.59"/>
    <n v="108.52"/>
    <n v="100.07000000000001"/>
    <n v="0.47974495421640539"/>
  </r>
  <r>
    <s v="VD-0052"/>
    <d v="2025-01-15T00:00:00"/>
    <x v="5"/>
    <x v="1"/>
    <s v="E-commerce"/>
    <s v="Isabela Reis"/>
    <s v="Informática"/>
    <s v="Monitor 27 Ultra"/>
    <n v="1"/>
    <n v="1272.82"/>
    <n v="0.05"/>
    <n v="924.87"/>
    <s v="Concluída"/>
    <n v="1272.82"/>
    <n v="63.640999999999998"/>
    <n v="1209.1789999999999"/>
    <n v="924.87"/>
    <n v="284.30899999999986"/>
    <n v="0.23512565137171576"/>
  </r>
  <r>
    <s v="VD-0055"/>
    <d v="2025-01-15T00:00:00"/>
    <x v="4"/>
    <x v="2"/>
    <s v="Loja Física"/>
    <s v="Heitor Nunes"/>
    <s v="Esporte"/>
    <s v="Halteres 10kg"/>
    <n v="1"/>
    <n v="384.01"/>
    <n v="0.15"/>
    <n v="210.09"/>
    <s v="Concluída"/>
    <n v="384.01"/>
    <n v="57.601499999999994"/>
    <n v="326.4085"/>
    <n v="210.09"/>
    <n v="116.3185"/>
    <n v="0.3563586732575898"/>
  </r>
  <r>
    <s v="VD-0058"/>
    <d v="2025-01-15T00:00:00"/>
    <x v="2"/>
    <x v="1"/>
    <s v="Marketplace"/>
    <s v="Felipe Martins"/>
    <s v="Esporte"/>
    <s v="Esteira Compacta"/>
    <n v="1"/>
    <n v="2876.52"/>
    <n v="0.05"/>
    <n v="1948.97"/>
    <s v="Concluída"/>
    <n v="2876.52"/>
    <n v="143.82599999999999"/>
    <n v="2732.694"/>
    <n v="1948.97"/>
    <n v="783.72399999999993"/>
    <n v="0.28679537482059825"/>
  </r>
  <r>
    <s v="VD-0067"/>
    <d v="2025-01-15T00:00:00"/>
    <x v="0"/>
    <x v="0"/>
    <s v="Marketplace"/>
    <s v="Felipe Martins"/>
    <s v="Beleza"/>
    <s v="Creme Facial"/>
    <n v="1"/>
    <n v="158.34"/>
    <n v="0.2"/>
    <n v="54.18"/>
    <s v="Concluída"/>
    <n v="158.34"/>
    <n v="31.668000000000003"/>
    <n v="126.672"/>
    <n v="54.18"/>
    <n v="72.49199999999999"/>
    <n v="0.57228116710875321"/>
  </r>
  <r>
    <s v="VD-0004"/>
    <d v="2025-01-16T00:00:00"/>
    <x v="6"/>
    <x v="0"/>
    <s v="E-commerce"/>
    <s v="Ana Costa"/>
    <s v="Beleza"/>
    <s v="Balança Smart"/>
    <n v="1"/>
    <n v="220.73"/>
    <n v="0.1"/>
    <n v="93.66"/>
    <s v="Concluída"/>
    <n v="220.73"/>
    <n v="22.073"/>
    <n v="198.65699999999998"/>
    <n v="93.66"/>
    <n v="104.99699999999999"/>
    <n v="0.52853410652531752"/>
  </r>
  <r>
    <s v="VD-0016"/>
    <d v="2025-01-16T00:00:00"/>
    <x v="6"/>
    <x v="0"/>
    <s v="Televendas"/>
    <s v="Heitor Nunes"/>
    <s v="Beleza"/>
    <s v="Secador Pro"/>
    <n v="1"/>
    <n v="426.11"/>
    <n v="0"/>
    <n v="231.63"/>
    <s v="Concluída"/>
    <n v="426.11"/>
    <n v="0"/>
    <n v="426.11"/>
    <n v="231.63"/>
    <n v="194.48000000000002"/>
    <n v="0.4564079697730633"/>
  </r>
  <r>
    <s v="VD-0037"/>
    <d v="2025-01-16T00:00:00"/>
    <x v="7"/>
    <x v="3"/>
    <s v="Marketplace"/>
    <s v="Larissa Freitas"/>
    <s v="Acessórios"/>
    <s v="Relógio Fit"/>
    <n v="1"/>
    <n v="696.29"/>
    <n v="0.2"/>
    <n v="324.66000000000003"/>
    <s v="Concluída"/>
    <n v="696.29"/>
    <n v="139.25800000000001"/>
    <n v="557.03199999999993"/>
    <n v="324.66000000000003"/>
    <n v="232.3719999999999"/>
    <n v="0.41716095305117107"/>
  </r>
  <r>
    <s v="VD-0048"/>
    <d v="2025-01-16T00:00:00"/>
    <x v="5"/>
    <x v="1"/>
    <s v="Televendas"/>
    <s v="Bruno Lima"/>
    <s v="Casa"/>
    <s v="Cadeira Escritório"/>
    <n v="1"/>
    <n v="1100.02"/>
    <n v="0.1"/>
    <n v="832.07"/>
    <s v="Concluída"/>
    <n v="1100.02"/>
    <n v="110.00200000000001"/>
    <n v="990.01800000000003"/>
    <n v="832.07"/>
    <n v="157.94799999999998"/>
    <n v="0.15954053360645964"/>
  </r>
  <r>
    <s v="VD-0032"/>
    <d v="2025-01-17T00:00:00"/>
    <x v="0"/>
    <x v="0"/>
    <s v="Marketplace"/>
    <s v="Isabela Reis"/>
    <s v="Esporte"/>
    <s v="Bike Urbana"/>
    <n v="2"/>
    <n v="2134.59"/>
    <n v="0.2"/>
    <n v="1524.97"/>
    <s v="Concluída"/>
    <n v="4269.18"/>
    <n v="853.83600000000013"/>
    <n v="3415.3440000000001"/>
    <n v="3049.94"/>
    <n v="365.404"/>
    <n v="0.10698892995844635"/>
  </r>
  <r>
    <s v="VD-0002"/>
    <d v="2025-01-18T00:00:00"/>
    <x v="7"/>
    <x v="3"/>
    <s v="Loja Física"/>
    <s v="Elisa Rocha"/>
    <s v="Casa"/>
    <s v="Panela Pressão 6L"/>
    <n v="2"/>
    <n v="465.31"/>
    <n v="0.15"/>
    <n v="256.31"/>
    <s v="Concluída"/>
    <n v="930.62"/>
    <n v="139.59299999999999"/>
    <n v="791.02700000000004"/>
    <n v="512.62"/>
    <n v="278.40700000000004"/>
    <n v="0.35195638075565061"/>
  </r>
  <r>
    <s v="VD-0028"/>
    <d v="2025-01-18T00:00:00"/>
    <x v="7"/>
    <x v="3"/>
    <s v="E-commerce"/>
    <s v="Elisa Rocha"/>
    <s v="Informática"/>
    <s v="Teclado Mecânico"/>
    <n v="2"/>
    <n v="426.01"/>
    <n v="0.05"/>
    <n v="243.23"/>
    <s v="Concluída"/>
    <n v="852.02"/>
    <n v="42.600999999999999"/>
    <n v="809.41899999999998"/>
    <n v="486.46"/>
    <n v="322.959"/>
    <n v="0.39900101183688547"/>
  </r>
  <r>
    <s v="VD-0049"/>
    <d v="2025-01-19T00:00:00"/>
    <x v="5"/>
    <x v="1"/>
    <s v="E-commerce"/>
    <s v="Heitor Nunes"/>
    <s v="Acessórios"/>
    <s v="Relógio Fit"/>
    <n v="1"/>
    <n v="658.73"/>
    <n v="0.05"/>
    <n v="319.23"/>
    <s v="Concluída"/>
    <n v="658.73"/>
    <n v="32.936500000000002"/>
    <n v="625.79349999999999"/>
    <n v="319.23"/>
    <n v="306.56349999999998"/>
    <n v="0.48987964879788615"/>
  </r>
  <r>
    <s v="VD-0026"/>
    <d v="2025-01-20T00:00:00"/>
    <x v="5"/>
    <x v="1"/>
    <s v="Marketplace"/>
    <s v="Elisa Rocha"/>
    <s v="Acessórios"/>
    <s v="Relógio Fit"/>
    <n v="1"/>
    <n v="712.38"/>
    <n v="0.15"/>
    <n v="353.71"/>
    <s v="Concluída"/>
    <n v="712.38"/>
    <n v="106.857"/>
    <n v="605.52300000000002"/>
    <n v="353.71"/>
    <n v="251.81300000000005"/>
    <n v="0.41586033891363339"/>
  </r>
  <r>
    <s v="VD-0036"/>
    <d v="2025-01-20T00:00:00"/>
    <x v="6"/>
    <x v="0"/>
    <s v="E-commerce"/>
    <s v="Felipe Martins"/>
    <s v="Casa"/>
    <s v="Air Fryer 5L"/>
    <n v="1"/>
    <n v="680.73"/>
    <n v="0.2"/>
    <n v="388.34"/>
    <s v="Concluída"/>
    <n v="680.73"/>
    <n v="136.14600000000002"/>
    <n v="544.58400000000006"/>
    <n v="388.34"/>
    <n v="156.24400000000009"/>
    <n v="0.28690523408693619"/>
  </r>
  <r>
    <s v="VD-0038"/>
    <d v="2025-01-20T00:00:00"/>
    <x v="7"/>
    <x v="3"/>
    <s v="Loja Física"/>
    <s v="Larissa Freitas"/>
    <s v="Beleza"/>
    <s v="Creme Facial"/>
    <n v="1"/>
    <n v="160.29"/>
    <n v="0.15"/>
    <n v="56.35"/>
    <s v="Concluída"/>
    <n v="160.29"/>
    <n v="24.043499999999998"/>
    <n v="136.2465"/>
    <n v="56.35"/>
    <n v="79.896500000000003"/>
    <n v="0.58641139405415921"/>
  </r>
  <r>
    <s v="VD-0040"/>
    <d v="2025-01-20T00:00:00"/>
    <x v="0"/>
    <x v="0"/>
    <s v="Televendas"/>
    <s v="Diego Alves"/>
    <s v="Acessórios"/>
    <s v="Óculos Sol"/>
    <n v="1"/>
    <n v="376.68"/>
    <n v="0"/>
    <n v="169.04"/>
    <s v="Concluída"/>
    <n v="376.68"/>
    <n v="0"/>
    <n v="376.68"/>
    <n v="169.04"/>
    <n v="207.64000000000001"/>
    <n v="0.55123712434958061"/>
  </r>
  <r>
    <s v="VD-0056"/>
    <d v="2025-01-20T00:00:00"/>
    <x v="0"/>
    <x v="0"/>
    <s v="Loja Física"/>
    <s v="Isabela Reis"/>
    <s v="Beleza"/>
    <s v="Balança Smart"/>
    <n v="1"/>
    <n v="229.5"/>
    <n v="0.05"/>
    <n v="99.71"/>
    <s v="Concluída"/>
    <n v="229.5"/>
    <n v="11.475000000000001"/>
    <n v="218.02500000000001"/>
    <n v="99.71"/>
    <n v="118.31500000000001"/>
    <n v="0.5426671253296641"/>
  </r>
  <r>
    <s v="VD-0039"/>
    <d v="2025-01-21T00:00:00"/>
    <x v="0"/>
    <x v="0"/>
    <s v="Loja Física"/>
    <s v="Elisa Rocha"/>
    <s v="Esporte"/>
    <s v="Halteres 10kg"/>
    <n v="1"/>
    <n v="343.39"/>
    <n v="0.05"/>
    <n v="194.61"/>
    <s v="Concluída"/>
    <n v="343.39"/>
    <n v="17.169499999999999"/>
    <n v="326.22050000000002"/>
    <n v="194.61"/>
    <n v="131.6105"/>
    <n v="0.40344031107793654"/>
  </r>
  <r>
    <s v="VD-0044"/>
    <d v="2025-01-21T00:00:00"/>
    <x v="6"/>
    <x v="0"/>
    <s v="Televendas"/>
    <s v="João Pedro"/>
    <s v="Informática"/>
    <s v="Mouse Pro"/>
    <n v="1"/>
    <n v="201.84"/>
    <n v="0.1"/>
    <n v="92.07"/>
    <s v="Concluída"/>
    <n v="201.84"/>
    <n v="20.184000000000001"/>
    <n v="181.65600000000001"/>
    <n v="92.07"/>
    <n v="89.586000000000013"/>
    <n v="0.49316290130796675"/>
  </r>
  <r>
    <s v="VD-0046"/>
    <d v="2025-01-21T00:00:00"/>
    <x v="0"/>
    <x v="0"/>
    <s v="E-commerce"/>
    <s v="Bruno Lima"/>
    <s v="Beleza"/>
    <s v="Creme Facial"/>
    <n v="2"/>
    <n v="142.72"/>
    <n v="0.2"/>
    <n v="49.81"/>
    <s v="Concluída"/>
    <n v="285.44"/>
    <n v="57.088000000000001"/>
    <n v="228.352"/>
    <n v="99.62"/>
    <n v="128.732"/>
    <n v="0.56374369394618828"/>
  </r>
  <r>
    <s v="VD-0063"/>
    <d v="2025-01-21T00:00:00"/>
    <x v="0"/>
    <x v="0"/>
    <s v="Marketplace"/>
    <s v="Elisa Rocha"/>
    <s v="Acessórios"/>
    <s v="Mochila Urban"/>
    <n v="1"/>
    <n v="297.11"/>
    <n v="0.05"/>
    <n v="131.41999999999999"/>
    <s v="Concluída"/>
    <n v="297.11"/>
    <n v="14.855500000000001"/>
    <n v="282.25450000000001"/>
    <n v="131.41999999999999"/>
    <n v="150.83450000000002"/>
    <n v="0.53439183431973636"/>
  </r>
  <r>
    <s v="VD-0062"/>
    <d v="2025-01-22T00:00:00"/>
    <x v="7"/>
    <x v="3"/>
    <s v="E-commerce"/>
    <s v="Bruno Lima"/>
    <s v="Informática"/>
    <s v="Fone Wave"/>
    <n v="1"/>
    <n v="238.39"/>
    <n v="0.2"/>
    <n v="114.81"/>
    <s v="Concluída"/>
    <n v="238.39"/>
    <n v="47.677999999999997"/>
    <n v="190.71199999999999"/>
    <n v="114.81"/>
    <n v="75.901999999999987"/>
    <n v="0.39799278493225382"/>
  </r>
  <r>
    <s v="VD-0014"/>
    <d v="2025-01-26T00:00:00"/>
    <x v="0"/>
    <x v="0"/>
    <s v="E-commerce"/>
    <s v="Camila Souza"/>
    <s v="Informática"/>
    <s v="Teclado Mecânico"/>
    <n v="2"/>
    <n v="407.08"/>
    <n v="0.15"/>
    <n v="233.89"/>
    <s v="Concluída"/>
    <n v="814.16"/>
    <n v="122.124"/>
    <n v="692.03599999999994"/>
    <n v="467.78"/>
    <n v="224.25599999999997"/>
    <n v="0.32405250593899737"/>
  </r>
  <r>
    <s v="VD-0015"/>
    <d v="2025-01-26T00:00:00"/>
    <x v="6"/>
    <x v="0"/>
    <s v="Marketplace"/>
    <s v="Camila Souza"/>
    <s v="Informática"/>
    <s v="Fone Wave"/>
    <n v="2"/>
    <n v="260.68"/>
    <n v="0.05"/>
    <n v="127.6"/>
    <s v="Concluída"/>
    <n v="521.36"/>
    <n v="26.068000000000001"/>
    <n v="495.29200000000003"/>
    <n v="255.2"/>
    <n v="240.09200000000004"/>
    <n v="0.48474839084822696"/>
  </r>
  <r>
    <s v="VD-0021"/>
    <d v="2025-01-26T00:00:00"/>
    <x v="7"/>
    <x v="3"/>
    <s v="Televendas"/>
    <s v="Elisa Rocha"/>
    <s v="Beleza"/>
    <s v="Creme Facial"/>
    <n v="1"/>
    <n v="157.77000000000001"/>
    <n v="0.03"/>
    <n v="54.84"/>
    <s v="Concluída"/>
    <n v="157.77000000000001"/>
    <n v="4.7331000000000003"/>
    <n v="153.0369"/>
    <n v="54.84"/>
    <n v="98.196899999999999"/>
    <n v="0.64165505182083538"/>
  </r>
  <r>
    <s v="VD-0025"/>
    <d v="2025-01-26T00:00:00"/>
    <x v="7"/>
    <x v="3"/>
    <s v="Loja Física"/>
    <s v="Larissa Freitas"/>
    <s v="Esporte"/>
    <s v="Bike Urbana"/>
    <n v="2"/>
    <n v="2262.85"/>
    <n v="0"/>
    <n v="1534.38"/>
    <s v="Concluída"/>
    <n v="4525.7"/>
    <n v="0"/>
    <n v="4525.7"/>
    <n v="3068.76"/>
    <n v="1456.9399999999996"/>
    <n v="0.32192588991758175"/>
  </r>
  <r>
    <s v="VD-0050"/>
    <d v="2025-01-26T00:00:00"/>
    <x v="7"/>
    <x v="3"/>
    <s v="Loja Física"/>
    <s v="Elisa Rocha"/>
    <s v="Beleza"/>
    <s v="Creme Facial"/>
    <n v="1"/>
    <n v="156.68"/>
    <n v="0.1"/>
    <n v="53.58"/>
    <s v="Concluída"/>
    <n v="156.68"/>
    <n v="15.668000000000001"/>
    <n v="141.012"/>
    <n v="53.58"/>
    <n v="87.432000000000002"/>
    <n v="0.6200323376733895"/>
  </r>
  <r>
    <s v="VD-0024"/>
    <d v="2025-01-27T00:00:00"/>
    <x v="5"/>
    <x v="1"/>
    <s v="E-commerce"/>
    <s v="Marcos Silva"/>
    <s v="Informática"/>
    <s v="Fone Wave"/>
    <n v="2"/>
    <n v="252.83"/>
    <n v="0.1"/>
    <n v="124.39"/>
    <s v="Concluída"/>
    <n v="505.66"/>
    <n v="50.566000000000003"/>
    <n v="455.09400000000005"/>
    <n v="248.78"/>
    <n v="206.31400000000005"/>
    <n v="0.45334370481702685"/>
  </r>
  <r>
    <s v="VD-0057"/>
    <d v="2025-01-27T00:00:00"/>
    <x v="0"/>
    <x v="0"/>
    <s v="Loja Física"/>
    <s v="Giovana Melo"/>
    <s v="Informática"/>
    <s v="Fone Wave"/>
    <n v="1"/>
    <n v="250.5"/>
    <n v="0.15"/>
    <n v="115.84"/>
    <s v="Concluída"/>
    <n v="250.5"/>
    <n v="37.574999999999996"/>
    <n v="212.92500000000001"/>
    <n v="115.84"/>
    <n v="97.085000000000008"/>
    <n v="0.45595867089350711"/>
  </r>
  <r>
    <s v="VD-0068"/>
    <d v="2025-01-27T00:00:00"/>
    <x v="4"/>
    <x v="2"/>
    <s v="Televendas"/>
    <s v="Isabela Reis"/>
    <s v="Beleza"/>
    <s v="Creme Facial"/>
    <n v="1"/>
    <n v="148.27000000000001"/>
    <n v="0"/>
    <n v="51.22"/>
    <s v="Concluída"/>
    <n v="148.27000000000001"/>
    <n v="0"/>
    <n v="148.27000000000001"/>
    <n v="51.22"/>
    <n v="97.050000000000011"/>
    <n v="0.65454913333782971"/>
  </r>
  <r>
    <s v="VD-0008"/>
    <d v="2025-01-28T00:00:00"/>
    <x v="7"/>
    <x v="3"/>
    <s v="E-commerce"/>
    <s v="Elisa Rocha"/>
    <s v="Beleza"/>
    <s v="Creme Facial"/>
    <n v="3"/>
    <n v="153.51"/>
    <n v="0.03"/>
    <n v="51.99"/>
    <s v="Concluída"/>
    <n v="460.53"/>
    <n v="13.815899999999999"/>
    <n v="446.71409999999997"/>
    <n v="155.97"/>
    <n v="290.7441"/>
    <n v="0.65085051042713904"/>
  </r>
  <r>
    <s v="VD-0075"/>
    <d v="2025-02-01T00:00:00"/>
    <x v="4"/>
    <x v="2"/>
    <s v="Marketplace"/>
    <s v="Larissa Freitas"/>
    <s v="Informática"/>
    <s v="Mouse Pro"/>
    <n v="1"/>
    <n v="186.55"/>
    <n v="0.25"/>
    <n v="83.17"/>
    <s v="Concluída"/>
    <n v="186.55"/>
    <n v="46.637500000000003"/>
    <n v="139.91250000000002"/>
    <n v="83.17"/>
    <n v="56.742500000000021"/>
    <n v="0.40555704458143493"/>
  </r>
  <r>
    <s v="VD-0128"/>
    <d v="2025-02-01T00:00:00"/>
    <x v="2"/>
    <x v="1"/>
    <s v="Loja Física"/>
    <s v="Felipe Martins"/>
    <s v="Beleza"/>
    <s v="Creme Facial"/>
    <n v="1"/>
    <n v="138.47"/>
    <n v="0.08"/>
    <n v="49.54"/>
    <s v="Concluída"/>
    <n v="138.47"/>
    <n v="11.0776"/>
    <n v="127.39239999999999"/>
    <n v="49.54"/>
    <n v="77.852399999999989"/>
    <n v="0.61112279853429241"/>
  </r>
  <r>
    <s v="VD-0087"/>
    <d v="2025-02-02T00:00:00"/>
    <x v="7"/>
    <x v="3"/>
    <s v="Marketplace"/>
    <s v="Larissa Freitas"/>
    <s v="Informática"/>
    <s v="Fone Wave"/>
    <n v="1"/>
    <n v="229.15"/>
    <n v="0.05"/>
    <n v="110.69"/>
    <s v="Concluída"/>
    <n v="229.15"/>
    <n v="11.457500000000001"/>
    <n v="217.6925"/>
    <n v="110.69"/>
    <n v="107.0025"/>
    <n v="0.49153048451370623"/>
  </r>
  <r>
    <s v="VD-0112"/>
    <d v="2025-02-02T00:00:00"/>
    <x v="6"/>
    <x v="0"/>
    <s v="E-commerce"/>
    <s v="Marcos Silva"/>
    <s v="Beleza"/>
    <s v="Secador Pro"/>
    <n v="1"/>
    <n v="402.69"/>
    <n v="0.03"/>
    <n v="225.13"/>
    <s v="Concluída"/>
    <n v="402.69"/>
    <n v="12.0807"/>
    <n v="390.60930000000002"/>
    <n v="225.13"/>
    <n v="165.47930000000002"/>
    <n v="0.4236440351010588"/>
  </r>
  <r>
    <s v="VD-0131"/>
    <d v="2025-02-02T00:00:00"/>
    <x v="5"/>
    <x v="1"/>
    <s v="Marketplace"/>
    <s v="Ana Costa"/>
    <s v="Acessórios"/>
    <s v="Mochila Urban"/>
    <n v="1"/>
    <n v="328"/>
    <n v="0.1"/>
    <n v="150"/>
    <s v="Concluída"/>
    <n v="328"/>
    <n v="32.800000000000004"/>
    <n v="295.2"/>
    <n v="150"/>
    <n v="145.19999999999999"/>
    <n v="0.49186991869918695"/>
  </r>
  <r>
    <s v="VD-0081"/>
    <d v="2025-02-03T00:00:00"/>
    <x v="4"/>
    <x v="2"/>
    <s v="Televendas"/>
    <s v="Larissa Freitas"/>
    <s v="Esporte"/>
    <s v="Colchonete Pro"/>
    <n v="1"/>
    <n v="143.72"/>
    <n v="0.03"/>
    <n v="56.4"/>
    <s v="Concluída"/>
    <n v="143.72"/>
    <n v="4.3115999999999994"/>
    <n v="139.4084"/>
    <n v="56.4"/>
    <n v="83.008399999999995"/>
    <n v="0.5954332737482102"/>
  </r>
  <r>
    <s v="VD-0118"/>
    <d v="2025-02-03T00:00:00"/>
    <x v="0"/>
    <x v="0"/>
    <s v="Loja Física"/>
    <s v="João Pedro"/>
    <s v="Casa"/>
    <s v="Air Fryer 5L"/>
    <n v="1"/>
    <n v="646.22"/>
    <n v="0"/>
    <n v="361.71"/>
    <s v="Concluída"/>
    <n v="646.22"/>
    <n v="0"/>
    <n v="646.22"/>
    <n v="361.71"/>
    <n v="284.51000000000005"/>
    <n v="0.4402680201788865"/>
  </r>
  <r>
    <s v="VD-0070"/>
    <d v="2025-02-04T00:00:00"/>
    <x v="4"/>
    <x v="2"/>
    <s v="Loja Física"/>
    <s v="Ana Costa"/>
    <s v="Informática"/>
    <s v="Fone Wave"/>
    <n v="1"/>
    <n v="263.13"/>
    <n v="0.08"/>
    <n v="131.13"/>
    <s v="Concluída"/>
    <n v="263.13"/>
    <n v="21.0504"/>
    <n v="242.0796"/>
    <n v="131.13"/>
    <n v="110.9496"/>
    <n v="0.45831866873540772"/>
  </r>
  <r>
    <s v="VD-0100"/>
    <d v="2025-02-04T00:00:00"/>
    <x v="0"/>
    <x v="0"/>
    <s v="Loja Física"/>
    <s v="Ana Costa"/>
    <s v="Acessórios"/>
    <s v="Óculos Sol"/>
    <n v="1"/>
    <n v="372.18"/>
    <n v="0"/>
    <n v="157.47"/>
    <s v="Concluída"/>
    <n v="372.18"/>
    <n v="0"/>
    <n v="372.18"/>
    <n v="157.47"/>
    <n v="214.71"/>
    <n v="0.57689827502821212"/>
  </r>
  <r>
    <s v="VD-0103"/>
    <d v="2025-02-04T00:00:00"/>
    <x v="5"/>
    <x v="1"/>
    <s v="E-commerce"/>
    <s v="Bruno Lima"/>
    <s v="Acessórios"/>
    <s v="Óculos Sol"/>
    <n v="1"/>
    <n v="356.83"/>
    <n v="0.03"/>
    <n v="153.79"/>
    <s v="Concluída"/>
    <n v="356.83"/>
    <n v="10.704899999999999"/>
    <n v="346.12509999999997"/>
    <n v="153.79"/>
    <n v="192.33509999999998"/>
    <n v="0.5556808795432634"/>
  </r>
  <r>
    <s v="VD-0082"/>
    <d v="2025-02-05T00:00:00"/>
    <x v="1"/>
    <x v="0"/>
    <s v="Marketplace"/>
    <s v="João Pedro"/>
    <s v="Beleza"/>
    <s v="Secador Pro"/>
    <n v="2"/>
    <n v="424.39"/>
    <n v="0.25"/>
    <n v="225.69"/>
    <s v="Concluída"/>
    <n v="848.78"/>
    <n v="212.19499999999999"/>
    <n v="636.58500000000004"/>
    <n v="451.38"/>
    <n v="185.20500000000004"/>
    <n v="0.29093522467541655"/>
  </r>
  <r>
    <s v="VD-0121"/>
    <d v="2025-02-05T00:00:00"/>
    <x v="7"/>
    <x v="3"/>
    <s v="E-commerce"/>
    <s v="Heitor Nunes"/>
    <s v="Esporte"/>
    <s v="Halteres 10kg"/>
    <n v="1"/>
    <n v="344.07"/>
    <n v="0.03"/>
    <n v="199.44"/>
    <s v="Concluída"/>
    <n v="344.07"/>
    <n v="10.322099999999999"/>
    <n v="333.74790000000002"/>
    <n v="199.44"/>
    <n v="134.30790000000002"/>
    <n v="0.40242320625837646"/>
  </r>
  <r>
    <s v="VD-0125"/>
    <d v="2025-02-05T00:00:00"/>
    <x v="4"/>
    <x v="2"/>
    <s v="Loja Física"/>
    <s v="Isabela Reis"/>
    <s v="Casa"/>
    <s v="Cadeira Escritório"/>
    <n v="2"/>
    <n v="1207.2"/>
    <n v="0"/>
    <n v="858.08"/>
    <s v="Concluída"/>
    <n v="2414.4"/>
    <n v="0"/>
    <n v="2414.4"/>
    <n v="1716.16"/>
    <n v="698.24"/>
    <n v="0.28919814446653413"/>
  </r>
  <r>
    <s v="VD-0132"/>
    <d v="2025-02-05T00:00:00"/>
    <x v="7"/>
    <x v="3"/>
    <s v="Loja Física"/>
    <s v="Marcos Silva"/>
    <s v="Casa"/>
    <s v="Tapete Sala"/>
    <n v="1"/>
    <n v="564.77"/>
    <n v="0.08"/>
    <n v="294.77"/>
    <s v="Concluída"/>
    <n v="564.77"/>
    <n v="45.181599999999996"/>
    <n v="519.58839999999998"/>
    <n v="294.77"/>
    <n v="224.8184"/>
    <n v="0.43268556418888493"/>
  </r>
  <r>
    <s v="VD-0089"/>
    <d v="2025-02-06T00:00:00"/>
    <x v="7"/>
    <x v="3"/>
    <s v="E-commerce"/>
    <s v="Felipe Martins"/>
    <s v="Informática"/>
    <s v="Teclado Mecânico"/>
    <n v="2"/>
    <n v="394.2"/>
    <n v="0.2"/>
    <n v="224.88"/>
    <s v="Concluída"/>
    <n v="788.4"/>
    <n v="157.68"/>
    <n v="630.72"/>
    <n v="449.76"/>
    <n v="180.96000000000004"/>
    <n v="0.28691019786910205"/>
  </r>
  <r>
    <s v="VD-0093"/>
    <d v="2025-02-06T00:00:00"/>
    <x v="6"/>
    <x v="0"/>
    <s v="Loja Física"/>
    <s v="Elisa Rocha"/>
    <s v="Casa"/>
    <s v="Kit Lençol 4p"/>
    <n v="2"/>
    <n v="300.77"/>
    <n v="0.15"/>
    <n v="129.63"/>
    <s v="Concluída"/>
    <n v="601.54"/>
    <n v="90.230999999999995"/>
    <n v="511.30899999999997"/>
    <n v="259.26"/>
    <n v="252.04899999999998"/>
    <n v="0.49294849102988603"/>
  </r>
  <r>
    <s v="VD-0115"/>
    <d v="2025-02-06T00:00:00"/>
    <x v="2"/>
    <x v="1"/>
    <s v="E-commerce"/>
    <s v="Bruno Lima"/>
    <s v="Casa"/>
    <s v="Air Fryer 5L"/>
    <n v="1"/>
    <n v="694.8"/>
    <n v="0.05"/>
    <n v="404.64"/>
    <s v="Concluída"/>
    <n v="694.8"/>
    <n v="34.74"/>
    <n v="660.06"/>
    <n v="404.64"/>
    <n v="255.41999999999996"/>
    <n v="0.38696482137987454"/>
  </r>
  <r>
    <s v="VD-0069"/>
    <d v="2025-02-07T00:00:00"/>
    <x v="5"/>
    <x v="1"/>
    <s v="Marketplace"/>
    <s v="Isabela Reis"/>
    <s v="Acessórios"/>
    <s v="Mochila Urban"/>
    <n v="1"/>
    <n v="337.77"/>
    <n v="0.2"/>
    <n v="151.26"/>
    <s v="Concluída"/>
    <n v="337.77"/>
    <n v="67.554000000000002"/>
    <n v="270.21600000000001"/>
    <n v="151.26"/>
    <n v="118.95600000000002"/>
    <n v="0.44022559729993788"/>
  </r>
  <r>
    <s v="VD-0102"/>
    <d v="2025-02-07T00:00:00"/>
    <x v="5"/>
    <x v="1"/>
    <s v="E-commerce"/>
    <s v="Larissa Freitas"/>
    <s v="Casa"/>
    <s v="Air Fryer 5L"/>
    <n v="2"/>
    <n v="663.79"/>
    <n v="0.1"/>
    <n v="373.08"/>
    <s v="Concluída"/>
    <n v="1327.58"/>
    <n v="132.75800000000001"/>
    <n v="1194.8219999999999"/>
    <n v="746.16"/>
    <n v="448.66199999999992"/>
    <n v="0.37550530539276977"/>
  </r>
  <r>
    <s v="VD-0086"/>
    <d v="2025-02-08T00:00:00"/>
    <x v="6"/>
    <x v="0"/>
    <s v="Marketplace"/>
    <s v="Marcos Silva"/>
    <s v="Beleza"/>
    <s v="Creme Facial"/>
    <n v="1"/>
    <n v="145.61000000000001"/>
    <n v="0.1"/>
    <n v="49.66"/>
    <s v="Concluída"/>
    <n v="145.61000000000001"/>
    <n v="14.561000000000002"/>
    <n v="131.04900000000001"/>
    <n v="49.66"/>
    <n v="81.38900000000001"/>
    <n v="0.62105777228364967"/>
  </r>
  <r>
    <s v="VD-0072"/>
    <d v="2025-02-10T00:00:00"/>
    <x v="4"/>
    <x v="2"/>
    <s v="E-commerce"/>
    <s v="Ana Costa"/>
    <s v="Casa"/>
    <s v="Panela Pressão 6L"/>
    <n v="2"/>
    <n v="462.24"/>
    <n v="0.03"/>
    <n v="246.19"/>
    <s v="Concluída"/>
    <n v="924.48"/>
    <n v="27.734400000000001"/>
    <n v="896.74559999999997"/>
    <n v="492.38"/>
    <n v="404.36559999999997"/>
    <n v="0.45092565829149311"/>
  </r>
  <r>
    <s v="VD-0083"/>
    <d v="2025-02-10T00:00:00"/>
    <x v="3"/>
    <x v="2"/>
    <s v="E-commerce"/>
    <s v="Diego Alves"/>
    <s v="Acessórios"/>
    <s v="Mochila Urban"/>
    <n v="1"/>
    <n v="310.68"/>
    <n v="0.1"/>
    <n v="144.57"/>
    <s v="Concluída"/>
    <n v="310.68"/>
    <n v="31.068000000000001"/>
    <n v="279.61200000000002"/>
    <n v="144.57"/>
    <n v="135.04200000000003"/>
    <n v="0.4829621046307026"/>
  </r>
  <r>
    <s v="VD-0090"/>
    <d v="2025-02-10T00:00:00"/>
    <x v="6"/>
    <x v="0"/>
    <s v="E-commerce"/>
    <s v="Elisa Rocha"/>
    <s v="Casa"/>
    <s v="Panela Pressão 6L"/>
    <n v="1"/>
    <n v="421.85"/>
    <n v="0.03"/>
    <n v="230.6"/>
    <s v="Concluída"/>
    <n v="421.85"/>
    <n v="12.6555"/>
    <n v="409.19450000000001"/>
    <n v="230.6"/>
    <n v="178.59450000000001"/>
    <n v="0.43645381352877421"/>
  </r>
  <r>
    <s v="VD-0109"/>
    <d v="2025-02-11T00:00:00"/>
    <x v="3"/>
    <x v="2"/>
    <s v="Marketplace"/>
    <s v="Elisa Rocha"/>
    <s v="Beleza"/>
    <s v="Creme Facial"/>
    <n v="1"/>
    <n v="153.27000000000001"/>
    <n v="0.05"/>
    <n v="54.66"/>
    <s v="Concluída"/>
    <n v="153.27000000000001"/>
    <n v="7.6635000000000009"/>
    <n v="145.60650000000001"/>
    <n v="54.66"/>
    <n v="90.946500000000015"/>
    <n v="0.62460467080796533"/>
  </r>
  <r>
    <s v="VD-0129"/>
    <d v="2025-02-11T00:00:00"/>
    <x v="1"/>
    <x v="0"/>
    <s v="Televendas"/>
    <s v="Camila Souza"/>
    <s v="Casa"/>
    <s v="Air Fryer 5L"/>
    <n v="1"/>
    <n v="729.46"/>
    <n v="0.1"/>
    <n v="423.8"/>
    <s v="Concluída"/>
    <n v="729.46"/>
    <n v="72.946000000000012"/>
    <n v="656.51400000000001"/>
    <n v="423.8"/>
    <n v="232.714"/>
    <n v="0.35446921162381911"/>
  </r>
  <r>
    <s v="VD-0124"/>
    <d v="2025-02-12T00:00:00"/>
    <x v="6"/>
    <x v="0"/>
    <s v="Marketplace"/>
    <s v="Giovana Melo"/>
    <s v="Informática"/>
    <s v="Monitor 27 Ultra"/>
    <n v="2"/>
    <n v="1280.1400000000001"/>
    <n v="0.25"/>
    <n v="880.78"/>
    <s v="Concluída"/>
    <n v="2560.2800000000002"/>
    <n v="640.07000000000005"/>
    <n v="1920.21"/>
    <n v="1761.56"/>
    <n v="158.65000000000009"/>
    <n v="8.2621171642684954E-2"/>
  </r>
  <r>
    <s v="VD-0085"/>
    <d v="2025-02-13T00:00:00"/>
    <x v="1"/>
    <x v="0"/>
    <s v="Loja Física"/>
    <s v="Felipe Martins"/>
    <s v="Esporte"/>
    <s v="Bike Urbana"/>
    <n v="1"/>
    <n v="2425.2399999999998"/>
    <n v="0.05"/>
    <n v="1690.53"/>
    <s v="Concluída"/>
    <n v="2425.2399999999998"/>
    <n v="121.262"/>
    <n v="2303.9779999999996"/>
    <n v="1690.53"/>
    <n v="613.44799999999964"/>
    <n v="0.26625601459736148"/>
  </r>
  <r>
    <s v="VD-0094"/>
    <d v="2025-02-14T00:00:00"/>
    <x v="6"/>
    <x v="0"/>
    <s v="Marketplace"/>
    <s v="Giovana Melo"/>
    <s v="Beleza"/>
    <s v="Balança Smart"/>
    <n v="1"/>
    <n v="220.39"/>
    <n v="0.1"/>
    <n v="98.17"/>
    <s v="Concluída"/>
    <n v="220.39"/>
    <n v="22.039000000000001"/>
    <n v="198.351"/>
    <n v="98.17"/>
    <n v="100.181"/>
    <n v="0.50506929634839248"/>
  </r>
  <r>
    <s v="VD-0117"/>
    <d v="2025-02-14T00:00:00"/>
    <x v="6"/>
    <x v="0"/>
    <s v="Loja Física"/>
    <s v="Larissa Freitas"/>
    <s v="Informática"/>
    <s v="Fone Wave"/>
    <n v="1"/>
    <n v="253.59"/>
    <n v="0"/>
    <n v="123.77"/>
    <s v="Concluída"/>
    <n v="253.59"/>
    <n v="0"/>
    <n v="253.59"/>
    <n v="123.77"/>
    <n v="129.82"/>
    <n v="0.51192870381324185"/>
  </r>
  <r>
    <s v="VD-0119"/>
    <d v="2025-02-14T00:00:00"/>
    <x v="1"/>
    <x v="0"/>
    <s v="E-commerce"/>
    <s v="Marcos Silva"/>
    <s v="Beleza"/>
    <s v="Secador Pro"/>
    <n v="2"/>
    <n v="405.53"/>
    <n v="0.03"/>
    <n v="230.88"/>
    <s v="Concluída"/>
    <n v="811.06"/>
    <n v="24.331799999999998"/>
    <n v="786.7281999999999"/>
    <n v="461.76"/>
    <n v="324.96819999999991"/>
    <n v="0.41306285957462813"/>
  </r>
  <r>
    <s v="VD-0130"/>
    <d v="2025-02-14T00:00:00"/>
    <x v="3"/>
    <x v="2"/>
    <s v="Televendas"/>
    <s v="João Pedro"/>
    <s v="Beleza"/>
    <s v="Secador Pro"/>
    <n v="1"/>
    <n v="398.35"/>
    <n v="0.05"/>
    <n v="227.22"/>
    <s v="Concluída"/>
    <n v="398.35"/>
    <n v="19.917500000000004"/>
    <n v="378.4325"/>
    <n v="227.22"/>
    <n v="151.21250000000001"/>
    <n v="0.39957588209257927"/>
  </r>
  <r>
    <s v="VD-0122"/>
    <d v="2025-02-15T00:00:00"/>
    <x v="0"/>
    <x v="0"/>
    <s v="Loja Física"/>
    <s v="Diego Alves"/>
    <s v="Casa"/>
    <s v="Kit Lençol 4p"/>
    <n v="1"/>
    <n v="278.2"/>
    <n v="0.05"/>
    <n v="126.82"/>
    <s v="Concluída"/>
    <n v="278.2"/>
    <n v="13.91"/>
    <n v="264.28999999999996"/>
    <n v="126.82"/>
    <n v="137.46999999999997"/>
    <n v="0.52014832191910398"/>
  </r>
  <r>
    <s v="VD-0127"/>
    <d v="2025-02-15T00:00:00"/>
    <x v="5"/>
    <x v="1"/>
    <s v="Loja Física"/>
    <s v="Ana Costa"/>
    <s v="Casa"/>
    <s v="Panela Pressão 6L"/>
    <n v="1"/>
    <n v="479.89"/>
    <n v="0.1"/>
    <n v="274.04000000000002"/>
    <s v="Concluída"/>
    <n v="479.89"/>
    <n v="47.989000000000004"/>
    <n v="431.90099999999995"/>
    <n v="274.04000000000002"/>
    <n v="157.86099999999993"/>
    <n v="0.36550274252664372"/>
  </r>
  <r>
    <s v="VD-0074"/>
    <d v="2025-02-16T00:00:00"/>
    <x v="4"/>
    <x v="2"/>
    <s v="E-commerce"/>
    <s v="João Pedro"/>
    <s v="Informática"/>
    <s v="Fone Wave"/>
    <n v="1"/>
    <n v="261.86"/>
    <n v="0.2"/>
    <n v="124.93"/>
    <s v="Concluída"/>
    <n v="261.86"/>
    <n v="52.372000000000007"/>
    <n v="209.488"/>
    <n v="124.93"/>
    <n v="84.557999999999993"/>
    <n v="0.40364125868784845"/>
  </r>
  <r>
    <s v="VD-0078"/>
    <d v="2025-02-16T00:00:00"/>
    <x v="2"/>
    <x v="1"/>
    <s v="Loja Física"/>
    <s v="Ana Costa"/>
    <s v="Esporte"/>
    <s v="Bike Urbana"/>
    <n v="1"/>
    <n v="2262.98"/>
    <n v="0.05"/>
    <n v="1595.58"/>
    <s v="Devolvida"/>
    <n v="2262.98"/>
    <n v="113.149"/>
    <n v="0"/>
    <n v="0"/>
    <n v="0"/>
    <s v=""/>
  </r>
  <r>
    <s v="VD-0101"/>
    <d v="2025-02-16T00:00:00"/>
    <x v="1"/>
    <x v="0"/>
    <s v="Marketplace"/>
    <s v="João Pedro"/>
    <s v="Esporte"/>
    <s v="Halteres 10kg"/>
    <n v="1"/>
    <n v="386.22"/>
    <n v="0.05"/>
    <n v="223.56"/>
    <s v="Concluída"/>
    <n v="386.22"/>
    <n v="19.311000000000003"/>
    <n v="366.90900000000005"/>
    <n v="223.56"/>
    <n v="143.34900000000005"/>
    <n v="0.39069360522636409"/>
  </r>
  <r>
    <s v="VD-0104"/>
    <d v="2025-02-16T00:00:00"/>
    <x v="1"/>
    <x v="0"/>
    <s v="Marketplace"/>
    <s v="Larissa Freitas"/>
    <s v="Informática"/>
    <s v="Fone Wave"/>
    <n v="1"/>
    <n v="235.19"/>
    <n v="0.1"/>
    <n v="117.22"/>
    <s v="Concluída"/>
    <n v="235.19"/>
    <n v="23.519000000000002"/>
    <n v="211.67099999999999"/>
    <n v="117.22"/>
    <n v="94.450999999999993"/>
    <n v="0.44621606171842149"/>
  </r>
  <r>
    <s v="VD-0106"/>
    <d v="2025-02-16T00:00:00"/>
    <x v="2"/>
    <x v="1"/>
    <s v="E-commerce"/>
    <s v="Diego Alves"/>
    <s v="Beleza"/>
    <s v="Secador Pro"/>
    <n v="2"/>
    <n v="429.79"/>
    <n v="0.03"/>
    <n v="229.96"/>
    <s v="Concluída"/>
    <n v="859.58"/>
    <n v="25.787400000000002"/>
    <n v="833.79259999999999"/>
    <n v="459.92"/>
    <n v="373.87259999999998"/>
    <n v="0.44839999779321615"/>
  </r>
  <r>
    <s v="VD-0091"/>
    <d v="2025-02-17T00:00:00"/>
    <x v="4"/>
    <x v="2"/>
    <s v="Loja Física"/>
    <s v="Diego Alves"/>
    <s v="Esporte"/>
    <s v="Halteres 10kg"/>
    <n v="1"/>
    <n v="383.49"/>
    <n v="0.15"/>
    <n v="215.52"/>
    <s v="Devolvida"/>
    <n v="383.49"/>
    <n v="57.523499999999999"/>
    <n v="0"/>
    <n v="0"/>
    <n v="0"/>
    <s v=""/>
  </r>
  <r>
    <s v="VD-0108"/>
    <d v="2025-02-17T00:00:00"/>
    <x v="5"/>
    <x v="1"/>
    <s v="Loja Física"/>
    <s v="Isabela Reis"/>
    <s v="Casa"/>
    <s v="Kit Lençol 4p"/>
    <n v="2"/>
    <n v="302.11"/>
    <n v="0.05"/>
    <n v="130.43"/>
    <s v="Concluída"/>
    <n v="604.22"/>
    <n v="30.211000000000002"/>
    <n v="574.00900000000001"/>
    <n v="260.86"/>
    <n v="313.149"/>
    <n v="0.54554719525303608"/>
  </r>
  <r>
    <s v="VD-0111"/>
    <d v="2025-02-17T00:00:00"/>
    <x v="6"/>
    <x v="0"/>
    <s v="Loja Física"/>
    <s v="Felipe Martins"/>
    <s v="Beleza"/>
    <s v="Creme Facial"/>
    <n v="1"/>
    <n v="158.69"/>
    <n v="0.15"/>
    <n v="54.12"/>
    <s v="Concluída"/>
    <n v="158.69"/>
    <n v="23.8035"/>
    <n v="134.88650000000001"/>
    <n v="54.12"/>
    <n v="80.766500000000008"/>
    <n v="0.59877378388496993"/>
  </r>
  <r>
    <s v="VD-0113"/>
    <d v="2025-02-17T00:00:00"/>
    <x v="5"/>
    <x v="1"/>
    <s v="Televendas"/>
    <s v="Camila Souza"/>
    <s v="Beleza"/>
    <s v="Balança Smart"/>
    <n v="1"/>
    <n v="237.06"/>
    <n v="0.12"/>
    <n v="98.68"/>
    <s v="Concluída"/>
    <n v="237.06"/>
    <n v="28.447199999999999"/>
    <n v="208.61279999999999"/>
    <n v="98.68"/>
    <n v="109.93279999999999"/>
    <n v="0.52697054063796656"/>
  </r>
  <r>
    <s v="VD-0076"/>
    <d v="2025-02-18T00:00:00"/>
    <x v="2"/>
    <x v="1"/>
    <s v="Loja Física"/>
    <s v="Isabela Reis"/>
    <s v="Casa"/>
    <s v="Tapete Sala"/>
    <n v="2"/>
    <n v="561.46"/>
    <n v="0.05"/>
    <n v="297.75"/>
    <s v="Concluída"/>
    <n v="1122.92"/>
    <n v="56.146000000000008"/>
    <n v="1066.7740000000001"/>
    <n v="595.5"/>
    <n v="471.27400000000011"/>
    <n v="0.44177492139853436"/>
  </r>
  <r>
    <s v="VD-0097"/>
    <d v="2025-02-18T00:00:00"/>
    <x v="2"/>
    <x v="1"/>
    <s v="E-commerce"/>
    <s v="Diego Alves"/>
    <s v="Beleza"/>
    <s v="Creme Facial"/>
    <n v="1"/>
    <n v="139.11000000000001"/>
    <n v="0.05"/>
    <n v="47.86"/>
    <s v="Concluída"/>
    <n v="139.11000000000001"/>
    <n v="6.9555000000000007"/>
    <n v="132.15450000000001"/>
    <n v="47.86"/>
    <n v="84.294500000000014"/>
    <n v="0.63784812473279384"/>
  </r>
  <r>
    <s v="VD-0096"/>
    <d v="2025-02-19T00:00:00"/>
    <x v="0"/>
    <x v="0"/>
    <s v="Loja Física"/>
    <s v="Camila Souza"/>
    <s v="Beleza"/>
    <s v="Secador Pro"/>
    <n v="2"/>
    <n v="446.21"/>
    <n v="0.1"/>
    <n v="243.91"/>
    <s v="Concluída"/>
    <n v="892.42"/>
    <n v="89.242000000000004"/>
    <n v="803.178"/>
    <n v="487.82"/>
    <n v="315.358"/>
    <n v="0.39263774655182287"/>
  </r>
  <r>
    <s v="VD-0077"/>
    <d v="2025-02-20T00:00:00"/>
    <x v="3"/>
    <x v="2"/>
    <s v="E-commerce"/>
    <s v="Camila Souza"/>
    <s v="Beleza"/>
    <s v="Creme Facial"/>
    <n v="1"/>
    <n v="148.72999999999999"/>
    <n v="0.05"/>
    <n v="53.15"/>
    <s v="Concluída"/>
    <n v="148.72999999999999"/>
    <n v="7.4364999999999997"/>
    <n v="141.29349999999999"/>
    <n v="53.15"/>
    <n v="88.143499999999989"/>
    <n v="0.62383266038423557"/>
  </r>
  <r>
    <s v="VD-0080"/>
    <d v="2025-02-20T00:00:00"/>
    <x v="6"/>
    <x v="0"/>
    <s v="Loja Física"/>
    <s v="Isabela Reis"/>
    <s v="Informática"/>
    <s v="Fone Wave"/>
    <n v="1"/>
    <n v="241.04"/>
    <n v="0.1"/>
    <n v="119.12"/>
    <s v="Concluída"/>
    <n v="241.04"/>
    <n v="24.103999999999999"/>
    <n v="216.93599999999998"/>
    <n v="119.12"/>
    <n v="97.815999999999974"/>
    <n v="0.45089796068886667"/>
  </r>
  <r>
    <s v="VD-0084"/>
    <d v="2025-02-20T00:00:00"/>
    <x v="3"/>
    <x v="2"/>
    <s v="E-commerce"/>
    <s v="Diego Alves"/>
    <s v="Informática"/>
    <s v="Mouse Pro"/>
    <n v="1"/>
    <n v="194.36"/>
    <n v="0.15"/>
    <n v="90.29"/>
    <s v="Concluída"/>
    <n v="194.36"/>
    <n v="29.154"/>
    <n v="165.20600000000002"/>
    <n v="90.29"/>
    <n v="74.916000000000011"/>
    <n v="0.45347021294626105"/>
  </r>
  <r>
    <s v="VD-0092"/>
    <d v="2025-02-20T00:00:00"/>
    <x v="3"/>
    <x v="2"/>
    <s v="Marketplace"/>
    <s v="Heitor Nunes"/>
    <s v="Esporte"/>
    <s v="Halteres 10kg"/>
    <n v="2"/>
    <n v="367.29"/>
    <n v="0.1"/>
    <n v="212.65"/>
    <s v="Concluída"/>
    <n v="734.58"/>
    <n v="73.458000000000013"/>
    <n v="661.12200000000007"/>
    <n v="425.3"/>
    <n v="235.82200000000006"/>
    <n v="0.35669967116508"/>
  </r>
  <r>
    <s v="VD-0079"/>
    <d v="2025-02-21T00:00:00"/>
    <x v="1"/>
    <x v="0"/>
    <s v="Marketplace"/>
    <s v="Marcos Silva"/>
    <s v="Casa"/>
    <s v="Tapete Sala"/>
    <n v="1"/>
    <n v="494.77"/>
    <n v="0.2"/>
    <n v="251.54"/>
    <s v="Concluída"/>
    <n v="494.77"/>
    <n v="98.954000000000008"/>
    <n v="395.81599999999997"/>
    <n v="251.54"/>
    <n v="144.27599999999998"/>
    <n v="0.36450269822341691"/>
  </r>
  <r>
    <s v="VD-0099"/>
    <d v="2025-02-21T00:00:00"/>
    <x v="2"/>
    <x v="1"/>
    <s v="Loja Física"/>
    <s v="Heitor Nunes"/>
    <s v="Acessórios"/>
    <s v="Relógio Fit"/>
    <n v="2"/>
    <n v="649.41"/>
    <n v="0.05"/>
    <n v="318.74"/>
    <s v="Concluída"/>
    <n v="1298.82"/>
    <n v="64.941000000000003"/>
    <n v="1233.8789999999999"/>
    <n v="637.48"/>
    <n v="596.39899999999989"/>
    <n v="0.48335290575494028"/>
  </r>
  <r>
    <s v="VD-0110"/>
    <d v="2025-02-21T00:00:00"/>
    <x v="4"/>
    <x v="2"/>
    <s v="E-commerce"/>
    <s v="Bruno Lima"/>
    <s v="Beleza"/>
    <s v="Balança Smart"/>
    <n v="1"/>
    <n v="242.57"/>
    <n v="0.15"/>
    <n v="101.18"/>
    <s v="Concluída"/>
    <n v="242.57"/>
    <n v="36.3855"/>
    <n v="206.18449999999999"/>
    <n v="101.18"/>
    <n v="105.00449999999998"/>
    <n v="0.50927446049533298"/>
  </r>
  <r>
    <s v="VD-0071"/>
    <d v="2025-02-22T00:00:00"/>
    <x v="5"/>
    <x v="1"/>
    <s v="Loja Física"/>
    <s v="Bruno Lima"/>
    <s v="Casa"/>
    <s v="Cadeira Escritório"/>
    <n v="3"/>
    <n v="1249.9000000000001"/>
    <n v="0.05"/>
    <n v="894.13"/>
    <s v="Concluída"/>
    <n v="3749.7000000000003"/>
    <n v="187.48500000000001"/>
    <n v="3562.2150000000001"/>
    <n v="2682.39"/>
    <n v="879.82500000000027"/>
    <n v="0.24698818010704021"/>
  </r>
  <r>
    <s v="VD-0107"/>
    <d v="2025-02-22T00:00:00"/>
    <x v="5"/>
    <x v="1"/>
    <s v="E-commerce"/>
    <s v="João Pedro"/>
    <s v="Informática"/>
    <s v="Notebook Nova 14"/>
    <n v="1"/>
    <n v="3750.3"/>
    <n v="0.1"/>
    <n v="2941.89"/>
    <s v="Concluída"/>
    <n v="3750.3"/>
    <n v="375.03000000000003"/>
    <n v="3375.27"/>
    <n v="2941.89"/>
    <n v="433.38000000000011"/>
    <n v="0.12839861699952895"/>
  </r>
  <r>
    <s v="VD-0123"/>
    <d v="2025-02-22T00:00:00"/>
    <x v="1"/>
    <x v="0"/>
    <s v="E-commerce"/>
    <s v="Elisa Rocha"/>
    <s v="Casa"/>
    <s v="Tapete Sala"/>
    <n v="1"/>
    <n v="498.02"/>
    <n v="0.05"/>
    <n v="267.45999999999998"/>
    <s v="Concluída"/>
    <n v="498.02"/>
    <n v="24.901"/>
    <n v="473.11899999999997"/>
    <n v="267.45999999999998"/>
    <n v="205.65899999999999"/>
    <n v="0.43468767899830701"/>
  </r>
  <r>
    <s v="VD-0088"/>
    <d v="2025-02-23T00:00:00"/>
    <x v="7"/>
    <x v="3"/>
    <s v="E-commerce"/>
    <s v="Isabela Reis"/>
    <s v="Esporte"/>
    <s v="Bike Urbana"/>
    <n v="2"/>
    <n v="2111.33"/>
    <n v="0.03"/>
    <n v="1466.03"/>
    <s v="Concluída"/>
    <n v="4222.66"/>
    <n v="126.67979999999999"/>
    <n v="4095.9802"/>
    <n v="2932.06"/>
    <n v="1163.9202"/>
    <n v="0.28416157871075648"/>
  </r>
  <r>
    <s v="VD-0073"/>
    <d v="2025-02-24T00:00:00"/>
    <x v="7"/>
    <x v="3"/>
    <s v="Marketplace"/>
    <s v="Elisa Rocha"/>
    <s v="Informática"/>
    <s v="Fone Wave"/>
    <n v="1"/>
    <n v="260.91000000000003"/>
    <n v="0.05"/>
    <n v="122.28"/>
    <s v="Concluída"/>
    <n v="260.91000000000003"/>
    <n v="13.045500000000002"/>
    <n v="247.86450000000002"/>
    <n v="122.28"/>
    <n v="125.58450000000002"/>
    <n v="0.50666594046343871"/>
  </r>
  <r>
    <s v="VD-0095"/>
    <d v="2025-02-24T00:00:00"/>
    <x v="5"/>
    <x v="1"/>
    <s v="Marketplace"/>
    <s v="Diego Alves"/>
    <s v="Informática"/>
    <s v="Monitor 27 Ultra"/>
    <n v="1"/>
    <n v="1224.17"/>
    <n v="0.15"/>
    <n v="860.94"/>
    <s v="Concluída"/>
    <n v="1224.17"/>
    <n v="183.62550000000002"/>
    <n v="1040.5445"/>
    <n v="860.94"/>
    <n v="179.60449999999992"/>
    <n v="0.17260626527745804"/>
  </r>
  <r>
    <s v="VD-0105"/>
    <d v="2025-02-24T00:00:00"/>
    <x v="4"/>
    <x v="2"/>
    <s v="Loja Física"/>
    <s v="Elisa Rocha"/>
    <s v="Casa"/>
    <s v="Cadeira Escritório"/>
    <n v="2"/>
    <n v="1218.8800000000001"/>
    <n v="0.05"/>
    <n v="891.67"/>
    <s v="Concluída"/>
    <n v="2437.7600000000002"/>
    <n v="121.88800000000002"/>
    <n v="2315.8720000000003"/>
    <n v="1783.34"/>
    <n v="532.53200000000038"/>
    <n v="0.229948805460751"/>
  </r>
  <r>
    <s v="VD-0116"/>
    <d v="2025-02-24T00:00:00"/>
    <x v="4"/>
    <x v="2"/>
    <s v="Televendas"/>
    <s v="Felipe Martins"/>
    <s v="Informática"/>
    <s v="Notebook Nova 14"/>
    <n v="1"/>
    <n v="3849.48"/>
    <n v="0"/>
    <n v="2925.88"/>
    <s v="Concluída"/>
    <n v="3849.48"/>
    <n v="0"/>
    <n v="3849.48"/>
    <n v="2925.88"/>
    <n v="923.59999999999991"/>
    <n v="0.23992850982470357"/>
  </r>
  <r>
    <s v="VD-0126"/>
    <d v="2025-02-24T00:00:00"/>
    <x v="2"/>
    <x v="1"/>
    <s v="Loja Física"/>
    <s v="Camila Souza"/>
    <s v="Beleza"/>
    <s v="Creme Facial"/>
    <n v="1"/>
    <n v="158.88999999999999"/>
    <n v="0"/>
    <n v="53.57"/>
    <s v="Concluída"/>
    <n v="158.88999999999999"/>
    <n v="0"/>
    <n v="158.88999999999999"/>
    <n v="53.57"/>
    <n v="105.32"/>
    <n v="0.66284851154887026"/>
  </r>
  <r>
    <s v="VD-0098"/>
    <d v="2025-02-26T00:00:00"/>
    <x v="6"/>
    <x v="0"/>
    <s v="Loja Física"/>
    <s v="Elisa Rocha"/>
    <s v="Informática"/>
    <s v="Notebook Nova 14"/>
    <n v="1"/>
    <n v="3728.91"/>
    <n v="0.08"/>
    <n v="2879.71"/>
    <s v="Concluída"/>
    <n v="3728.91"/>
    <n v="298.31279999999998"/>
    <n v="3430.5971999999997"/>
    <n v="2879.71"/>
    <n v="550.88719999999967"/>
    <n v="0.16058055431281751"/>
  </r>
  <r>
    <s v="VD-0114"/>
    <d v="2025-02-28T00:00:00"/>
    <x v="4"/>
    <x v="2"/>
    <s v="Loja Física"/>
    <s v="Heitor Nunes"/>
    <s v="Casa"/>
    <s v="Panela Pressão 6L"/>
    <n v="2"/>
    <n v="461.89"/>
    <n v="0.15"/>
    <n v="254.28"/>
    <s v="Concluída"/>
    <n v="923.78"/>
    <n v="138.56699999999998"/>
    <n v="785.21299999999997"/>
    <n v="508.56"/>
    <n v="276.65299999999996"/>
    <n v="0.35232860383106235"/>
  </r>
  <r>
    <s v="VD-0120"/>
    <d v="2025-02-28T00:00:00"/>
    <x v="4"/>
    <x v="2"/>
    <s v="E-commerce"/>
    <s v="Felipe Martins"/>
    <s v="Informática"/>
    <s v="Monitor 27 Ultra"/>
    <n v="2"/>
    <n v="1228.19"/>
    <n v="0.2"/>
    <n v="878.36"/>
    <s v="Concluída"/>
    <n v="2456.38"/>
    <n v="491.27600000000007"/>
    <n v="1965.104"/>
    <n v="1756.72"/>
    <n v="208.38400000000001"/>
    <n v="0.10604222473721493"/>
  </r>
  <r>
    <s v="VD-0133"/>
    <d v="2025-03-01T00:00:00"/>
    <x v="7"/>
    <x v="3"/>
    <s v="Loja Física"/>
    <s v="Diego Alves"/>
    <s v="Acessórios"/>
    <s v="Relógio Fit"/>
    <n v="2"/>
    <n v="718.24"/>
    <n v="0.05"/>
    <n v="334.89"/>
    <s v="Concluída"/>
    <n v="1436.48"/>
    <n v="71.823999999999998"/>
    <n v="1364.6559999999999"/>
    <n v="669.78"/>
    <n v="694.87599999999998"/>
    <n v="0.50919499126519796"/>
  </r>
  <r>
    <s v="VD-0136"/>
    <d v="2025-03-02T00:00:00"/>
    <x v="2"/>
    <x v="1"/>
    <s v="Loja Física"/>
    <s v="Bruno Lima"/>
    <s v="Casa"/>
    <s v="Cadeira Escritório"/>
    <n v="1"/>
    <n v="1161.1199999999999"/>
    <n v="0"/>
    <n v="823.33"/>
    <s v="Concluída"/>
    <n v="1161.1199999999999"/>
    <n v="0"/>
    <n v="1161.1199999999999"/>
    <n v="823.33"/>
    <n v="337.78999999999985"/>
    <n v="0.29091739010610435"/>
  </r>
  <r>
    <s v="VD-0139"/>
    <d v="2025-03-02T00:00:00"/>
    <x v="6"/>
    <x v="0"/>
    <s v="Loja Física"/>
    <s v="Camila Souza"/>
    <s v="Beleza"/>
    <s v="Secador Pro"/>
    <n v="2"/>
    <n v="424.86"/>
    <n v="0.08"/>
    <n v="229.66"/>
    <s v="Concluída"/>
    <n v="849.72"/>
    <n v="67.97760000000001"/>
    <n v="781.74239999999998"/>
    <n v="459.32"/>
    <n v="322.42239999999998"/>
    <n v="0.41244072216116201"/>
  </r>
  <r>
    <s v="VD-0151"/>
    <d v="2025-03-02T00:00:00"/>
    <x v="6"/>
    <x v="0"/>
    <s v="E-commerce"/>
    <s v="Camila Souza"/>
    <s v="Esporte"/>
    <s v="Bike Urbana"/>
    <n v="1"/>
    <n v="2292.4299999999998"/>
    <n v="0.05"/>
    <n v="1572.4"/>
    <s v="Concluída"/>
    <n v="2292.4299999999998"/>
    <n v="114.6215"/>
    <n v="2177.8084999999996"/>
    <n v="1572.4"/>
    <n v="605.40849999999955"/>
    <n v="0.27798977733808994"/>
  </r>
  <r>
    <s v="VD-0168"/>
    <d v="2025-03-02T00:00:00"/>
    <x v="2"/>
    <x v="1"/>
    <s v="E-commerce"/>
    <s v="Marcos Silva"/>
    <s v="Informática"/>
    <s v="Notebook Nova 14"/>
    <n v="1"/>
    <n v="3884.98"/>
    <n v="0.2"/>
    <n v="3001.19"/>
    <s v="Concluída"/>
    <n v="3884.98"/>
    <n v="776.99600000000009"/>
    <n v="3107.9839999999999"/>
    <n v="3001.19"/>
    <n v="106.79399999999987"/>
    <n v="3.4361180752539223E-2"/>
  </r>
  <r>
    <s v="VD-0169"/>
    <d v="2025-03-02T00:00:00"/>
    <x v="7"/>
    <x v="3"/>
    <s v="Loja Física"/>
    <s v="Marcos Silva"/>
    <s v="Esporte"/>
    <s v="Colchonete Pro"/>
    <n v="1"/>
    <n v="148.51"/>
    <n v="0.05"/>
    <n v="58.65"/>
    <s v="Concluída"/>
    <n v="148.51"/>
    <n v="7.4254999999999995"/>
    <n v="141.08449999999999"/>
    <n v="58.65"/>
    <n v="82.434499999999986"/>
    <n v="0.58429168335288417"/>
  </r>
  <r>
    <s v="VD-0163"/>
    <d v="2025-03-04T00:00:00"/>
    <x v="0"/>
    <x v="0"/>
    <s v="Loja Física"/>
    <s v="Elisa Rocha"/>
    <s v="Informática"/>
    <s v="Notebook Nova 14"/>
    <n v="1"/>
    <n v="4133.1099999999997"/>
    <n v="0"/>
    <n v="3177.07"/>
    <s v="Concluída"/>
    <n v="4133.1099999999997"/>
    <n v="0"/>
    <n v="4133.1099999999997"/>
    <n v="3177.07"/>
    <n v="956.03999999999951"/>
    <n v="0.23131249833660358"/>
  </r>
  <r>
    <s v="VD-0155"/>
    <d v="2025-03-05T00:00:00"/>
    <x v="0"/>
    <x v="0"/>
    <s v="E-commerce"/>
    <s v="Diego Alves"/>
    <s v="Beleza"/>
    <s v="Balança Smart"/>
    <n v="1"/>
    <n v="236.61"/>
    <n v="0.2"/>
    <n v="102.17"/>
    <s v="Concluída"/>
    <n v="236.61"/>
    <n v="47.322000000000003"/>
    <n v="189.28800000000001"/>
    <n v="102.17"/>
    <n v="87.118000000000009"/>
    <n v="0.46024048011495711"/>
  </r>
  <r>
    <s v="VD-0165"/>
    <d v="2025-03-05T00:00:00"/>
    <x v="7"/>
    <x v="3"/>
    <s v="E-commerce"/>
    <s v="Larissa Freitas"/>
    <s v="Esporte"/>
    <s v="Halteres 10kg"/>
    <n v="1"/>
    <n v="373.25"/>
    <n v="0.05"/>
    <n v="216.14"/>
    <s v="Concluída"/>
    <n v="373.25"/>
    <n v="18.662500000000001"/>
    <n v="354.58749999999998"/>
    <n v="216.14"/>
    <n v="138.44749999999999"/>
    <n v="0.39044664575034371"/>
  </r>
  <r>
    <s v="VD-0176"/>
    <d v="2025-03-06T00:00:00"/>
    <x v="4"/>
    <x v="2"/>
    <s v="E-commerce"/>
    <s v="Elisa Rocha"/>
    <s v="Acessórios"/>
    <s v="Relógio Fit"/>
    <n v="1"/>
    <n v="674.71"/>
    <n v="0.03"/>
    <n v="325.35000000000002"/>
    <s v="Concluída"/>
    <n v="674.71"/>
    <n v="20.241299999999999"/>
    <n v="654.46870000000001"/>
    <n v="325.35000000000002"/>
    <n v="329.11869999999999"/>
    <n v="0.50287920568241073"/>
  </r>
  <r>
    <s v="VD-0190"/>
    <d v="2025-03-06T00:00:00"/>
    <x v="7"/>
    <x v="3"/>
    <s v="E-commerce"/>
    <s v="João Pedro"/>
    <s v="Casa"/>
    <s v="Cadeira Escritório"/>
    <n v="2"/>
    <n v="1127.47"/>
    <n v="0.05"/>
    <n v="799.52"/>
    <s v="Devolvida"/>
    <n v="2254.94"/>
    <n v="112.74700000000001"/>
    <n v="0"/>
    <n v="0"/>
    <n v="0"/>
    <s v=""/>
  </r>
  <r>
    <s v="VD-0199"/>
    <d v="2025-03-07T00:00:00"/>
    <x v="5"/>
    <x v="1"/>
    <s v="Televendas"/>
    <s v="Diego Alves"/>
    <s v="Beleza"/>
    <s v="Creme Facial"/>
    <n v="2"/>
    <n v="149.54"/>
    <n v="0"/>
    <n v="51.9"/>
    <s v="Concluída"/>
    <n v="299.08"/>
    <n v="0"/>
    <n v="299.08"/>
    <n v="103.8"/>
    <n v="195.27999999999997"/>
    <n v="0.65293566938611736"/>
  </r>
  <r>
    <s v="VD-0135"/>
    <d v="2025-03-08T00:00:00"/>
    <x v="3"/>
    <x v="2"/>
    <s v="E-commerce"/>
    <s v="Camila Souza"/>
    <s v="Casa"/>
    <s v="Air Fryer 5L"/>
    <n v="2"/>
    <n v="681.94"/>
    <n v="0.2"/>
    <n v="385.79"/>
    <s v="Concluída"/>
    <n v="1363.88"/>
    <n v="272.77600000000001"/>
    <n v="1091.104"/>
    <n v="771.58"/>
    <n v="319.524"/>
    <n v="0.29284467841745609"/>
  </r>
  <r>
    <s v="VD-0166"/>
    <d v="2025-03-08T00:00:00"/>
    <x v="1"/>
    <x v="0"/>
    <s v="Marketplace"/>
    <s v="Isabela Reis"/>
    <s v="Informática"/>
    <s v="Notebook Nova 14"/>
    <n v="1"/>
    <n v="3846.33"/>
    <n v="0.05"/>
    <n v="3046.5"/>
    <s v="Concluída"/>
    <n v="3846.33"/>
    <n v="192.31650000000002"/>
    <n v="3654.0135"/>
    <n v="3046.5"/>
    <n v="607.51350000000002"/>
    <n v="0.16625923795848047"/>
  </r>
  <r>
    <s v="VD-0194"/>
    <d v="2025-03-08T00:00:00"/>
    <x v="2"/>
    <x v="1"/>
    <s v="E-commerce"/>
    <s v="Giovana Melo"/>
    <s v="Acessórios"/>
    <s v="Relógio Fit"/>
    <n v="1"/>
    <n v="653.21"/>
    <n v="0.2"/>
    <n v="322.08"/>
    <s v="Concluída"/>
    <n v="653.21"/>
    <n v="130.64200000000002"/>
    <n v="522.56799999999998"/>
    <n v="322.08"/>
    <n v="200.488"/>
    <n v="0.38365916014757889"/>
  </r>
  <r>
    <s v="VD-0186"/>
    <d v="2025-03-09T00:00:00"/>
    <x v="2"/>
    <x v="1"/>
    <s v="Marketplace"/>
    <s v="Ana Costa"/>
    <s v="Acessórios"/>
    <s v="Óculos Sol"/>
    <n v="1"/>
    <n v="355.7"/>
    <n v="0.25"/>
    <n v="154.94999999999999"/>
    <s v="Concluída"/>
    <n v="355.7"/>
    <n v="88.924999999999997"/>
    <n v="266.77499999999998"/>
    <n v="154.94999999999999"/>
    <n v="111.82499999999999"/>
    <n v="0.41917346078155748"/>
  </r>
  <r>
    <s v="VD-0200"/>
    <d v="2025-03-09T00:00:00"/>
    <x v="6"/>
    <x v="0"/>
    <s v="E-commerce"/>
    <s v="Diego Alves"/>
    <s v="Casa"/>
    <s v="Panela Pressão 6L"/>
    <n v="1"/>
    <n v="438.16"/>
    <n v="0.05"/>
    <n v="240.29"/>
    <s v="Concluída"/>
    <n v="438.16"/>
    <n v="21.908000000000001"/>
    <n v="416.25200000000001"/>
    <n v="240.29"/>
    <n v="175.96200000000002"/>
    <n v="0.42272950039879692"/>
  </r>
  <r>
    <s v="VD-0164"/>
    <d v="2025-03-10T00:00:00"/>
    <x v="4"/>
    <x v="2"/>
    <s v="Televendas"/>
    <s v="Isabela Reis"/>
    <s v="Casa"/>
    <s v="Cadeira Escritório"/>
    <n v="1"/>
    <n v="1158.8"/>
    <n v="0"/>
    <n v="877.16"/>
    <s v="Devolvida"/>
    <n v="1158.8"/>
    <n v="0"/>
    <n v="0"/>
    <n v="0"/>
    <n v="0"/>
    <s v=""/>
  </r>
  <r>
    <s v="VD-0171"/>
    <d v="2025-03-10T00:00:00"/>
    <x v="3"/>
    <x v="2"/>
    <s v="E-commerce"/>
    <s v="Heitor Nunes"/>
    <s v="Casa"/>
    <s v="Air Fryer 5L"/>
    <n v="1"/>
    <n v="674.3"/>
    <n v="0.05"/>
    <n v="371.85"/>
    <s v="Concluída"/>
    <n v="674.3"/>
    <n v="33.714999999999996"/>
    <n v="640.58499999999992"/>
    <n v="371.85"/>
    <n v="268.7349999999999"/>
    <n v="0.41951497459353548"/>
  </r>
  <r>
    <s v="VD-0175"/>
    <d v="2025-03-10T00:00:00"/>
    <x v="3"/>
    <x v="2"/>
    <s v="E-commerce"/>
    <s v="Giovana Melo"/>
    <s v="Casa"/>
    <s v="Cadeira Escritório"/>
    <n v="1"/>
    <n v="1205.47"/>
    <n v="0.2"/>
    <n v="879.89"/>
    <s v="Concluída"/>
    <n v="1205.47"/>
    <n v="241.09400000000002"/>
    <n v="964.37599999999998"/>
    <n v="879.89"/>
    <n v="84.48599999999999"/>
    <n v="8.7606908508714429E-2"/>
  </r>
  <r>
    <s v="VD-0159"/>
    <d v="2025-03-11T00:00:00"/>
    <x v="0"/>
    <x v="0"/>
    <s v="E-commerce"/>
    <s v="Isabela Reis"/>
    <s v="Casa"/>
    <s v="Air Fryer 5L"/>
    <n v="2"/>
    <n v="694.83"/>
    <n v="0.03"/>
    <n v="408.2"/>
    <s v="Concluída"/>
    <n v="1389.66"/>
    <n v="41.689799999999998"/>
    <n v="1347.9702"/>
    <n v="816.4"/>
    <n v="531.5702"/>
    <n v="0.39434862877532456"/>
  </r>
  <r>
    <s v="VD-0172"/>
    <d v="2025-03-12T00:00:00"/>
    <x v="2"/>
    <x v="1"/>
    <s v="E-commerce"/>
    <s v="João Pedro"/>
    <s v="Informática"/>
    <s v="Notebook Nova 14"/>
    <n v="2"/>
    <n v="4141.63"/>
    <n v="0.2"/>
    <n v="3226.35"/>
    <s v="Concluída"/>
    <n v="8283.26"/>
    <n v="1656.652"/>
    <n v="6626.6080000000002"/>
    <n v="6452.7"/>
    <n v="173.90800000000036"/>
    <n v="2.6243894312142857E-2"/>
  </r>
  <r>
    <s v="VD-0189"/>
    <d v="2025-03-12T00:00:00"/>
    <x v="4"/>
    <x v="2"/>
    <s v="Loja Física"/>
    <s v="Heitor Nunes"/>
    <s v="Casa"/>
    <s v="Kit Lençol 4p"/>
    <n v="1"/>
    <n v="301.44"/>
    <n v="0.1"/>
    <n v="131.41999999999999"/>
    <s v="Concluída"/>
    <n v="301.44"/>
    <n v="30.144000000000002"/>
    <n v="271.29599999999999"/>
    <n v="131.41999999999999"/>
    <n v="139.876"/>
    <n v="0.51558445388063223"/>
  </r>
  <r>
    <s v="VD-0146"/>
    <d v="2025-03-13T00:00:00"/>
    <x v="5"/>
    <x v="1"/>
    <s v="Loja Física"/>
    <s v="Elisa Rocha"/>
    <s v="Acessórios"/>
    <s v="Relógio Fit"/>
    <n v="1"/>
    <n v="746.25"/>
    <n v="0.1"/>
    <n v="368.44"/>
    <s v="Concluída"/>
    <n v="746.25"/>
    <n v="74.625"/>
    <n v="671.625"/>
    <n v="368.44"/>
    <n v="303.185"/>
    <n v="0.45142006327935974"/>
  </r>
  <r>
    <s v="VD-0173"/>
    <d v="2025-03-14T00:00:00"/>
    <x v="0"/>
    <x v="0"/>
    <s v="Loja Física"/>
    <s v="Larissa Freitas"/>
    <s v="Acessórios"/>
    <s v="Relógio Fit"/>
    <n v="1"/>
    <n v="665.45"/>
    <n v="0.15"/>
    <n v="318.44"/>
    <s v="Concluída"/>
    <n v="665.45"/>
    <n v="99.81750000000001"/>
    <n v="565.63250000000005"/>
    <n v="318.44"/>
    <n v="247.19250000000005"/>
    <n v="0.43701961962935304"/>
  </r>
  <r>
    <s v="VD-0188"/>
    <d v="2025-03-14T00:00:00"/>
    <x v="6"/>
    <x v="0"/>
    <s v="E-commerce"/>
    <s v="Camila Souza"/>
    <s v="Casa"/>
    <s v="Panela Pressão 6L"/>
    <n v="1"/>
    <n v="484.88"/>
    <n v="0.1"/>
    <n v="266.35000000000002"/>
    <s v="Concluída"/>
    <n v="484.88"/>
    <n v="48.488"/>
    <n v="436.392"/>
    <n v="266.35000000000002"/>
    <n v="170.04199999999997"/>
    <n v="0.38965425580670582"/>
  </r>
  <r>
    <s v="VD-0195"/>
    <d v="2025-03-14T00:00:00"/>
    <x v="5"/>
    <x v="1"/>
    <s v="E-commerce"/>
    <s v="Larissa Freitas"/>
    <s v="Casa"/>
    <s v="Tapete Sala"/>
    <n v="2"/>
    <n v="515.1"/>
    <n v="0.15"/>
    <n v="268.51"/>
    <s v="Concluída"/>
    <n v="1030.2"/>
    <n v="154.53"/>
    <n v="875.67000000000007"/>
    <n v="537.02"/>
    <n v="338.65000000000009"/>
    <n v="0.38673244487078473"/>
  </r>
  <r>
    <s v="VD-0144"/>
    <d v="2025-03-15T00:00:00"/>
    <x v="7"/>
    <x v="3"/>
    <s v="Marketplace"/>
    <s v="Larissa Freitas"/>
    <s v="Informática"/>
    <s v="Monitor 27 Ultra"/>
    <n v="2"/>
    <n v="1360.51"/>
    <n v="0.1"/>
    <n v="962.99"/>
    <s v="Concluída"/>
    <n v="2721.02"/>
    <n v="272.10200000000003"/>
    <n v="2448.9180000000001"/>
    <n v="1925.98"/>
    <n v="522.9380000000001"/>
    <n v="0.21353838715710369"/>
  </r>
  <r>
    <s v="VD-0161"/>
    <d v="2025-03-15T00:00:00"/>
    <x v="4"/>
    <x v="2"/>
    <s v="Loja Física"/>
    <s v="Heitor Nunes"/>
    <s v="Esporte"/>
    <s v="Colchonete Pro"/>
    <n v="1"/>
    <n v="143.47999999999999"/>
    <n v="0.08"/>
    <n v="57.87"/>
    <s v="Concluída"/>
    <n v="143.47999999999999"/>
    <n v="11.478399999999999"/>
    <n v="132.0016"/>
    <n v="57.87"/>
    <n v="74.131599999999992"/>
    <n v="0.56159622307608392"/>
  </r>
  <r>
    <s v="VD-0183"/>
    <d v="2025-03-15T00:00:00"/>
    <x v="0"/>
    <x v="0"/>
    <s v="Televendas"/>
    <s v="Bruno Lima"/>
    <s v="Informática"/>
    <s v="Monitor 27 Ultra"/>
    <n v="1"/>
    <n v="1250.6199999999999"/>
    <n v="0.03"/>
    <n v="896.71"/>
    <s v="Concluída"/>
    <n v="1250.6199999999999"/>
    <n v="37.518599999999992"/>
    <n v="1213.1014"/>
    <n v="896.71"/>
    <n v="316.39139999999998"/>
    <n v="0.2608119980736977"/>
  </r>
  <r>
    <s v="VD-0148"/>
    <d v="2025-03-16T00:00:00"/>
    <x v="6"/>
    <x v="0"/>
    <s v="Loja Física"/>
    <s v="Ana Costa"/>
    <s v="Acessórios"/>
    <s v="Relógio Fit"/>
    <n v="1"/>
    <n v="674.24"/>
    <n v="0"/>
    <n v="322.48"/>
    <s v="Concluída"/>
    <n v="674.24"/>
    <n v="0"/>
    <n v="674.24"/>
    <n v="322.48"/>
    <n v="351.76"/>
    <n v="0.5217133364973896"/>
  </r>
  <r>
    <s v="VD-0150"/>
    <d v="2025-03-16T00:00:00"/>
    <x v="3"/>
    <x v="2"/>
    <s v="Marketplace"/>
    <s v="Isabela Reis"/>
    <s v="Casa"/>
    <s v="Panela Pressão 6L"/>
    <n v="1"/>
    <n v="456.69"/>
    <n v="0.2"/>
    <n v="254.28"/>
    <s v="Concluída"/>
    <n v="456.69"/>
    <n v="91.338000000000008"/>
    <n v="365.35199999999998"/>
    <n v="254.28"/>
    <n v="111.07199999999997"/>
    <n v="0.30401366353543974"/>
  </r>
  <r>
    <s v="VD-0160"/>
    <d v="2025-03-16T00:00:00"/>
    <x v="3"/>
    <x v="2"/>
    <s v="E-commerce"/>
    <s v="Bruno Lima"/>
    <s v="Esporte"/>
    <s v="Halteres 10kg"/>
    <n v="1"/>
    <n v="330.54"/>
    <n v="0.05"/>
    <n v="187.2"/>
    <s v="Concluída"/>
    <n v="330.54"/>
    <n v="16.527000000000001"/>
    <n v="314.01300000000003"/>
    <n v="187.2"/>
    <n v="126.81300000000005"/>
    <n v="0.40384633757201144"/>
  </r>
  <r>
    <s v="VD-0193"/>
    <d v="2025-03-16T00:00:00"/>
    <x v="7"/>
    <x v="3"/>
    <s v="E-commerce"/>
    <s v="Elisa Rocha"/>
    <s v="Beleza"/>
    <s v="Creme Facial"/>
    <n v="1"/>
    <n v="157.96"/>
    <n v="0.2"/>
    <n v="53.81"/>
    <s v="Concluída"/>
    <n v="157.96"/>
    <n v="31.592000000000002"/>
    <n v="126.36800000000001"/>
    <n v="53.81"/>
    <n v="72.558000000000007"/>
    <n v="0.57418017219549256"/>
  </r>
  <r>
    <s v="VD-0138"/>
    <d v="2025-03-17T00:00:00"/>
    <x v="6"/>
    <x v="0"/>
    <s v="Marketplace"/>
    <s v="Heitor Nunes"/>
    <s v="Acessórios"/>
    <s v="Óculos Sol"/>
    <n v="1"/>
    <n v="395.75"/>
    <n v="0.1"/>
    <n v="170.71"/>
    <s v="Concluída"/>
    <n v="395.75"/>
    <n v="39.575000000000003"/>
    <n v="356.17500000000001"/>
    <n v="170.71"/>
    <n v="185.465"/>
    <n v="0.52071313258931706"/>
  </r>
  <r>
    <s v="VD-0149"/>
    <d v="2025-03-17T00:00:00"/>
    <x v="6"/>
    <x v="0"/>
    <s v="Marketplace"/>
    <s v="Heitor Nunes"/>
    <s v="Acessórios"/>
    <s v="Relógio Fit"/>
    <n v="2"/>
    <n v="695.17"/>
    <n v="0.25"/>
    <n v="327.69"/>
    <s v="Concluída"/>
    <n v="1390.34"/>
    <n v="347.58499999999998"/>
    <n v="1042.7549999999999"/>
    <n v="655.38"/>
    <n v="387.37499999999989"/>
    <n v="0.37149186529913542"/>
  </r>
  <r>
    <s v="VD-0141"/>
    <d v="2025-03-18T00:00:00"/>
    <x v="5"/>
    <x v="1"/>
    <s v="Loja Física"/>
    <s v="Marcos Silva"/>
    <s v="Esporte"/>
    <s v="Bike Urbana"/>
    <n v="1"/>
    <n v="2173.89"/>
    <n v="0"/>
    <n v="1454.23"/>
    <s v="Concluída"/>
    <n v="2173.89"/>
    <n v="0"/>
    <n v="2173.89"/>
    <n v="1454.23"/>
    <n v="719.65999999999985"/>
    <n v="0.33104710909935642"/>
  </r>
  <r>
    <s v="VD-0142"/>
    <d v="2025-03-18T00:00:00"/>
    <x v="3"/>
    <x v="2"/>
    <s v="Loja Física"/>
    <s v="Heitor Nunes"/>
    <s v="Informática"/>
    <s v="Teclado Mecânico"/>
    <n v="1"/>
    <n v="429.21"/>
    <n v="0.05"/>
    <n v="258.7"/>
    <s v="Concluída"/>
    <n v="429.21"/>
    <n v="21.4605"/>
    <n v="407.74949999999995"/>
    <n v="258.7"/>
    <n v="149.04949999999997"/>
    <n v="0.36554183389556572"/>
  </r>
  <r>
    <s v="VD-0147"/>
    <d v="2025-03-18T00:00:00"/>
    <x v="4"/>
    <x v="2"/>
    <s v="E-commerce"/>
    <s v="Felipe Martins"/>
    <s v="Informática"/>
    <s v="Fone Wave"/>
    <n v="2"/>
    <n v="238.7"/>
    <n v="0.2"/>
    <n v="113.23"/>
    <s v="Concluída"/>
    <n v="477.4"/>
    <n v="95.48"/>
    <n v="381.91999999999996"/>
    <n v="226.46"/>
    <n v="155.45999999999995"/>
    <n v="0.40704859656472553"/>
  </r>
  <r>
    <s v="VD-0152"/>
    <d v="2025-03-18T00:00:00"/>
    <x v="5"/>
    <x v="1"/>
    <s v="E-commerce"/>
    <s v="Camila Souza"/>
    <s v="Casa"/>
    <s v="Air Fryer 5L"/>
    <n v="1"/>
    <n v="719.68"/>
    <n v="0.05"/>
    <n v="409.51"/>
    <s v="Concluída"/>
    <n v="719.68"/>
    <n v="35.984000000000002"/>
    <n v="683.69599999999991"/>
    <n v="409.51"/>
    <n v="274.18599999999992"/>
    <n v="0.40103496290749097"/>
  </r>
  <r>
    <s v="VD-0196"/>
    <d v="2025-03-18T00:00:00"/>
    <x v="7"/>
    <x v="3"/>
    <s v="Televendas"/>
    <s v="Diego Alves"/>
    <s v="Acessórios"/>
    <s v="Óculos Sol"/>
    <n v="1"/>
    <n v="391.81"/>
    <n v="0"/>
    <n v="176.75"/>
    <s v="Concluída"/>
    <n v="391.81"/>
    <n v="0"/>
    <n v="391.81"/>
    <n v="176.75"/>
    <n v="215.06"/>
    <n v="0.54888849187105992"/>
  </r>
  <r>
    <s v="VD-0178"/>
    <d v="2025-03-19T00:00:00"/>
    <x v="6"/>
    <x v="0"/>
    <s v="Marketplace"/>
    <s v="Heitor Nunes"/>
    <s v="Acessórios"/>
    <s v="Óculos Sol"/>
    <n v="1"/>
    <n v="379.95"/>
    <n v="0.05"/>
    <n v="162.44999999999999"/>
    <s v="Concluída"/>
    <n v="379.95"/>
    <n v="18.997499999999999"/>
    <n v="360.95249999999999"/>
    <n v="162.44999999999999"/>
    <n v="198.5025"/>
    <n v="0.54994078168180027"/>
  </r>
  <r>
    <s v="VD-0182"/>
    <d v="2025-03-19T00:00:00"/>
    <x v="7"/>
    <x v="3"/>
    <s v="Loja Física"/>
    <s v="Diego Alves"/>
    <s v="Beleza"/>
    <s v="Secador Pro"/>
    <n v="1"/>
    <n v="461.22"/>
    <n v="0.08"/>
    <n v="247.04"/>
    <s v="Concluída"/>
    <n v="461.22"/>
    <n v="36.897600000000004"/>
    <n v="424.32240000000002"/>
    <n v="247.04"/>
    <n v="177.28240000000002"/>
    <n v="0.41780118136586714"/>
  </r>
  <r>
    <s v="VD-0197"/>
    <d v="2025-03-19T00:00:00"/>
    <x v="4"/>
    <x v="2"/>
    <s v="E-commerce"/>
    <s v="Giovana Melo"/>
    <s v="Casa"/>
    <s v="Panela Pressão 6L"/>
    <n v="1"/>
    <n v="475.04"/>
    <n v="0.2"/>
    <n v="266.02999999999997"/>
    <s v="Concluída"/>
    <n v="475.04"/>
    <n v="95.00800000000001"/>
    <n v="380.03200000000004"/>
    <n v="266.02999999999997"/>
    <n v="114.00200000000007"/>
    <n v="0.29998000168406885"/>
  </r>
  <r>
    <s v="VD-0198"/>
    <d v="2025-03-19T00:00:00"/>
    <x v="2"/>
    <x v="1"/>
    <s v="E-commerce"/>
    <s v="Giovana Melo"/>
    <s v="Esporte"/>
    <s v="Colchonete Pro"/>
    <n v="1"/>
    <n v="147.74"/>
    <n v="0.05"/>
    <n v="59.31"/>
    <s v="Concluída"/>
    <n v="147.74"/>
    <n v="7.3870000000000005"/>
    <n v="140.35300000000001"/>
    <n v="59.31"/>
    <n v="81.043000000000006"/>
    <n v="0.57742264148254763"/>
  </r>
  <r>
    <s v="VD-0156"/>
    <d v="2025-03-20T00:00:00"/>
    <x v="4"/>
    <x v="2"/>
    <s v="Marketplace"/>
    <s v="Elisa Rocha"/>
    <s v="Informática"/>
    <s v="Teclado Mecânico"/>
    <n v="1"/>
    <n v="434.14"/>
    <n v="0.1"/>
    <n v="242.44"/>
    <s v="Concluída"/>
    <n v="434.14"/>
    <n v="43.414000000000001"/>
    <n v="390.726"/>
    <n v="242.44"/>
    <n v="148.286"/>
    <n v="0.37951403285166585"/>
  </r>
  <r>
    <s v="VD-0157"/>
    <d v="2025-03-20T00:00:00"/>
    <x v="4"/>
    <x v="2"/>
    <s v="E-commerce"/>
    <s v="Marcos Silva"/>
    <s v="Beleza"/>
    <s v="Creme Facial"/>
    <n v="1"/>
    <n v="146.26"/>
    <n v="0.1"/>
    <n v="49.16"/>
    <s v="Concluída"/>
    <n v="146.26"/>
    <n v="14.625999999999999"/>
    <n v="131.63399999999999"/>
    <n v="49.16"/>
    <n v="82.47399999999999"/>
    <n v="0.62654025555707493"/>
  </r>
  <r>
    <s v="VD-0192"/>
    <d v="2025-03-20T00:00:00"/>
    <x v="1"/>
    <x v="0"/>
    <s v="Televendas"/>
    <s v="Felipe Martins"/>
    <s v="Casa"/>
    <s v="Panela Pressão 6L"/>
    <n v="1"/>
    <n v="458.53"/>
    <n v="0.12"/>
    <n v="257.73"/>
    <s v="Concluída"/>
    <n v="458.53"/>
    <n v="55.023599999999995"/>
    <n v="403.50639999999999"/>
    <n v="257.73"/>
    <n v="145.77639999999997"/>
    <n v="0.3612740714893245"/>
  </r>
  <r>
    <s v="VD-0185"/>
    <d v="2025-03-21T00:00:00"/>
    <x v="6"/>
    <x v="0"/>
    <s v="Marketplace"/>
    <s v="João Pedro"/>
    <s v="Informática"/>
    <s v="Monitor 27 Ultra"/>
    <n v="1"/>
    <n v="1383.1"/>
    <n v="0.1"/>
    <n v="989.84"/>
    <s v="Concluída"/>
    <n v="1383.1"/>
    <n v="138.31"/>
    <n v="1244.79"/>
    <n v="989.84"/>
    <n v="254.94999999999993"/>
    <n v="0.20481366334883791"/>
  </r>
  <r>
    <s v="VD-0191"/>
    <d v="2025-03-21T00:00:00"/>
    <x v="6"/>
    <x v="0"/>
    <s v="Loja Física"/>
    <s v="Heitor Nunes"/>
    <s v="Beleza"/>
    <s v="Creme Facial"/>
    <n v="2"/>
    <n v="146.76"/>
    <n v="0"/>
    <n v="50.16"/>
    <s v="Cancelada"/>
    <n v="293.52"/>
    <n v="0"/>
    <n v="0"/>
    <n v="0"/>
    <n v="0"/>
    <s v=""/>
  </r>
  <r>
    <s v="VD-0202"/>
    <d v="2025-03-21T00:00:00"/>
    <x v="3"/>
    <x v="2"/>
    <s v="Loja Física"/>
    <s v="Camila Souza"/>
    <s v="Casa"/>
    <s v="Tapete Sala"/>
    <n v="1"/>
    <n v="506"/>
    <n v="0.08"/>
    <n v="270.24"/>
    <s v="Concluída"/>
    <n v="506"/>
    <n v="40.480000000000004"/>
    <n v="465.52"/>
    <n v="270.24"/>
    <n v="195.27999999999997"/>
    <n v="0.41948788451623986"/>
  </r>
  <r>
    <s v="VD-0134"/>
    <d v="2025-03-22T00:00:00"/>
    <x v="5"/>
    <x v="1"/>
    <s v="E-commerce"/>
    <s v="Bruno Lima"/>
    <s v="Informática"/>
    <s v="Notebook Nova 14"/>
    <n v="1"/>
    <n v="3770.62"/>
    <n v="0.03"/>
    <n v="3049.82"/>
    <s v="Concluída"/>
    <n v="3770.62"/>
    <n v="113.11859999999999"/>
    <n v="3657.5014000000001"/>
    <n v="3049.82"/>
    <n v="607.68139999999994"/>
    <n v="0.16614659395619094"/>
  </r>
  <r>
    <s v="VD-0154"/>
    <d v="2025-03-22T00:00:00"/>
    <x v="3"/>
    <x v="2"/>
    <s v="Marketplace"/>
    <s v="Bruno Lima"/>
    <s v="Esporte"/>
    <s v="Colchonete Pro"/>
    <n v="1"/>
    <n v="142.49"/>
    <n v="0.1"/>
    <n v="54.93"/>
    <s v="Concluída"/>
    <n v="142.49"/>
    <n v="14.249000000000002"/>
    <n v="128.24100000000001"/>
    <n v="54.93"/>
    <n v="73.311000000000007"/>
    <n v="0.57166584789575881"/>
  </r>
  <r>
    <s v="VD-0167"/>
    <d v="2025-03-23T00:00:00"/>
    <x v="3"/>
    <x v="2"/>
    <s v="E-commerce"/>
    <s v="Larissa Freitas"/>
    <s v="Beleza"/>
    <s v="Creme Facial"/>
    <n v="1"/>
    <n v="146.41"/>
    <n v="0.03"/>
    <n v="50.98"/>
    <s v="Concluída"/>
    <n v="146.41"/>
    <n v="4.3922999999999996"/>
    <n v="142.01769999999999"/>
    <n v="50.98"/>
    <n v="91.037700000000001"/>
    <n v="0.64103066026277011"/>
  </r>
  <r>
    <s v="VD-0179"/>
    <d v="2025-03-23T00:00:00"/>
    <x v="4"/>
    <x v="2"/>
    <s v="E-commerce"/>
    <s v="Felipe Martins"/>
    <s v="Casa"/>
    <s v="Air Fryer 5L"/>
    <n v="1"/>
    <n v="716.64"/>
    <n v="0.05"/>
    <n v="406.42"/>
    <s v="Concluída"/>
    <n v="716.64"/>
    <n v="35.832000000000001"/>
    <n v="680.80799999999999"/>
    <n v="406.42"/>
    <n v="274.38799999999998"/>
    <n v="0.40303286682882689"/>
  </r>
  <r>
    <s v="VD-0180"/>
    <d v="2025-03-23T00:00:00"/>
    <x v="7"/>
    <x v="3"/>
    <s v="E-commerce"/>
    <s v="Felipe Martins"/>
    <s v="Esporte"/>
    <s v="Bike Urbana"/>
    <n v="2"/>
    <n v="2205.2399999999998"/>
    <n v="0.05"/>
    <n v="1575.12"/>
    <s v="Concluída"/>
    <n v="4410.4799999999996"/>
    <n v="220.524"/>
    <n v="4189.9559999999992"/>
    <n v="3150.24"/>
    <n v="1039.7159999999994"/>
    <n v="0.24814484925378683"/>
  </r>
  <r>
    <s v="VD-0184"/>
    <d v="2025-03-23T00:00:00"/>
    <x v="7"/>
    <x v="3"/>
    <s v="Loja Física"/>
    <s v="Diego Alves"/>
    <s v="Esporte"/>
    <s v="Colchonete Pro"/>
    <n v="1"/>
    <n v="139.63999999999999"/>
    <n v="0.08"/>
    <n v="53.89"/>
    <s v="Concluída"/>
    <n v="139.63999999999999"/>
    <n v="11.171199999999999"/>
    <n v="128.46879999999999"/>
    <n v="53.89"/>
    <n v="74.578799999999987"/>
    <n v="0.58052071787079818"/>
  </r>
  <r>
    <s v="VD-0145"/>
    <d v="2025-03-24T00:00:00"/>
    <x v="7"/>
    <x v="3"/>
    <s v="Loja Física"/>
    <s v="Felipe Martins"/>
    <s v="Casa"/>
    <s v="Tapete Sala"/>
    <n v="2"/>
    <n v="565.65"/>
    <n v="0.05"/>
    <n v="299.61"/>
    <s v="Concluída"/>
    <n v="1131.3"/>
    <n v="56.564999999999998"/>
    <n v="1074.7349999999999"/>
    <n v="599.22"/>
    <n v="475.51499999999987"/>
    <n v="0.44244860360926175"/>
  </r>
  <r>
    <s v="VD-0158"/>
    <d v="2025-03-24T00:00:00"/>
    <x v="2"/>
    <x v="1"/>
    <s v="Loja Física"/>
    <s v="Giovana Melo"/>
    <s v="Acessórios"/>
    <s v="Mochila Urban"/>
    <n v="3"/>
    <n v="303.39"/>
    <n v="0"/>
    <n v="144.69"/>
    <s v="Concluída"/>
    <n v="910.17"/>
    <n v="0"/>
    <n v="910.17"/>
    <n v="434.07"/>
    <n v="476.09999999999997"/>
    <n v="0.52308909324631658"/>
  </r>
  <r>
    <s v="VD-0162"/>
    <d v="2025-03-24T00:00:00"/>
    <x v="3"/>
    <x v="2"/>
    <s v="Loja Física"/>
    <s v="Marcos Silva"/>
    <s v="Acessórios"/>
    <s v="Mochila Urban"/>
    <n v="1"/>
    <n v="338.83"/>
    <n v="0.05"/>
    <n v="157.09"/>
    <s v="Concluída"/>
    <n v="338.83"/>
    <n v="16.941500000000001"/>
    <n v="321.88849999999996"/>
    <n v="157.09"/>
    <n v="164.79849999999996"/>
    <n v="0.51197386672714307"/>
  </r>
  <r>
    <s v="VD-0170"/>
    <d v="2025-03-24T00:00:00"/>
    <x v="0"/>
    <x v="0"/>
    <s v="Loja Física"/>
    <s v="Bruno Lima"/>
    <s v="Acessórios"/>
    <s v="Relógio Fit"/>
    <n v="2"/>
    <n v="643.11"/>
    <n v="0"/>
    <n v="304.79000000000002"/>
    <s v="Concluída"/>
    <n v="1286.22"/>
    <n v="0"/>
    <n v="1286.22"/>
    <n v="609.58000000000004"/>
    <n v="676.64"/>
    <n v="0.52606863522570013"/>
  </r>
  <r>
    <s v="VD-0187"/>
    <d v="2025-03-24T00:00:00"/>
    <x v="0"/>
    <x v="0"/>
    <s v="Loja Física"/>
    <s v="João Pedro"/>
    <s v="Acessórios"/>
    <s v="Óculos Sol"/>
    <n v="2"/>
    <n v="356.13"/>
    <n v="0.05"/>
    <n v="151.88"/>
    <s v="Concluída"/>
    <n v="712.26"/>
    <n v="35.613"/>
    <n v="676.64699999999993"/>
    <n v="303.76"/>
    <n v="372.88699999999994"/>
    <n v="0.5510805486464877"/>
  </r>
  <r>
    <s v="VD-0201"/>
    <d v="2025-03-24T00:00:00"/>
    <x v="7"/>
    <x v="3"/>
    <s v="Televendas"/>
    <s v="Giovana Melo"/>
    <s v="Informática"/>
    <s v="Fone Wave"/>
    <n v="3"/>
    <n v="235.79"/>
    <n v="0.1"/>
    <n v="110.88"/>
    <s v="Devolvida"/>
    <n v="707.37"/>
    <n v="70.737000000000009"/>
    <n v="0"/>
    <n v="0"/>
    <n v="0"/>
    <s v=""/>
  </r>
  <r>
    <s v="VD-0143"/>
    <d v="2025-03-25T00:00:00"/>
    <x v="5"/>
    <x v="1"/>
    <s v="E-commerce"/>
    <s v="Marcos Silva"/>
    <s v="Beleza"/>
    <s v="Creme Facial"/>
    <n v="1"/>
    <n v="152.94"/>
    <n v="0.05"/>
    <n v="54.26"/>
    <s v="Concluída"/>
    <n v="152.94"/>
    <n v="7.6470000000000002"/>
    <n v="145.29300000000001"/>
    <n v="54.26"/>
    <n v="91.033000000000015"/>
    <n v="0.62654773457771551"/>
  </r>
  <r>
    <s v="VD-0177"/>
    <d v="2025-03-26T00:00:00"/>
    <x v="7"/>
    <x v="3"/>
    <s v="E-commerce"/>
    <s v="Larissa Freitas"/>
    <s v="Esporte"/>
    <s v="Colchonete Pro"/>
    <n v="1"/>
    <n v="147.94"/>
    <n v="0.15"/>
    <n v="61.47"/>
    <s v="Concluída"/>
    <n v="147.94"/>
    <n v="22.190999999999999"/>
    <n v="125.749"/>
    <n v="61.47"/>
    <n v="64.278999999999996"/>
    <n v="0.51116907490318009"/>
  </r>
  <r>
    <s v="VD-0137"/>
    <d v="2025-03-27T00:00:00"/>
    <x v="3"/>
    <x v="2"/>
    <s v="E-commerce"/>
    <s v="Camila Souza"/>
    <s v="Acessórios"/>
    <s v="Relógio Fit"/>
    <n v="2"/>
    <n v="689.99"/>
    <n v="0.15"/>
    <n v="338.92"/>
    <s v="Concluída"/>
    <n v="1379.98"/>
    <n v="206.99699999999999"/>
    <n v="1172.9829999999999"/>
    <n v="677.84"/>
    <n v="495.14299999999992"/>
    <n v="0.42212291226727067"/>
  </r>
  <r>
    <s v="VD-0140"/>
    <d v="2025-03-27T00:00:00"/>
    <x v="5"/>
    <x v="1"/>
    <s v="Televendas"/>
    <s v="Felipe Martins"/>
    <s v="Informática"/>
    <s v="Fone Wave"/>
    <n v="3"/>
    <n v="258.73"/>
    <n v="0.12"/>
    <n v="120.33"/>
    <s v="Concluída"/>
    <n v="776.19"/>
    <n v="93.142800000000008"/>
    <n v="683.04720000000009"/>
    <n v="360.99"/>
    <n v="322.05720000000008"/>
    <n v="0.4715006517851183"/>
  </r>
  <r>
    <s v="VD-0181"/>
    <d v="2025-03-27T00:00:00"/>
    <x v="5"/>
    <x v="1"/>
    <s v="Marketplace"/>
    <s v="Giovana Melo"/>
    <s v="Esporte"/>
    <s v="Colchonete Pro"/>
    <n v="2"/>
    <n v="130.38"/>
    <n v="0.05"/>
    <n v="51.09"/>
    <s v="Concluída"/>
    <n v="260.76"/>
    <n v="13.038"/>
    <n v="247.72199999999998"/>
    <n v="102.18"/>
    <n v="145.54199999999997"/>
    <n v="0.58752149587037072"/>
  </r>
  <r>
    <s v="VD-0153"/>
    <d v="2025-03-28T00:00:00"/>
    <x v="4"/>
    <x v="2"/>
    <s v="Marketplace"/>
    <s v="João Pedro"/>
    <s v="Esporte"/>
    <s v="Bike Urbana"/>
    <n v="2"/>
    <n v="2215.59"/>
    <n v="0.05"/>
    <n v="1482.24"/>
    <s v="Concluída"/>
    <n v="4431.18"/>
    <n v="221.55900000000003"/>
    <n v="4209.6210000000001"/>
    <n v="2964.48"/>
    <n v="1245.1410000000001"/>
    <n v="0.2957845848830572"/>
  </r>
  <r>
    <s v="VD-0174"/>
    <d v="2025-03-28T00:00:00"/>
    <x v="7"/>
    <x v="3"/>
    <s v="Loja Física"/>
    <s v="Camila Souza"/>
    <s v="Informática"/>
    <s v="Mouse Pro"/>
    <n v="1"/>
    <n v="182.99"/>
    <n v="0.08"/>
    <n v="84.21"/>
    <s v="Concluída"/>
    <n v="182.99"/>
    <n v="14.639200000000001"/>
    <n v="168.35080000000002"/>
    <n v="84.21"/>
    <n v="84.140800000000027"/>
    <n v="0.49979447677112326"/>
  </r>
  <r>
    <s v="VD-0246"/>
    <d v="2025-04-01T00:00:00"/>
    <x v="5"/>
    <x v="1"/>
    <s v="E-commerce"/>
    <s v="Marcos Silva"/>
    <s v="Acessórios"/>
    <s v="Relógio Fit"/>
    <n v="1"/>
    <n v="677.91"/>
    <n v="0.1"/>
    <n v="322.07"/>
    <s v="Concluída"/>
    <n v="677.91"/>
    <n v="67.790999999999997"/>
    <n v="610.11899999999991"/>
    <n v="322.07"/>
    <n v="288.04899999999992"/>
    <n v="0.47211937343370713"/>
  </r>
  <r>
    <s v="VD-0262"/>
    <d v="2025-04-01T00:00:00"/>
    <x v="7"/>
    <x v="3"/>
    <s v="Marketplace"/>
    <s v="Larissa Freitas"/>
    <s v="Casa"/>
    <s v="Kit Lençol 4p"/>
    <n v="1"/>
    <n v="274.66000000000003"/>
    <n v="0.1"/>
    <n v="124.86"/>
    <s v="Concluída"/>
    <n v="274.66000000000003"/>
    <n v="27.466000000000005"/>
    <n v="247.19400000000002"/>
    <n v="124.86"/>
    <n v="122.33400000000002"/>
    <n v="0.49489065268574484"/>
  </r>
  <r>
    <s v="VD-0211"/>
    <d v="2025-04-02T00:00:00"/>
    <x v="5"/>
    <x v="1"/>
    <s v="E-commerce"/>
    <s v="Isabela Reis"/>
    <s v="Beleza"/>
    <s v="Creme Facial"/>
    <n v="2"/>
    <n v="153.49"/>
    <n v="0.2"/>
    <n v="51.71"/>
    <s v="Concluída"/>
    <n v="306.98"/>
    <n v="61.396000000000008"/>
    <n v="245.584"/>
    <n v="103.42"/>
    <n v="142.16399999999999"/>
    <n v="0.57888136034920834"/>
  </r>
  <r>
    <s v="VD-0233"/>
    <d v="2025-04-02T00:00:00"/>
    <x v="2"/>
    <x v="1"/>
    <s v="Loja Física"/>
    <s v="Elisa Rocha"/>
    <s v="Informática"/>
    <s v="Teclado Mecânico"/>
    <n v="1"/>
    <n v="396.84"/>
    <n v="0.08"/>
    <n v="229.98"/>
    <s v="Devolvida"/>
    <n v="396.84"/>
    <n v="31.747199999999999"/>
    <n v="0"/>
    <n v="0"/>
    <n v="0"/>
    <s v=""/>
  </r>
  <r>
    <s v="VD-0259"/>
    <d v="2025-04-02T00:00:00"/>
    <x v="6"/>
    <x v="0"/>
    <s v="Loja Física"/>
    <s v="Isabela Reis"/>
    <s v="Informática"/>
    <s v="Teclado Mecânico"/>
    <n v="1"/>
    <n v="412.95"/>
    <n v="0.05"/>
    <n v="248.95"/>
    <s v="Concluída"/>
    <n v="412.95"/>
    <n v="20.647500000000001"/>
    <n v="392.30250000000001"/>
    <n v="248.95"/>
    <n v="143.35250000000002"/>
    <n v="0.36541316968410859"/>
  </r>
  <r>
    <s v="VD-0238"/>
    <d v="2025-04-03T00:00:00"/>
    <x v="4"/>
    <x v="2"/>
    <s v="E-commerce"/>
    <s v="Marcos Silva"/>
    <s v="Informática"/>
    <s v="Teclado Mecânico"/>
    <n v="2"/>
    <n v="389.39"/>
    <n v="0.1"/>
    <n v="228.25"/>
    <s v="Concluída"/>
    <n v="778.78"/>
    <n v="77.878"/>
    <n v="700.90199999999993"/>
    <n v="456.5"/>
    <n v="244.40199999999993"/>
    <n v="0.3486963940750632"/>
  </r>
  <r>
    <s v="VD-0241"/>
    <d v="2025-04-03T00:00:00"/>
    <x v="0"/>
    <x v="0"/>
    <s v="E-commerce"/>
    <s v="Bruno Lima"/>
    <s v="Informática"/>
    <s v="Fone Wave"/>
    <n v="1"/>
    <n v="253.95"/>
    <n v="0.15"/>
    <n v="125.92"/>
    <s v="Concluída"/>
    <n v="253.95"/>
    <n v="38.092499999999994"/>
    <n v="215.85749999999999"/>
    <n v="125.92"/>
    <n v="89.937499999999986"/>
    <n v="0.41665218952318078"/>
  </r>
  <r>
    <s v="VD-0260"/>
    <d v="2025-04-04T00:00:00"/>
    <x v="3"/>
    <x v="2"/>
    <s v="Marketplace"/>
    <s v="João Pedro"/>
    <s v="Casa"/>
    <s v="Air Fryer 5L"/>
    <n v="1"/>
    <n v="720.83"/>
    <n v="0.2"/>
    <n v="421.86"/>
    <s v="Concluída"/>
    <n v="720.83"/>
    <n v="144.16600000000003"/>
    <n v="576.66399999999999"/>
    <n v="421.86"/>
    <n v="154.80399999999997"/>
    <n v="0.26844748415021569"/>
  </r>
  <r>
    <s v="VD-0232"/>
    <d v="2025-04-05T00:00:00"/>
    <x v="0"/>
    <x v="0"/>
    <s v="Marketplace"/>
    <s v="Giovana Melo"/>
    <s v="Casa"/>
    <s v="Cadeira Escritório"/>
    <n v="1"/>
    <n v="1175.29"/>
    <n v="0.05"/>
    <n v="830.69"/>
    <s v="Concluída"/>
    <n v="1175.29"/>
    <n v="58.764499999999998"/>
    <n v="1116.5255"/>
    <n v="830.69"/>
    <n v="285.83549999999991"/>
    <n v="0.25600445310026498"/>
  </r>
  <r>
    <s v="VD-0257"/>
    <d v="2025-04-06T00:00:00"/>
    <x v="7"/>
    <x v="3"/>
    <s v="E-commerce"/>
    <s v="Felipe Martins"/>
    <s v="Esporte"/>
    <s v="Halteres 10kg"/>
    <n v="1"/>
    <n v="371.54"/>
    <n v="0.2"/>
    <n v="215.52"/>
    <s v="Concluída"/>
    <n v="371.54"/>
    <n v="74.308000000000007"/>
    <n v="297.23200000000003"/>
    <n v="215.52"/>
    <n v="81.712000000000018"/>
    <n v="0.27490983474188518"/>
  </r>
  <r>
    <s v="VD-0266"/>
    <d v="2025-04-06T00:00:00"/>
    <x v="6"/>
    <x v="0"/>
    <s v="Marketplace"/>
    <s v="Larissa Freitas"/>
    <s v="Casa"/>
    <s v="Air Fryer 5L"/>
    <n v="1"/>
    <n v="732.33"/>
    <n v="0.15"/>
    <n v="403.09"/>
    <s v="Concluída"/>
    <n v="732.33"/>
    <n v="109.84950000000001"/>
    <n v="622.48050000000001"/>
    <n v="403.09"/>
    <n v="219.39050000000003"/>
    <n v="0.35244557861651898"/>
  </r>
  <r>
    <s v="VD-0207"/>
    <d v="2025-04-07T00:00:00"/>
    <x v="5"/>
    <x v="1"/>
    <s v="E-commerce"/>
    <s v="Heitor Nunes"/>
    <s v="Acessórios"/>
    <s v="Mochila Urban"/>
    <n v="1"/>
    <n v="337.66"/>
    <n v="0.2"/>
    <n v="159.34"/>
    <s v="Concluída"/>
    <n v="337.66"/>
    <n v="67.532000000000011"/>
    <n v="270.12800000000004"/>
    <n v="159.34"/>
    <n v="110.78800000000004"/>
    <n v="0.41013149321803005"/>
  </r>
  <r>
    <s v="VD-0210"/>
    <d v="2025-04-07T00:00:00"/>
    <x v="7"/>
    <x v="3"/>
    <s v="Marketplace"/>
    <s v="João Pedro"/>
    <s v="Informática"/>
    <s v="Fone Wave"/>
    <n v="1"/>
    <n v="237.71"/>
    <n v="0.05"/>
    <n v="112.47"/>
    <s v="Concluída"/>
    <n v="237.71"/>
    <n v="11.8855"/>
    <n v="225.8245"/>
    <n v="112.47"/>
    <n v="113.3545"/>
    <n v="0.50195837918383523"/>
  </r>
  <r>
    <s v="VD-0214"/>
    <d v="2025-04-07T00:00:00"/>
    <x v="3"/>
    <x v="2"/>
    <s v="Marketplace"/>
    <s v="Heitor Nunes"/>
    <s v="Casa"/>
    <s v="Panela Pressão 6L"/>
    <n v="2"/>
    <n v="460.74"/>
    <n v="0.2"/>
    <n v="256.02999999999997"/>
    <s v="Concluída"/>
    <n v="921.48"/>
    <n v="184.29600000000002"/>
    <n v="737.18399999999997"/>
    <n v="512.05999999999995"/>
    <n v="225.12400000000002"/>
    <n v="0.30538373052046713"/>
  </r>
  <r>
    <s v="VD-0215"/>
    <d v="2025-04-07T00:00:00"/>
    <x v="6"/>
    <x v="0"/>
    <s v="E-commerce"/>
    <s v="Elisa Rocha"/>
    <s v="Informática"/>
    <s v="Notebook Nova 14"/>
    <n v="1"/>
    <n v="3651.35"/>
    <n v="0.03"/>
    <n v="2959.72"/>
    <s v="Concluída"/>
    <n v="3651.35"/>
    <n v="109.54049999999999"/>
    <n v="3541.8094999999998"/>
    <n v="2959.72"/>
    <n v="582.08950000000004"/>
    <n v="0.16434805429258689"/>
  </r>
  <r>
    <s v="VD-0245"/>
    <d v="2025-04-08T00:00:00"/>
    <x v="3"/>
    <x v="2"/>
    <s v="E-commerce"/>
    <s v="Giovana Melo"/>
    <s v="Casa"/>
    <s v="Tapete Sala"/>
    <n v="1"/>
    <n v="567.21"/>
    <n v="0.15"/>
    <n v="285.25"/>
    <s v="Concluída"/>
    <n v="567.21"/>
    <n v="85.081500000000005"/>
    <n v="482.12850000000003"/>
    <n v="285.25"/>
    <n v="196.87850000000003"/>
    <n v="0.40835275243010943"/>
  </r>
  <r>
    <s v="VD-0242"/>
    <d v="2025-04-09T00:00:00"/>
    <x v="4"/>
    <x v="2"/>
    <s v="E-commerce"/>
    <s v="Bruno Lima"/>
    <s v="Acessórios"/>
    <s v="Mochila Urban"/>
    <n v="1"/>
    <n v="302.51"/>
    <n v="0.15"/>
    <n v="134.13"/>
    <s v="Concluída"/>
    <n v="302.51"/>
    <n v="45.3765"/>
    <n v="257.13349999999997"/>
    <n v="134.13"/>
    <n v="123.00349999999997"/>
    <n v="0.47836435159168289"/>
  </r>
  <r>
    <s v="VD-0247"/>
    <d v="2025-04-09T00:00:00"/>
    <x v="1"/>
    <x v="0"/>
    <s v="E-commerce"/>
    <s v="Larissa Freitas"/>
    <s v="Casa"/>
    <s v="Air Fryer 5L"/>
    <n v="1"/>
    <n v="675.01"/>
    <n v="0.2"/>
    <n v="372.2"/>
    <s v="Concluída"/>
    <n v="675.01"/>
    <n v="135.00200000000001"/>
    <n v="540.00800000000004"/>
    <n v="372.2"/>
    <n v="167.80800000000005"/>
    <n v="0.31075095183775064"/>
  </r>
  <r>
    <s v="VD-0248"/>
    <d v="2025-04-09T00:00:00"/>
    <x v="7"/>
    <x v="3"/>
    <s v="E-commerce"/>
    <s v="Giovana Melo"/>
    <s v="Beleza"/>
    <s v="Creme Facial"/>
    <n v="1"/>
    <n v="160.26"/>
    <n v="0.05"/>
    <n v="57.03"/>
    <s v="Concluída"/>
    <n v="160.26"/>
    <n v="8.0129999999999999"/>
    <n v="152.24699999999999"/>
    <n v="57.03"/>
    <n v="95.216999999999985"/>
    <n v="0.62541133815444638"/>
  </r>
  <r>
    <s v="VD-0224"/>
    <d v="2025-04-10T00:00:00"/>
    <x v="7"/>
    <x v="3"/>
    <s v="Marketplace"/>
    <s v="Camila Souza"/>
    <s v="Informática"/>
    <s v="Mouse Pro"/>
    <n v="1"/>
    <n v="190.42"/>
    <n v="0.1"/>
    <n v="86.45"/>
    <s v="Concluída"/>
    <n v="190.42"/>
    <n v="19.041999999999998"/>
    <n v="171.37799999999999"/>
    <n v="86.45"/>
    <n v="84.927999999999983"/>
    <n v="0.49555952339273412"/>
  </r>
  <r>
    <s v="VD-0231"/>
    <d v="2025-04-10T00:00:00"/>
    <x v="1"/>
    <x v="0"/>
    <s v="E-commerce"/>
    <s v="Diego Alves"/>
    <s v="Beleza"/>
    <s v="Secador Pro"/>
    <n v="2"/>
    <n v="448.11"/>
    <n v="0.1"/>
    <n v="249.37"/>
    <s v="Concluída"/>
    <n v="896.22"/>
    <n v="89.622000000000014"/>
    <n v="806.59799999999996"/>
    <n v="498.74"/>
    <n v="307.85799999999995"/>
    <n v="0.381674638419634"/>
  </r>
  <r>
    <s v="VD-0226"/>
    <d v="2025-04-11T00:00:00"/>
    <x v="2"/>
    <x v="1"/>
    <s v="Televendas"/>
    <s v="Diego Alves"/>
    <s v="Beleza"/>
    <s v="Balança Smart"/>
    <n v="2"/>
    <n v="224.22"/>
    <n v="0.05"/>
    <n v="94.45"/>
    <s v="Concluída"/>
    <n v="448.44"/>
    <n v="22.422000000000001"/>
    <n v="426.01799999999997"/>
    <n v="188.9"/>
    <n v="237.11799999999997"/>
    <n v="0.55659150552324077"/>
  </r>
  <r>
    <s v="VD-0244"/>
    <d v="2025-04-11T00:00:00"/>
    <x v="2"/>
    <x v="1"/>
    <s v="Marketplace"/>
    <s v="Diego Alves"/>
    <s v="Informática"/>
    <s v="Teclado Mecânico"/>
    <n v="1"/>
    <n v="405.12"/>
    <n v="0.1"/>
    <n v="233.65"/>
    <s v="Concluída"/>
    <n v="405.12"/>
    <n v="40.512"/>
    <n v="364.608"/>
    <n v="233.65"/>
    <n v="130.958"/>
    <n v="0.35917478497454802"/>
  </r>
  <r>
    <s v="VD-0272"/>
    <d v="2025-04-11T00:00:00"/>
    <x v="4"/>
    <x v="2"/>
    <s v="Loja Física"/>
    <s v="Felipe Martins"/>
    <s v="Acessórios"/>
    <s v="Óculos Sol"/>
    <n v="2"/>
    <n v="359.66"/>
    <n v="0.05"/>
    <n v="157.33000000000001"/>
    <s v="Concluída"/>
    <n v="719.32"/>
    <n v="35.966000000000001"/>
    <n v="683.35400000000004"/>
    <n v="314.66000000000003"/>
    <n v="368.69400000000002"/>
    <n v="0.53953587745151121"/>
  </r>
  <r>
    <s v="VD-0222"/>
    <d v="2025-04-12T00:00:00"/>
    <x v="5"/>
    <x v="1"/>
    <s v="Marketplace"/>
    <s v="Felipe Martins"/>
    <s v="Esporte"/>
    <s v="Halteres 10kg"/>
    <n v="1"/>
    <n v="366.75"/>
    <n v="0.15"/>
    <n v="202.73"/>
    <s v="Concluída"/>
    <n v="366.75"/>
    <n v="55.012499999999996"/>
    <n v="311.73750000000001"/>
    <n v="202.73"/>
    <n v="109.00750000000002"/>
    <n v="0.34967721239825178"/>
  </r>
  <r>
    <s v="VD-0230"/>
    <d v="2025-04-12T00:00:00"/>
    <x v="2"/>
    <x v="1"/>
    <s v="Loja Física"/>
    <s v="Elisa Rocha"/>
    <s v="Esporte"/>
    <s v="Colchonete Pro"/>
    <n v="1"/>
    <n v="136.47999999999999"/>
    <n v="0.15"/>
    <n v="52.96"/>
    <s v="Concluída"/>
    <n v="136.47999999999999"/>
    <n v="20.471999999999998"/>
    <n v="116.008"/>
    <n v="52.96"/>
    <n v="63.047999999999995"/>
    <n v="0.54347976001655052"/>
  </r>
  <r>
    <s v="VD-0204"/>
    <d v="2025-04-14T00:00:00"/>
    <x v="0"/>
    <x v="0"/>
    <s v="Marketplace"/>
    <s v="Felipe Martins"/>
    <s v="Casa"/>
    <s v="Panela Pressão 6L"/>
    <n v="1"/>
    <n v="444.55"/>
    <n v="0.25"/>
    <n v="236.2"/>
    <s v="Concluída"/>
    <n v="444.55"/>
    <n v="111.1375"/>
    <n v="333.41250000000002"/>
    <n v="236.2"/>
    <n v="97.212500000000034"/>
    <n v="0.29156825254002183"/>
  </r>
  <r>
    <s v="VD-0205"/>
    <d v="2025-04-14T00:00:00"/>
    <x v="7"/>
    <x v="3"/>
    <s v="E-commerce"/>
    <s v="Diego Alves"/>
    <s v="Acessórios"/>
    <s v="Óculos Sol"/>
    <n v="1"/>
    <n v="408.35"/>
    <n v="0.1"/>
    <n v="181.16"/>
    <s v="Concluída"/>
    <n v="408.35"/>
    <n v="40.835000000000008"/>
    <n v="367.51499999999999"/>
    <n v="181.16"/>
    <n v="186.35499999999999"/>
    <n v="0.50706773873175248"/>
  </r>
  <r>
    <s v="VD-0223"/>
    <d v="2025-04-14T00:00:00"/>
    <x v="7"/>
    <x v="3"/>
    <s v="Loja Física"/>
    <s v="Ana Costa"/>
    <s v="Informática"/>
    <s v="Fone Wave"/>
    <n v="1"/>
    <n v="266.42"/>
    <n v="0"/>
    <n v="132.33000000000001"/>
    <s v="Concluída"/>
    <n v="266.42"/>
    <n v="0"/>
    <n v="266.42"/>
    <n v="132.33000000000001"/>
    <n v="134.09"/>
    <n v="0.5033030553261767"/>
  </r>
  <r>
    <s v="VD-0268"/>
    <d v="2025-04-14T00:00:00"/>
    <x v="2"/>
    <x v="1"/>
    <s v="Marketplace"/>
    <s v="Heitor Nunes"/>
    <s v="Acessórios"/>
    <s v="Óculos Sol"/>
    <n v="1"/>
    <n v="381.24"/>
    <n v="0.05"/>
    <n v="162.88999999999999"/>
    <s v="Concluída"/>
    <n v="381.24"/>
    <n v="19.062000000000001"/>
    <n v="362.178"/>
    <n v="162.88999999999999"/>
    <n v="199.28800000000001"/>
    <n v="0.55024877270292516"/>
  </r>
  <r>
    <s v="VD-0251"/>
    <d v="2025-04-15T00:00:00"/>
    <x v="3"/>
    <x v="2"/>
    <s v="Televendas"/>
    <s v="Giovana Melo"/>
    <s v="Casa"/>
    <s v="Kit Lençol 4p"/>
    <n v="2"/>
    <n v="270.61"/>
    <n v="0.1"/>
    <n v="122.31"/>
    <s v="Concluída"/>
    <n v="541.22"/>
    <n v="54.122000000000007"/>
    <n v="487.09800000000001"/>
    <n v="244.62"/>
    <n v="242.47800000000001"/>
    <n v="0.49780126381138906"/>
  </r>
  <r>
    <s v="VD-0237"/>
    <d v="2025-04-16T00:00:00"/>
    <x v="5"/>
    <x v="1"/>
    <s v="Marketplace"/>
    <s v="Marcos Silva"/>
    <s v="Casa"/>
    <s v="Tapete Sala"/>
    <n v="1"/>
    <n v="525.54"/>
    <n v="0.25"/>
    <n v="278.83999999999997"/>
    <s v="Concluída"/>
    <n v="525.54"/>
    <n v="131.38499999999999"/>
    <n v="394.15499999999997"/>
    <n v="278.83999999999997"/>
    <n v="115.315"/>
    <n v="0.29256257056234225"/>
  </r>
  <r>
    <s v="VD-0254"/>
    <d v="2025-04-16T00:00:00"/>
    <x v="1"/>
    <x v="0"/>
    <s v="Loja Física"/>
    <s v="Isabela Reis"/>
    <s v="Acessórios"/>
    <s v="Relógio Fit"/>
    <n v="1"/>
    <n v="662.88"/>
    <n v="0.15"/>
    <n v="313.31"/>
    <s v="Concluída"/>
    <n v="662.88"/>
    <n v="99.432000000000002"/>
    <n v="563.44799999999998"/>
    <n v="313.31"/>
    <n v="250.13799999999998"/>
    <n v="0.44394158822109581"/>
  </r>
  <r>
    <s v="VD-0203"/>
    <d v="2025-04-17T00:00:00"/>
    <x v="0"/>
    <x v="0"/>
    <s v="Loja Física"/>
    <s v="Heitor Nunes"/>
    <s v="Casa"/>
    <s v="Kit Lençol 4p"/>
    <n v="1"/>
    <n v="271.58999999999997"/>
    <n v="0.05"/>
    <n v="124.02"/>
    <s v="Concluída"/>
    <n v="271.58999999999997"/>
    <n v="13.579499999999999"/>
    <n v="258.01049999999998"/>
    <n v="124.02"/>
    <n v="133.9905"/>
    <n v="0.51932188806269519"/>
  </r>
  <r>
    <s v="VD-0221"/>
    <d v="2025-04-17T00:00:00"/>
    <x v="6"/>
    <x v="0"/>
    <s v="E-commerce"/>
    <s v="Elisa Rocha"/>
    <s v="Casa"/>
    <s v="Kit Lençol 4p"/>
    <n v="1"/>
    <n v="288.02999999999997"/>
    <n v="0.05"/>
    <n v="125.64"/>
    <s v="Concluída"/>
    <n v="288.02999999999997"/>
    <n v="14.401499999999999"/>
    <n v="273.62849999999997"/>
    <n v="125.64"/>
    <n v="147.98849999999999"/>
    <n v="0.54083730313180101"/>
  </r>
  <r>
    <s v="VD-0234"/>
    <d v="2025-04-17T00:00:00"/>
    <x v="3"/>
    <x v="2"/>
    <s v="Loja Física"/>
    <s v="Giovana Melo"/>
    <s v="Casa"/>
    <s v="Panela Pressão 6L"/>
    <n v="1"/>
    <n v="445.92"/>
    <n v="0.1"/>
    <n v="244.21"/>
    <s v="Concluída"/>
    <n v="445.92"/>
    <n v="44.592000000000006"/>
    <n v="401.32800000000003"/>
    <n v="244.21"/>
    <n v="157.11800000000002"/>
    <n v="0.39149523581708728"/>
  </r>
  <r>
    <s v="VD-0235"/>
    <d v="2025-04-17T00:00:00"/>
    <x v="4"/>
    <x v="2"/>
    <s v="Loja Física"/>
    <s v="Camila Souza"/>
    <s v="Esporte"/>
    <s v="Halteres 10kg"/>
    <n v="1"/>
    <n v="385.62"/>
    <n v="0.1"/>
    <n v="218.82"/>
    <s v="Concluída"/>
    <n v="385.62"/>
    <n v="38.562000000000005"/>
    <n v="347.05799999999999"/>
    <n v="218.82"/>
    <n v="128.238"/>
    <n v="0.36950019881403107"/>
  </r>
  <r>
    <s v="VD-0255"/>
    <d v="2025-04-17T00:00:00"/>
    <x v="4"/>
    <x v="2"/>
    <s v="Televendas"/>
    <s v="Bruno Lima"/>
    <s v="Acessórios"/>
    <s v="Relógio Fit"/>
    <n v="1"/>
    <n v="689.77"/>
    <n v="0"/>
    <n v="336.89"/>
    <s v="Concluída"/>
    <n v="689.77"/>
    <n v="0"/>
    <n v="689.77"/>
    <n v="336.89"/>
    <n v="352.88"/>
    <n v="0.51159082012844859"/>
  </r>
  <r>
    <s v="VD-0253"/>
    <d v="2025-04-18T00:00:00"/>
    <x v="7"/>
    <x v="3"/>
    <s v="E-commerce"/>
    <s v="Elisa Rocha"/>
    <s v="Esporte"/>
    <s v="Colchonete Pro"/>
    <n v="1"/>
    <n v="140.94"/>
    <n v="0.05"/>
    <n v="54.9"/>
    <s v="Concluída"/>
    <n v="140.94"/>
    <n v="7.0470000000000006"/>
    <n v="133.893"/>
    <n v="54.9"/>
    <n v="78.992999999999995"/>
    <n v="0.58997109632318345"/>
  </r>
  <r>
    <s v="VD-0258"/>
    <d v="2025-04-18T00:00:00"/>
    <x v="6"/>
    <x v="0"/>
    <s v="Loja Física"/>
    <s v="Diego Alves"/>
    <s v="Casa"/>
    <s v="Cadeira Escritório"/>
    <n v="1"/>
    <n v="1201.1600000000001"/>
    <n v="0.08"/>
    <n v="855.05"/>
    <s v="Concluída"/>
    <n v="1201.1600000000001"/>
    <n v="96.092800000000011"/>
    <n v="1105.0672"/>
    <n v="855.05"/>
    <n v="250.0172"/>
    <n v="0.2262461504603521"/>
  </r>
  <r>
    <s v="VD-0263"/>
    <d v="2025-04-18T00:00:00"/>
    <x v="2"/>
    <x v="1"/>
    <s v="Marketplace"/>
    <s v="Isabela Reis"/>
    <s v="Informática"/>
    <s v="Teclado Mecânico"/>
    <n v="1"/>
    <n v="417.03"/>
    <n v="0.25"/>
    <n v="245.97"/>
    <s v="Concluída"/>
    <n v="417.03"/>
    <n v="104.25749999999999"/>
    <n v="312.77249999999998"/>
    <n v="245.97"/>
    <n v="66.802499999999981"/>
    <n v="0.21358175670815044"/>
  </r>
  <r>
    <s v="VD-0206"/>
    <d v="2025-04-19T00:00:00"/>
    <x v="5"/>
    <x v="1"/>
    <s v="E-commerce"/>
    <s v="Giovana Melo"/>
    <s v="Esporte"/>
    <s v="Halteres 10kg"/>
    <n v="1"/>
    <n v="360.14"/>
    <n v="0.2"/>
    <n v="208.78"/>
    <s v="Concluída"/>
    <n v="360.14"/>
    <n v="72.028000000000006"/>
    <n v="288.11199999999997"/>
    <n v="208.78"/>
    <n v="79.331999999999965"/>
    <n v="0.27535125229077573"/>
  </r>
  <r>
    <s v="VD-0209"/>
    <d v="2025-04-19T00:00:00"/>
    <x v="7"/>
    <x v="3"/>
    <s v="Televendas"/>
    <s v="Felipe Martins"/>
    <s v="Informática"/>
    <s v="Teclado Mecânico"/>
    <n v="3"/>
    <n v="452.55"/>
    <n v="0.12"/>
    <n v="266.20999999999998"/>
    <s v="Concluída"/>
    <n v="1357.65"/>
    <n v="162.91800000000001"/>
    <n v="1194.732"/>
    <n v="798.62999999999988"/>
    <n v="396.10200000000009"/>
    <n v="0.33154046263094994"/>
  </r>
  <r>
    <s v="VD-0216"/>
    <d v="2025-04-19T00:00:00"/>
    <x v="6"/>
    <x v="0"/>
    <s v="Loja Física"/>
    <s v="Camila Souza"/>
    <s v="Informática"/>
    <s v="Notebook Nova 14"/>
    <n v="1"/>
    <n v="3790.68"/>
    <n v="0.1"/>
    <n v="2920.39"/>
    <s v="Concluída"/>
    <n v="3790.68"/>
    <n v="379.06799999999998"/>
    <n v="3411.6120000000001"/>
    <n v="2920.39"/>
    <n v="491.22200000000021"/>
    <n v="0.14398530665269094"/>
  </r>
  <r>
    <s v="VD-0227"/>
    <d v="2025-04-19T00:00:00"/>
    <x v="1"/>
    <x v="0"/>
    <s v="Marketplace"/>
    <s v="Diego Alves"/>
    <s v="Acessórios"/>
    <s v="Óculos Sol"/>
    <n v="1"/>
    <n v="382.7"/>
    <n v="0.2"/>
    <n v="167.66"/>
    <s v="Devolvida"/>
    <n v="382.7"/>
    <n v="76.540000000000006"/>
    <n v="0"/>
    <n v="0"/>
    <n v="0"/>
    <s v=""/>
  </r>
  <r>
    <s v="VD-0270"/>
    <d v="2025-04-19T00:00:00"/>
    <x v="5"/>
    <x v="1"/>
    <s v="Loja Física"/>
    <s v="Marcos Silva"/>
    <s v="Acessórios"/>
    <s v="Relógio Fit"/>
    <n v="1"/>
    <n v="709.14"/>
    <n v="0.15"/>
    <n v="350.53"/>
    <s v="Concluída"/>
    <n v="709.14"/>
    <n v="106.371"/>
    <n v="602.76900000000001"/>
    <n v="350.53"/>
    <n v="252.23900000000003"/>
    <n v="0.41846710763161349"/>
  </r>
  <r>
    <s v="VD-0261"/>
    <d v="2025-04-20T00:00:00"/>
    <x v="6"/>
    <x v="0"/>
    <s v="Loja Física"/>
    <s v="Isabela Reis"/>
    <s v="Beleza"/>
    <s v="Creme Facial"/>
    <n v="1"/>
    <n v="146.27000000000001"/>
    <n v="0.05"/>
    <n v="52.18"/>
    <s v="Concluída"/>
    <n v="146.27000000000001"/>
    <n v="7.3135000000000012"/>
    <n v="138.95650000000001"/>
    <n v="52.18"/>
    <n v="86.776499999999999"/>
    <n v="0.62448679982584476"/>
  </r>
  <r>
    <s v="VD-0218"/>
    <d v="2025-04-21T00:00:00"/>
    <x v="1"/>
    <x v="0"/>
    <s v="E-commerce"/>
    <s v="Larissa Freitas"/>
    <s v="Informática"/>
    <s v="Monitor 27 Ultra"/>
    <n v="1"/>
    <n v="1358.24"/>
    <n v="0.05"/>
    <n v="974.76"/>
    <s v="Concluída"/>
    <n v="1358.24"/>
    <n v="67.912000000000006"/>
    <n v="1290.328"/>
    <n v="974.76"/>
    <n v="315.56799999999998"/>
    <n v="0.2445641728304741"/>
  </r>
  <r>
    <s v="VD-0220"/>
    <d v="2025-04-21T00:00:00"/>
    <x v="4"/>
    <x v="2"/>
    <s v="Marketplace"/>
    <s v="Marcos Silva"/>
    <s v="Beleza"/>
    <s v="Balança Smart"/>
    <n v="1"/>
    <n v="236.92"/>
    <n v="0.15"/>
    <n v="104.62"/>
    <s v="Concluída"/>
    <n v="236.92"/>
    <n v="35.537999999999997"/>
    <n v="201.38200000000001"/>
    <n v="104.62"/>
    <n v="96.762"/>
    <n v="0.48048981537575353"/>
  </r>
  <r>
    <s v="VD-0236"/>
    <d v="2025-04-21T00:00:00"/>
    <x v="4"/>
    <x v="2"/>
    <s v="E-commerce"/>
    <s v="Camila Souza"/>
    <s v="Casa"/>
    <s v="Cadeira Escritório"/>
    <n v="1"/>
    <n v="1173.3800000000001"/>
    <n v="0.1"/>
    <n v="830.66"/>
    <s v="Concluída"/>
    <n v="1173.3800000000001"/>
    <n v="117.33800000000002"/>
    <n v="1056.0420000000001"/>
    <n v="830.66"/>
    <n v="225.38200000000018"/>
    <n v="0.21342143588986057"/>
  </r>
  <r>
    <s v="VD-0240"/>
    <d v="2025-04-21T00:00:00"/>
    <x v="4"/>
    <x v="2"/>
    <s v="E-commerce"/>
    <s v="Marcos Silva"/>
    <s v="Casa"/>
    <s v="Air Fryer 5L"/>
    <n v="2"/>
    <n v="702.16"/>
    <n v="0.2"/>
    <n v="385.59"/>
    <s v="Concluída"/>
    <n v="1404.32"/>
    <n v="280.86399999999998"/>
    <n v="1123.4559999999999"/>
    <n v="771.18"/>
    <n v="352.27599999999995"/>
    <n v="0.31356457217728151"/>
  </r>
  <r>
    <s v="VD-0243"/>
    <d v="2025-04-21T00:00:00"/>
    <x v="3"/>
    <x v="2"/>
    <s v="Marketplace"/>
    <s v="Isabela Reis"/>
    <s v="Casa"/>
    <s v="Air Fryer 5L"/>
    <n v="1"/>
    <n v="692.09"/>
    <n v="0.2"/>
    <n v="408.64"/>
    <s v="Concluída"/>
    <n v="692.09"/>
    <n v="138.41800000000001"/>
    <n v="553.67200000000003"/>
    <n v="408.64"/>
    <n v="145.03200000000004"/>
    <n v="0.26194570070366574"/>
  </r>
  <r>
    <s v="VD-0264"/>
    <d v="2025-04-22T00:00:00"/>
    <x v="2"/>
    <x v="1"/>
    <s v="Televendas"/>
    <s v="Ana Costa"/>
    <s v="Beleza"/>
    <s v="Secador Pro"/>
    <n v="1"/>
    <n v="432.66"/>
    <n v="0.1"/>
    <n v="239.62"/>
    <s v="Concluída"/>
    <n v="432.66"/>
    <n v="43.266000000000005"/>
    <n v="389.39400000000001"/>
    <n v="239.62"/>
    <n v="149.774"/>
    <n v="0.38463355881189748"/>
  </r>
  <r>
    <s v="VD-0229"/>
    <d v="2025-04-23T00:00:00"/>
    <x v="1"/>
    <x v="0"/>
    <s v="E-commerce"/>
    <s v="Diego Alves"/>
    <s v="Beleza"/>
    <s v="Creme Facial"/>
    <n v="1"/>
    <n v="149.28"/>
    <n v="0.05"/>
    <n v="52.82"/>
    <s v="Concluída"/>
    <n v="149.28"/>
    <n v="7.4640000000000004"/>
    <n v="141.816"/>
    <n v="52.82"/>
    <n v="88.996000000000009"/>
    <n v="0.62754555198285111"/>
  </r>
  <r>
    <s v="VD-0208"/>
    <d v="2025-04-24T00:00:00"/>
    <x v="6"/>
    <x v="0"/>
    <s v="E-commerce"/>
    <s v="Felipe Martins"/>
    <s v="Casa"/>
    <s v="Cadeira Escritório"/>
    <n v="1"/>
    <n v="1261.3499999999999"/>
    <n v="0.1"/>
    <n v="891.23"/>
    <s v="Concluída"/>
    <n v="1261.3499999999999"/>
    <n v="126.13499999999999"/>
    <n v="1135.2149999999999"/>
    <n v="891.23"/>
    <n v="243.9849999999999"/>
    <n v="0.21492404522491326"/>
  </r>
  <r>
    <s v="VD-0267"/>
    <d v="2025-04-24T00:00:00"/>
    <x v="2"/>
    <x v="1"/>
    <s v="Televendas"/>
    <s v="Elisa Rocha"/>
    <s v="Esporte"/>
    <s v="Halteres 10kg"/>
    <n v="2"/>
    <n v="352.9"/>
    <n v="0.05"/>
    <n v="189.93"/>
    <s v="Concluída"/>
    <n v="705.8"/>
    <n v="35.29"/>
    <n v="670.51"/>
    <n v="379.86"/>
    <n v="290.64999999999998"/>
    <n v="0.43347601079775094"/>
  </r>
  <r>
    <s v="VD-0213"/>
    <d v="2025-04-25T00:00:00"/>
    <x v="7"/>
    <x v="3"/>
    <s v="Loja Física"/>
    <s v="Isabela Reis"/>
    <s v="Informática"/>
    <s v="Fone Wave"/>
    <n v="2"/>
    <n v="233.3"/>
    <n v="0.15"/>
    <n v="112.76"/>
    <s v="Concluída"/>
    <n v="466.6"/>
    <n v="69.989999999999995"/>
    <n v="396.61"/>
    <n v="225.52"/>
    <n v="171.09"/>
    <n v="0.43138095358160411"/>
  </r>
  <r>
    <s v="VD-0269"/>
    <d v="2025-04-25T00:00:00"/>
    <x v="2"/>
    <x v="1"/>
    <s v="E-commerce"/>
    <s v="Marcos Silva"/>
    <s v="Informática"/>
    <s v="Monitor 27 Ultra"/>
    <n v="1"/>
    <n v="1390.43"/>
    <n v="0.1"/>
    <n v="981.72"/>
    <s v="Concluída"/>
    <n v="1390.43"/>
    <n v="139.04300000000001"/>
    <n v="1251.3870000000002"/>
    <n v="981.72"/>
    <n v="269.66700000000014"/>
    <n v="0.21549448731687329"/>
  </r>
  <r>
    <s v="VD-0225"/>
    <d v="2025-04-26T00:00:00"/>
    <x v="7"/>
    <x v="3"/>
    <s v="Marketplace"/>
    <s v="Diego Alves"/>
    <s v="Beleza"/>
    <s v="Balança Smart"/>
    <n v="1"/>
    <n v="225.5"/>
    <n v="0.15"/>
    <n v="95.87"/>
    <s v="Devolvida"/>
    <n v="225.5"/>
    <n v="33.824999999999996"/>
    <n v="0"/>
    <n v="0"/>
    <n v="0"/>
    <s v=""/>
  </r>
  <r>
    <s v="VD-0228"/>
    <d v="2025-04-26T00:00:00"/>
    <x v="5"/>
    <x v="1"/>
    <s v="E-commerce"/>
    <s v="Elisa Rocha"/>
    <s v="Casa"/>
    <s v="Air Fryer 5L"/>
    <n v="1"/>
    <n v="698.11"/>
    <n v="0.2"/>
    <n v="395.36"/>
    <s v="Concluída"/>
    <n v="698.11"/>
    <n v="139.62200000000001"/>
    <n v="558.48800000000006"/>
    <n v="395.36"/>
    <n v="163.12800000000004"/>
    <n v="0.29208863932618073"/>
  </r>
  <r>
    <s v="VD-0249"/>
    <d v="2025-04-26T00:00:00"/>
    <x v="2"/>
    <x v="1"/>
    <s v="Loja Física"/>
    <s v="Diego Alves"/>
    <s v="Informática"/>
    <s v="Mouse Pro"/>
    <n v="1"/>
    <n v="200.64"/>
    <n v="0.05"/>
    <n v="89.46"/>
    <s v="Concluída"/>
    <n v="200.64"/>
    <n v="10.032"/>
    <n v="190.60799999999998"/>
    <n v="89.46"/>
    <n v="101.14799999999998"/>
    <n v="0.53065978342986653"/>
  </r>
  <r>
    <s v="VD-0256"/>
    <d v="2025-04-26T00:00:00"/>
    <x v="1"/>
    <x v="0"/>
    <s v="Loja Física"/>
    <s v="Heitor Nunes"/>
    <s v="Informática"/>
    <s v="Fone Wave"/>
    <n v="1"/>
    <n v="242.24"/>
    <n v="0.15"/>
    <n v="120.53"/>
    <s v="Concluída"/>
    <n v="242.24"/>
    <n v="36.335999999999999"/>
    <n v="205.904"/>
    <n v="120.53"/>
    <n v="85.373999999999995"/>
    <n v="0.41463011889035667"/>
  </r>
  <r>
    <s v="VD-0265"/>
    <d v="2025-04-26T00:00:00"/>
    <x v="0"/>
    <x v="0"/>
    <s v="Loja Física"/>
    <s v="Diego Alves"/>
    <s v="Acessórios"/>
    <s v="Relógio Fit"/>
    <n v="2"/>
    <n v="709.54"/>
    <n v="0.05"/>
    <n v="353.45"/>
    <s v="Concluída"/>
    <n v="1419.08"/>
    <n v="70.953999999999994"/>
    <n v="1348.126"/>
    <n v="706.9"/>
    <n v="641.226"/>
    <n v="0.47564248445620066"/>
  </r>
  <r>
    <s v="VD-0219"/>
    <d v="2025-04-27T00:00:00"/>
    <x v="4"/>
    <x v="2"/>
    <s v="Marketplace"/>
    <s v="Elisa Rocha"/>
    <s v="Informática"/>
    <s v="Notebook Nova 14"/>
    <n v="1"/>
    <n v="3925.34"/>
    <n v="0.25"/>
    <n v="3153.27"/>
    <s v="Concluída"/>
    <n v="3925.34"/>
    <n v="981.33500000000004"/>
    <n v="2944.0050000000001"/>
    <n v="3153.27"/>
    <n v="-209.26499999999987"/>
    <n v="-7.1081740689978398E-2"/>
  </r>
  <r>
    <s v="VD-0239"/>
    <d v="2025-04-27T00:00:00"/>
    <x v="1"/>
    <x v="0"/>
    <s v="Loja Física"/>
    <s v="Diego Alves"/>
    <s v="Informática"/>
    <s v="Teclado Mecânico"/>
    <n v="2"/>
    <n v="419.78"/>
    <n v="0.05"/>
    <n v="241.54"/>
    <s v="Concluída"/>
    <n v="839.56"/>
    <n v="41.978000000000002"/>
    <n v="797.58199999999999"/>
    <n v="483.08"/>
    <n v="314.50200000000001"/>
    <n v="0.39431933017545534"/>
  </r>
  <r>
    <s v="VD-0250"/>
    <d v="2025-04-27T00:00:00"/>
    <x v="3"/>
    <x v="2"/>
    <s v="Televendas"/>
    <s v="Bruno Lima"/>
    <s v="Esporte"/>
    <s v="Halteres 10kg"/>
    <n v="1"/>
    <n v="356.52"/>
    <n v="0.05"/>
    <n v="203.25"/>
    <s v="Concluída"/>
    <n v="356.52"/>
    <n v="17.826000000000001"/>
    <n v="338.69399999999996"/>
    <n v="203.25"/>
    <n v="135.44399999999996"/>
    <n v="0.39990079540824452"/>
  </r>
  <r>
    <s v="VD-0252"/>
    <d v="2025-04-27T00:00:00"/>
    <x v="5"/>
    <x v="1"/>
    <s v="Marketplace"/>
    <s v="Heitor Nunes"/>
    <s v="Informática"/>
    <s v="Notebook Nova 14"/>
    <n v="1"/>
    <n v="4020"/>
    <n v="0.1"/>
    <n v="3069.57"/>
    <s v="Concluída"/>
    <n v="4020"/>
    <n v="402"/>
    <n v="3618"/>
    <n v="3069.57"/>
    <n v="548.42999999999984"/>
    <n v="0.15158374792703147"/>
  </r>
  <r>
    <s v="VD-0212"/>
    <d v="2025-04-28T00:00:00"/>
    <x v="4"/>
    <x v="2"/>
    <s v="Loja Física"/>
    <s v="João Pedro"/>
    <s v="Beleza"/>
    <s v="Creme Facial"/>
    <n v="1"/>
    <n v="138.27000000000001"/>
    <n v="0.1"/>
    <n v="47.07"/>
    <s v="Concluída"/>
    <n v="138.27000000000001"/>
    <n v="13.827000000000002"/>
    <n v="124.44300000000001"/>
    <n v="47.07"/>
    <n v="77.373000000000019"/>
    <n v="0.62175453822231874"/>
  </r>
  <r>
    <s v="VD-0217"/>
    <d v="2025-04-28T00:00:00"/>
    <x v="7"/>
    <x v="3"/>
    <s v="Marketplace"/>
    <s v="Larissa Freitas"/>
    <s v="Casa"/>
    <s v="Panela Pressão 6L"/>
    <n v="1"/>
    <n v="445.25"/>
    <n v="0.2"/>
    <n v="235.47"/>
    <s v="Concluída"/>
    <n v="445.25"/>
    <n v="89.050000000000011"/>
    <n v="356.2"/>
    <n v="235.47"/>
    <n v="120.72999999999999"/>
    <n v="0.33893879842784952"/>
  </r>
  <r>
    <s v="VD-0271"/>
    <d v="2025-04-28T00:00:00"/>
    <x v="7"/>
    <x v="3"/>
    <s v="Loja Física"/>
    <s v="Heitor Nunes"/>
    <s v="Informática"/>
    <s v="Monitor 27 Ultra"/>
    <n v="1"/>
    <n v="1206.58"/>
    <n v="0"/>
    <n v="859.18"/>
    <s v="Concluída"/>
    <n v="1206.58"/>
    <n v="0"/>
    <n v="1206.58"/>
    <n v="859.18"/>
    <n v="347.4"/>
    <n v="0.28792123191168428"/>
  </r>
  <r>
    <s v="VD-0273"/>
    <d v="2025-04-28T00:00:00"/>
    <x v="4"/>
    <x v="2"/>
    <s v="Loja Física"/>
    <s v="Diego Alves"/>
    <s v="Acessórios"/>
    <s v="Óculos Sol"/>
    <n v="1"/>
    <n v="396.67"/>
    <n v="0.1"/>
    <n v="179.43"/>
    <s v="Concluída"/>
    <n v="396.67"/>
    <n v="39.667000000000002"/>
    <n v="357.00300000000004"/>
    <n v="179.43"/>
    <n v="177.57300000000004"/>
    <n v="0.49739918151948309"/>
  </r>
  <r>
    <s v="VD-0278"/>
    <d v="2025-05-01T00:00:00"/>
    <x v="0"/>
    <x v="0"/>
    <s v="E-commerce"/>
    <s v="João Pedro"/>
    <s v="Esporte"/>
    <s v="Colchonete Pro"/>
    <n v="1"/>
    <n v="149.57"/>
    <n v="0.2"/>
    <n v="60.07"/>
    <s v="Concluída"/>
    <n v="149.57"/>
    <n v="29.914000000000001"/>
    <n v="119.65599999999999"/>
    <n v="60.07"/>
    <n v="59.585999999999991"/>
    <n v="0.49797753560205921"/>
  </r>
  <r>
    <s v="VD-0279"/>
    <d v="2025-05-01T00:00:00"/>
    <x v="0"/>
    <x v="0"/>
    <s v="Loja Física"/>
    <s v="Isabela Reis"/>
    <s v="Casa"/>
    <s v="Kit Lençol 4p"/>
    <n v="1"/>
    <n v="271.14999999999998"/>
    <n v="0.05"/>
    <n v="117.91"/>
    <s v="Concluída"/>
    <n v="271.14999999999998"/>
    <n v="13.557499999999999"/>
    <n v="257.59249999999997"/>
    <n v="117.91"/>
    <n v="139.68249999999998"/>
    <n v="0.5422615177072313"/>
  </r>
  <r>
    <s v="VD-0329"/>
    <d v="2025-05-01T00:00:00"/>
    <x v="5"/>
    <x v="1"/>
    <s v="Loja Física"/>
    <s v="Bruno Lima"/>
    <s v="Beleza"/>
    <s v="Secador Pro"/>
    <n v="1"/>
    <n v="435.4"/>
    <n v="0"/>
    <n v="235.96"/>
    <s v="Concluída"/>
    <n v="435.4"/>
    <n v="0"/>
    <n v="435.4"/>
    <n v="235.96"/>
    <n v="199.43999999999997"/>
    <n v="0.45806155259531461"/>
  </r>
  <r>
    <s v="VD-0284"/>
    <d v="2025-05-02T00:00:00"/>
    <x v="1"/>
    <x v="0"/>
    <s v="Loja Física"/>
    <s v="Marcos Silva"/>
    <s v="Informática"/>
    <s v="Teclado Mecânico"/>
    <n v="1"/>
    <n v="394.78"/>
    <n v="0.08"/>
    <n v="224.86"/>
    <s v="Concluída"/>
    <n v="394.78"/>
    <n v="31.5824"/>
    <n v="363.19759999999997"/>
    <n v="224.86"/>
    <n v="138.33759999999995"/>
    <n v="0.38088797943598734"/>
  </r>
  <r>
    <s v="VD-0313"/>
    <d v="2025-05-02T00:00:00"/>
    <x v="2"/>
    <x v="1"/>
    <s v="Loja Física"/>
    <s v="Diego Alves"/>
    <s v="Esporte"/>
    <s v="Bike Urbana"/>
    <n v="1"/>
    <n v="2357.2199999999998"/>
    <n v="0.15"/>
    <n v="1572.73"/>
    <s v="Concluída"/>
    <n v="2357.2199999999998"/>
    <n v="353.58299999999997"/>
    <n v="2003.6369999999997"/>
    <n v="1572.73"/>
    <n v="430.9069999999997"/>
    <n v="0.21506240900921661"/>
  </r>
  <r>
    <s v="VD-0327"/>
    <d v="2025-05-02T00:00:00"/>
    <x v="0"/>
    <x v="0"/>
    <s v="Loja Física"/>
    <s v="Heitor Nunes"/>
    <s v="Informática"/>
    <s v="Monitor 27 Ultra"/>
    <n v="2"/>
    <n v="1370.46"/>
    <n v="0.1"/>
    <n v="959.05"/>
    <s v="Concluída"/>
    <n v="2740.92"/>
    <n v="274.09200000000004"/>
    <n v="2466.828"/>
    <n v="1918.1"/>
    <n v="548.72800000000007"/>
    <n v="0.22244274833916272"/>
  </r>
  <r>
    <s v="VD-0332"/>
    <d v="2025-05-02T00:00:00"/>
    <x v="7"/>
    <x v="3"/>
    <s v="E-commerce"/>
    <s v="Bruno Lima"/>
    <s v="Beleza"/>
    <s v="Balança Smart"/>
    <n v="1"/>
    <n v="254.74"/>
    <n v="0.15"/>
    <n v="113.39"/>
    <s v="Concluída"/>
    <n v="254.74"/>
    <n v="38.210999999999999"/>
    <n v="216.529"/>
    <n v="113.39"/>
    <n v="103.139"/>
    <n v="0.47632880584124987"/>
  </r>
  <r>
    <s v="VD-0324"/>
    <d v="2025-05-03T00:00:00"/>
    <x v="3"/>
    <x v="2"/>
    <s v="Loja Física"/>
    <s v="Marcos Silva"/>
    <s v="Acessórios"/>
    <s v="Mochila Urban"/>
    <n v="1"/>
    <n v="333.44"/>
    <n v="0"/>
    <n v="154.66"/>
    <s v="Concluída"/>
    <n v="333.44"/>
    <n v="0"/>
    <n v="333.44"/>
    <n v="154.66"/>
    <n v="178.78"/>
    <n v="0.53616842610364679"/>
  </r>
  <r>
    <s v="VD-0328"/>
    <d v="2025-05-03T00:00:00"/>
    <x v="1"/>
    <x v="0"/>
    <s v="Marketplace"/>
    <s v="Isabela Reis"/>
    <s v="Informática"/>
    <s v="Fone Wave"/>
    <n v="1"/>
    <n v="234.98"/>
    <n v="0.2"/>
    <n v="108.83"/>
    <s v="Concluída"/>
    <n v="234.98"/>
    <n v="46.996000000000002"/>
    <n v="187.98399999999998"/>
    <n v="108.83"/>
    <n v="79.153999999999982"/>
    <n v="0.42106775044684647"/>
  </r>
  <r>
    <s v="VD-0337"/>
    <d v="2025-05-03T00:00:00"/>
    <x v="5"/>
    <x v="1"/>
    <s v="Marketplace"/>
    <s v="Ana Costa"/>
    <s v="Informática"/>
    <s v="Notebook Nova 14"/>
    <n v="1"/>
    <n v="4142.5"/>
    <n v="0.15"/>
    <n v="3241.53"/>
    <s v="Concluída"/>
    <n v="4142.5"/>
    <n v="621.375"/>
    <n v="3521.125"/>
    <n v="3241.53"/>
    <n v="279.5949999999998"/>
    <n v="7.9405019702509794E-2"/>
  </r>
  <r>
    <s v="VD-0346"/>
    <d v="2025-05-03T00:00:00"/>
    <x v="5"/>
    <x v="1"/>
    <s v="Televendas"/>
    <s v="Giovana Melo"/>
    <s v="Acessórios"/>
    <s v="Óculos Sol"/>
    <n v="1"/>
    <n v="354.91"/>
    <n v="0.05"/>
    <n v="160.74"/>
    <s v="Concluída"/>
    <n v="354.91"/>
    <n v="17.745500000000003"/>
    <n v="337.16450000000003"/>
    <n v="160.74"/>
    <n v="176.42450000000002"/>
    <n v="0.52325941788058949"/>
  </r>
  <r>
    <s v="VD-0275"/>
    <d v="2025-05-04T00:00:00"/>
    <x v="3"/>
    <x v="2"/>
    <s v="E-commerce"/>
    <s v="Giovana Melo"/>
    <s v="Beleza"/>
    <s v="Secador Pro"/>
    <n v="1"/>
    <n v="411.71"/>
    <n v="0.15"/>
    <n v="235.05"/>
    <s v="Concluída"/>
    <n v="411.71"/>
    <n v="61.756499999999996"/>
    <n v="349.95349999999996"/>
    <n v="235.05"/>
    <n v="114.90349999999995"/>
    <n v="0.32833933651185077"/>
  </r>
  <r>
    <s v="VD-0307"/>
    <d v="2025-05-04T00:00:00"/>
    <x v="3"/>
    <x v="2"/>
    <s v="E-commerce"/>
    <s v="Marcos Silva"/>
    <s v="Esporte"/>
    <s v="Halteres 10kg"/>
    <n v="1"/>
    <n v="387.02"/>
    <n v="0.03"/>
    <n v="220.87"/>
    <s v="Concluída"/>
    <n v="387.02"/>
    <n v="11.6106"/>
    <n v="375.40940000000001"/>
    <n v="220.87"/>
    <n v="154.5394"/>
    <n v="0.41165564847337333"/>
  </r>
  <r>
    <s v="VD-0321"/>
    <d v="2025-05-04T00:00:00"/>
    <x v="4"/>
    <x v="2"/>
    <s v="Loja Física"/>
    <s v="Bruno Lima"/>
    <s v="Acessórios"/>
    <s v="Mochila Urban"/>
    <n v="2"/>
    <n v="332.01"/>
    <n v="0.1"/>
    <n v="156.19999999999999"/>
    <s v="Concluída"/>
    <n v="664.02"/>
    <n v="66.402000000000001"/>
    <n v="597.61799999999994"/>
    <n v="312.39999999999998"/>
    <n v="285.21799999999996"/>
    <n v="0.47725804778303194"/>
  </r>
  <r>
    <s v="VD-0326"/>
    <d v="2025-05-04T00:00:00"/>
    <x v="7"/>
    <x v="3"/>
    <s v="E-commerce"/>
    <s v="João Pedro"/>
    <s v="Acessórios"/>
    <s v="Relógio Fit"/>
    <n v="1"/>
    <n v="704.84"/>
    <n v="0.1"/>
    <n v="348.02"/>
    <s v="Concluída"/>
    <n v="704.84"/>
    <n v="70.484000000000009"/>
    <n v="634.35599999999999"/>
    <n v="348.02"/>
    <n v="286.33600000000001"/>
    <n v="0.45138061277894431"/>
  </r>
  <r>
    <s v="VD-0280"/>
    <d v="2025-05-05T00:00:00"/>
    <x v="6"/>
    <x v="0"/>
    <s v="Loja Física"/>
    <s v="Isabela Reis"/>
    <s v="Informática"/>
    <s v="Monitor 27 Ultra"/>
    <n v="1"/>
    <n v="1211.33"/>
    <n v="0"/>
    <n v="852.99"/>
    <s v="Concluída"/>
    <n v="1211.33"/>
    <n v="0"/>
    <n v="1211.33"/>
    <n v="852.99"/>
    <n v="358.33999999999992"/>
    <n v="0.29582359885415199"/>
  </r>
  <r>
    <s v="VD-0303"/>
    <d v="2025-05-05T00:00:00"/>
    <x v="1"/>
    <x v="0"/>
    <s v="E-commerce"/>
    <s v="Marcos Silva"/>
    <s v="Beleza"/>
    <s v="Balança Smart"/>
    <n v="2"/>
    <n v="225.49"/>
    <n v="0.1"/>
    <n v="100.35"/>
    <s v="Concluída"/>
    <n v="450.98"/>
    <n v="45.098000000000006"/>
    <n v="405.88200000000001"/>
    <n v="200.7"/>
    <n v="205.18200000000002"/>
    <n v="0.50552130914896454"/>
  </r>
  <r>
    <s v="VD-0341"/>
    <d v="2025-05-05T00:00:00"/>
    <x v="4"/>
    <x v="2"/>
    <s v="Loja Física"/>
    <s v="Diego Alves"/>
    <s v="Esporte"/>
    <s v="Esteira Compacta"/>
    <n v="1"/>
    <n v="2605.1"/>
    <n v="0.15"/>
    <n v="1789.05"/>
    <s v="Concluída"/>
    <n v="2605.1"/>
    <n v="390.76499999999999"/>
    <n v="2214.335"/>
    <n v="1789.05"/>
    <n v="425.28500000000008"/>
    <n v="0.19205991866632649"/>
  </r>
  <r>
    <s v="VD-0286"/>
    <d v="2025-05-06T00:00:00"/>
    <x v="4"/>
    <x v="2"/>
    <s v="E-commerce"/>
    <s v="Ana Costa"/>
    <s v="Acessórios"/>
    <s v="Mochila Urban"/>
    <n v="2"/>
    <n v="337.65"/>
    <n v="0.15"/>
    <n v="157.36000000000001"/>
    <s v="Concluída"/>
    <n v="675.3"/>
    <n v="101.29499999999999"/>
    <n v="574.005"/>
    <n v="314.72000000000003"/>
    <n v="259.28499999999997"/>
    <n v="0.45171209310023425"/>
  </r>
  <r>
    <s v="VD-0292"/>
    <d v="2025-05-06T00:00:00"/>
    <x v="0"/>
    <x v="0"/>
    <s v="E-commerce"/>
    <s v="João Pedro"/>
    <s v="Informática"/>
    <s v="Mouse Pro"/>
    <n v="1"/>
    <n v="195.29"/>
    <n v="0.15"/>
    <n v="88.34"/>
    <s v="Concluída"/>
    <n v="195.29"/>
    <n v="29.293499999999998"/>
    <n v="165.9965"/>
    <n v="88.34"/>
    <n v="77.656499999999994"/>
    <n v="0.46782010464076046"/>
  </r>
  <r>
    <s v="VD-0340"/>
    <d v="2025-05-08T00:00:00"/>
    <x v="7"/>
    <x v="3"/>
    <s v="E-commerce"/>
    <s v="Giovana Melo"/>
    <s v="Informática"/>
    <s v="Fone Wave"/>
    <n v="1"/>
    <n v="262.35000000000002"/>
    <n v="0.2"/>
    <n v="121.81"/>
    <s v="Concluída"/>
    <n v="262.35000000000002"/>
    <n v="52.470000000000006"/>
    <n v="209.88000000000002"/>
    <n v="121.81"/>
    <n v="88.070000000000022"/>
    <n v="0.41962073565847158"/>
  </r>
  <r>
    <s v="VD-0301"/>
    <d v="2025-05-10T00:00:00"/>
    <x v="3"/>
    <x v="2"/>
    <s v="Marketplace"/>
    <s v="Diego Alves"/>
    <s v="Casa"/>
    <s v="Tapete Sala"/>
    <n v="1"/>
    <n v="561.22"/>
    <n v="0.05"/>
    <n v="288.63"/>
    <s v="Concluída"/>
    <n v="561.22"/>
    <n v="28.061000000000003"/>
    <n v="533.15899999999999"/>
    <n v="288.63"/>
    <n v="244.529"/>
    <n v="0.45864179353626217"/>
  </r>
  <r>
    <s v="VD-0276"/>
    <d v="2025-05-11T00:00:00"/>
    <x v="1"/>
    <x v="0"/>
    <s v="Loja Física"/>
    <s v="Larissa Freitas"/>
    <s v="Informática"/>
    <s v="Notebook Nova 14"/>
    <n v="1"/>
    <n v="4002.43"/>
    <n v="0.08"/>
    <n v="3070.48"/>
    <s v="Concluída"/>
    <n v="4002.43"/>
    <n v="320.19439999999997"/>
    <n v="3682.2356"/>
    <n v="3070.48"/>
    <n v="611.75559999999996"/>
    <n v="0.16613700655112887"/>
  </r>
  <r>
    <s v="VD-0291"/>
    <d v="2025-05-11T00:00:00"/>
    <x v="2"/>
    <x v="1"/>
    <s v="Televendas"/>
    <s v="Larissa Freitas"/>
    <s v="Informática"/>
    <s v="Teclado Mecânico"/>
    <n v="1"/>
    <n v="389.6"/>
    <n v="0"/>
    <n v="229.27"/>
    <s v="Concluída"/>
    <n v="389.6"/>
    <n v="0"/>
    <n v="389.6"/>
    <n v="229.27"/>
    <n v="160.33000000000001"/>
    <n v="0.41152464065708422"/>
  </r>
  <r>
    <s v="VD-0314"/>
    <d v="2025-05-11T00:00:00"/>
    <x v="6"/>
    <x v="0"/>
    <s v="Loja Física"/>
    <s v="Ana Costa"/>
    <s v="Informática"/>
    <s v="Fone Wave"/>
    <n v="2"/>
    <n v="239.16"/>
    <n v="0.05"/>
    <n v="113.98"/>
    <s v="Concluída"/>
    <n v="478.32"/>
    <n v="23.916"/>
    <n v="454.404"/>
    <n v="227.96"/>
    <n v="226.44399999999999"/>
    <n v="0.49833188088133024"/>
  </r>
  <r>
    <s v="VD-0320"/>
    <d v="2025-05-11T00:00:00"/>
    <x v="4"/>
    <x v="2"/>
    <s v="E-commerce"/>
    <s v="João Pedro"/>
    <s v="Informática"/>
    <s v="Teclado Mecânico"/>
    <n v="1"/>
    <n v="420.48"/>
    <n v="0.05"/>
    <n v="237.8"/>
    <s v="Cancelada"/>
    <n v="420.48"/>
    <n v="21.024000000000001"/>
    <n v="0"/>
    <n v="0"/>
    <n v="0"/>
    <s v=""/>
  </r>
  <r>
    <s v="VD-0339"/>
    <d v="2025-05-11T00:00:00"/>
    <x v="4"/>
    <x v="2"/>
    <s v="E-commerce"/>
    <s v="Camila Souza"/>
    <s v="Informática"/>
    <s v="Monitor 27 Ultra"/>
    <n v="1"/>
    <n v="1369.16"/>
    <n v="0.05"/>
    <n v="925.5"/>
    <s v="Cancelada"/>
    <n v="1369.16"/>
    <n v="68.458000000000013"/>
    <n v="0"/>
    <n v="0"/>
    <n v="0"/>
    <s v=""/>
  </r>
  <r>
    <s v="VD-0287"/>
    <d v="2025-05-12T00:00:00"/>
    <x v="3"/>
    <x v="2"/>
    <s v="Loja Física"/>
    <s v="Ana Costa"/>
    <s v="Informática"/>
    <s v="Notebook Nova 14"/>
    <n v="1"/>
    <n v="4059.38"/>
    <n v="0.15"/>
    <n v="3153.48"/>
    <s v="Concluída"/>
    <n v="4059.38"/>
    <n v="608.90700000000004"/>
    <n v="3450.473"/>
    <n v="3153.48"/>
    <n v="296.99299999999994"/>
    <n v="8.6073126785805865E-2"/>
  </r>
  <r>
    <s v="VD-0295"/>
    <d v="2025-05-12T00:00:00"/>
    <x v="3"/>
    <x v="2"/>
    <s v="Loja Física"/>
    <s v="João Pedro"/>
    <s v="Beleza"/>
    <s v="Balança Smart"/>
    <n v="1"/>
    <n v="255.25"/>
    <n v="0.05"/>
    <n v="108.18"/>
    <s v="Concluída"/>
    <n v="255.25"/>
    <n v="12.762500000000001"/>
    <n v="242.48750000000001"/>
    <n v="108.18"/>
    <n v="134.3075"/>
    <n v="0.55387391102634154"/>
  </r>
  <r>
    <s v="VD-0296"/>
    <d v="2025-05-12T00:00:00"/>
    <x v="7"/>
    <x v="3"/>
    <s v="Marketplace"/>
    <s v="Larissa Freitas"/>
    <s v="Informática"/>
    <s v="Notebook Nova 14"/>
    <n v="1"/>
    <n v="3709.02"/>
    <n v="0.25"/>
    <n v="2921.29"/>
    <s v="Concluída"/>
    <n v="3709.02"/>
    <n v="927.255"/>
    <n v="2781.7649999999999"/>
    <n v="2921.29"/>
    <n v="-139.52500000000009"/>
    <n v="-5.0157004635546169E-2"/>
  </r>
  <r>
    <s v="VD-0298"/>
    <d v="2025-05-12T00:00:00"/>
    <x v="2"/>
    <x v="1"/>
    <s v="Loja Física"/>
    <s v="Felipe Martins"/>
    <s v="Informática"/>
    <s v="Teclado Mecânico"/>
    <n v="2"/>
    <n v="395.99"/>
    <n v="0"/>
    <n v="223.17"/>
    <s v="Concluída"/>
    <n v="791.98"/>
    <n v="0"/>
    <n v="791.98"/>
    <n v="446.34"/>
    <n v="345.64000000000004"/>
    <n v="0.43642516225157207"/>
  </r>
  <r>
    <s v="VD-0311"/>
    <d v="2025-05-12T00:00:00"/>
    <x v="0"/>
    <x v="0"/>
    <s v="E-commerce"/>
    <s v="João Pedro"/>
    <s v="Beleza"/>
    <s v="Creme Facial"/>
    <n v="1"/>
    <n v="142.99"/>
    <n v="0.05"/>
    <n v="50.47"/>
    <s v="Concluída"/>
    <n v="142.99"/>
    <n v="7.1495000000000006"/>
    <n v="135.84050000000002"/>
    <n v="50.47"/>
    <n v="85.370500000000021"/>
    <n v="0.62846132044566982"/>
  </r>
  <r>
    <s v="VD-0282"/>
    <d v="2025-05-13T00:00:00"/>
    <x v="1"/>
    <x v="0"/>
    <s v="Marketplace"/>
    <s v="Marcos Silva"/>
    <s v="Casa"/>
    <s v="Tapete Sala"/>
    <n v="2"/>
    <n v="492.5"/>
    <n v="0.05"/>
    <n v="249.16"/>
    <s v="Concluída"/>
    <n v="985"/>
    <n v="49.25"/>
    <n v="935.75"/>
    <n v="498.32"/>
    <n v="437.43"/>
    <n v="0.46746460058776385"/>
  </r>
  <r>
    <s v="VD-0293"/>
    <d v="2025-05-13T00:00:00"/>
    <x v="1"/>
    <x v="0"/>
    <s v="Loja Física"/>
    <s v="Heitor Nunes"/>
    <s v="Beleza"/>
    <s v="Creme Facial"/>
    <n v="2"/>
    <n v="140.41"/>
    <n v="0.08"/>
    <n v="51.06"/>
    <s v="Concluída"/>
    <n v="280.82"/>
    <n v="22.465599999999998"/>
    <n v="258.3544"/>
    <n v="102.12"/>
    <n v="156.23439999999999"/>
    <n v="0.60472900790541984"/>
  </r>
  <r>
    <s v="VD-0299"/>
    <d v="2025-05-13T00:00:00"/>
    <x v="6"/>
    <x v="0"/>
    <s v="E-commerce"/>
    <s v="Larissa Freitas"/>
    <s v="Beleza"/>
    <s v="Creme Facial"/>
    <n v="2"/>
    <n v="140.07"/>
    <n v="0.1"/>
    <n v="49.68"/>
    <s v="Cancelada"/>
    <n v="280.14"/>
    <n v="28.013999999999999"/>
    <n v="0"/>
    <n v="0"/>
    <n v="0"/>
    <s v=""/>
  </r>
  <r>
    <s v="VD-0312"/>
    <d v="2025-05-13T00:00:00"/>
    <x v="1"/>
    <x v="0"/>
    <s v="Marketplace"/>
    <s v="Elisa Rocha"/>
    <s v="Casa"/>
    <s v="Cadeira Escritório"/>
    <n v="1"/>
    <n v="1116.82"/>
    <n v="0.1"/>
    <n v="831.71"/>
    <s v="Concluída"/>
    <n v="1116.82"/>
    <n v="111.682"/>
    <n v="1005.1379999999999"/>
    <n v="831.71"/>
    <n v="173.42799999999988"/>
    <n v="0.17254148186617152"/>
  </r>
  <r>
    <s v="VD-0304"/>
    <d v="2025-05-14T00:00:00"/>
    <x v="5"/>
    <x v="1"/>
    <s v="E-commerce"/>
    <s v="Ana Costa"/>
    <s v="Esporte"/>
    <s v="Bike Urbana"/>
    <n v="1"/>
    <n v="2190.69"/>
    <n v="0.03"/>
    <n v="1453.87"/>
    <s v="Concluída"/>
    <n v="2190.69"/>
    <n v="65.720699999999994"/>
    <n v="2124.9693000000002"/>
    <n v="1453.87"/>
    <n v="671.09930000000031"/>
    <n v="0.31581599790641696"/>
  </r>
  <r>
    <s v="VD-0315"/>
    <d v="2025-05-15T00:00:00"/>
    <x v="2"/>
    <x v="1"/>
    <s v="Marketplace"/>
    <s v="João Pedro"/>
    <s v="Informática"/>
    <s v="Notebook Nova 14"/>
    <n v="1"/>
    <n v="3751.38"/>
    <n v="0.1"/>
    <n v="2981.03"/>
    <s v="Concluída"/>
    <n v="3751.38"/>
    <n v="375.13800000000003"/>
    <n v="3376.2420000000002"/>
    <n v="2981.03"/>
    <n v="395.21199999999999"/>
    <n v="0.11705677495866705"/>
  </r>
  <r>
    <s v="VD-0317"/>
    <d v="2025-05-15T00:00:00"/>
    <x v="2"/>
    <x v="1"/>
    <s v="Marketplace"/>
    <s v="João Pedro"/>
    <s v="Informática"/>
    <s v="Fone Wave"/>
    <n v="1"/>
    <n v="265.41000000000003"/>
    <n v="0.2"/>
    <n v="126.88"/>
    <s v="Concluída"/>
    <n v="265.41000000000003"/>
    <n v="53.082000000000008"/>
    <n v="212.32800000000003"/>
    <n v="126.88"/>
    <n v="85.448000000000036"/>
    <n v="0.40243397008402104"/>
  </r>
  <r>
    <s v="VD-0331"/>
    <d v="2025-05-15T00:00:00"/>
    <x v="4"/>
    <x v="2"/>
    <s v="E-commerce"/>
    <s v="Elisa Rocha"/>
    <s v="Casa"/>
    <s v="Air Fryer 5L"/>
    <n v="3"/>
    <n v="739.14"/>
    <n v="0.2"/>
    <n v="416.08"/>
    <s v="Concluída"/>
    <n v="2217.42"/>
    <n v="443.48400000000004"/>
    <n v="1773.9360000000001"/>
    <n v="1248.24"/>
    <n v="525.69600000000014"/>
    <n v="0.29634440024893799"/>
  </r>
  <r>
    <s v="VD-0335"/>
    <d v="2025-05-15T00:00:00"/>
    <x v="1"/>
    <x v="0"/>
    <s v="E-commerce"/>
    <s v="Felipe Martins"/>
    <s v="Casa"/>
    <s v="Panela Pressão 6L"/>
    <n v="1"/>
    <n v="475.46"/>
    <n v="0.2"/>
    <n v="268.88"/>
    <s v="Concluída"/>
    <n v="475.46"/>
    <n v="95.091999999999999"/>
    <n v="380.36799999999999"/>
    <n v="268.88"/>
    <n v="111.488"/>
    <n v="0.29310562402725782"/>
  </r>
  <r>
    <s v="VD-0342"/>
    <d v="2025-05-15T00:00:00"/>
    <x v="1"/>
    <x v="0"/>
    <s v="E-commerce"/>
    <s v="Elisa Rocha"/>
    <s v="Casa"/>
    <s v="Air Fryer 5L"/>
    <n v="1"/>
    <n v="682.71"/>
    <n v="0.05"/>
    <n v="403.57"/>
    <s v="Concluída"/>
    <n v="682.71"/>
    <n v="34.1355"/>
    <n v="648.57450000000006"/>
    <n v="403.57"/>
    <n v="245.00450000000006"/>
    <n v="0.37775845334653158"/>
  </r>
  <r>
    <s v="VD-0289"/>
    <d v="2025-05-16T00:00:00"/>
    <x v="1"/>
    <x v="0"/>
    <s v="E-commerce"/>
    <s v="Heitor Nunes"/>
    <s v="Esporte"/>
    <s v="Bike Urbana"/>
    <n v="1"/>
    <n v="2123.63"/>
    <n v="0.15"/>
    <n v="1413.85"/>
    <s v="Concluída"/>
    <n v="2123.63"/>
    <n v="318.54450000000003"/>
    <n v="1805.0855000000001"/>
    <n v="1413.85"/>
    <n v="391.23550000000023"/>
    <n v="0.21674070286421346"/>
  </r>
  <r>
    <s v="VD-0334"/>
    <d v="2025-05-16T00:00:00"/>
    <x v="3"/>
    <x v="2"/>
    <s v="Loja Física"/>
    <s v="Bruno Lima"/>
    <s v="Acessórios"/>
    <s v="Relógio Fit"/>
    <n v="2"/>
    <n v="721.81"/>
    <n v="0.05"/>
    <n v="355.13"/>
    <s v="Concluída"/>
    <n v="1443.62"/>
    <n v="72.180999999999997"/>
    <n v="1371.4389999999999"/>
    <n v="710.26"/>
    <n v="661.17899999999986"/>
    <n v="0.48210602148546156"/>
  </r>
  <r>
    <s v="VD-0336"/>
    <d v="2025-05-16T00:00:00"/>
    <x v="7"/>
    <x v="3"/>
    <s v="Loja Física"/>
    <s v="Larissa Freitas"/>
    <s v="Esporte"/>
    <s v="Halteres 10kg"/>
    <n v="1"/>
    <n v="386.18"/>
    <n v="0.15"/>
    <n v="209.13"/>
    <s v="Concluída"/>
    <n v="386.18"/>
    <n v="57.927"/>
    <n v="328.25299999999999"/>
    <n v="209.13"/>
    <n v="119.12299999999999"/>
    <n v="0.36289995826390009"/>
  </r>
  <r>
    <s v="VD-0338"/>
    <d v="2025-05-16T00:00:00"/>
    <x v="1"/>
    <x v="0"/>
    <s v="E-commerce"/>
    <s v="Diego Alves"/>
    <s v="Informática"/>
    <s v="Fone Wave"/>
    <n v="2"/>
    <n v="262.61"/>
    <n v="0.15"/>
    <n v="125.79"/>
    <s v="Concluída"/>
    <n v="525.22"/>
    <n v="78.783000000000001"/>
    <n v="446.43700000000001"/>
    <n v="251.58"/>
    <n v="194.857"/>
    <n v="0.43647143941922373"/>
  </r>
  <r>
    <s v="VD-0288"/>
    <d v="2025-05-17T00:00:00"/>
    <x v="0"/>
    <x v="0"/>
    <s v="Marketplace"/>
    <s v="Marcos Silva"/>
    <s v="Esporte"/>
    <s v="Colchonete Pro"/>
    <n v="1"/>
    <n v="148.87"/>
    <n v="0.15"/>
    <n v="60.8"/>
    <s v="Concluída"/>
    <n v="148.87"/>
    <n v="22.330500000000001"/>
    <n v="126.5395"/>
    <n v="60.8"/>
    <n v="65.739500000000007"/>
    <n v="0.5195176209800102"/>
  </r>
  <r>
    <s v="VD-0308"/>
    <d v="2025-05-17T00:00:00"/>
    <x v="2"/>
    <x v="1"/>
    <s v="Marketplace"/>
    <s v="Giovana Melo"/>
    <s v="Beleza"/>
    <s v="Balança Smart"/>
    <n v="1"/>
    <n v="256.95"/>
    <n v="0.1"/>
    <n v="109.13"/>
    <s v="Concluída"/>
    <n v="256.95"/>
    <n v="25.695"/>
    <n v="231.255"/>
    <n v="109.13"/>
    <n v="122.125"/>
    <n v="0.52809668980130164"/>
  </r>
  <r>
    <s v="VD-0310"/>
    <d v="2025-05-17T00:00:00"/>
    <x v="5"/>
    <x v="1"/>
    <s v="Marketplace"/>
    <s v="Giovana Melo"/>
    <s v="Acessórios"/>
    <s v="Óculos Sol"/>
    <n v="1"/>
    <n v="392.62"/>
    <n v="0.05"/>
    <n v="178.85"/>
    <s v="Concluída"/>
    <n v="392.62"/>
    <n v="19.631"/>
    <n v="372.98900000000003"/>
    <n v="178.85"/>
    <n v="194.13900000000004"/>
    <n v="0.52049524248704393"/>
  </r>
  <r>
    <s v="VD-0322"/>
    <d v="2025-05-17T00:00:00"/>
    <x v="1"/>
    <x v="0"/>
    <s v="E-commerce"/>
    <s v="Bruno Lima"/>
    <s v="Esporte"/>
    <s v="Colchonete Pro"/>
    <n v="3"/>
    <n v="143.44999999999999"/>
    <n v="0.1"/>
    <n v="58.64"/>
    <s v="Concluída"/>
    <n v="430.34999999999997"/>
    <n v="43.034999999999997"/>
    <n v="387.31499999999994"/>
    <n v="175.92000000000002"/>
    <n v="211.39499999999992"/>
    <n v="0.54579605747259974"/>
  </r>
  <r>
    <s v="VD-0325"/>
    <d v="2025-05-17T00:00:00"/>
    <x v="7"/>
    <x v="3"/>
    <s v="Marketplace"/>
    <s v="Ana Costa"/>
    <s v="Acessórios"/>
    <s v="Relógio Fit"/>
    <n v="1"/>
    <n v="744.39"/>
    <n v="0.1"/>
    <n v="349.64"/>
    <s v="Concluída"/>
    <n v="744.39"/>
    <n v="74.439000000000007"/>
    <n v="669.95100000000002"/>
    <n v="349.64"/>
    <n v="320.31100000000004"/>
    <n v="0.47811108573612104"/>
  </r>
  <r>
    <s v="VD-0330"/>
    <d v="2025-05-17T00:00:00"/>
    <x v="5"/>
    <x v="1"/>
    <s v="Televendas"/>
    <s v="Felipe Martins"/>
    <s v="Informática"/>
    <s v="Mouse Pro"/>
    <n v="1"/>
    <n v="181.58"/>
    <n v="0.05"/>
    <n v="80.22"/>
    <s v="Concluída"/>
    <n v="181.58"/>
    <n v="9.0790000000000006"/>
    <n v="172.501"/>
    <n v="80.22"/>
    <n v="92.281000000000006"/>
    <n v="0.53495921762772392"/>
  </r>
  <r>
    <s v="VD-0345"/>
    <d v="2025-05-18T00:00:00"/>
    <x v="4"/>
    <x v="2"/>
    <s v="Marketplace"/>
    <s v="Marcos Silva"/>
    <s v="Informática"/>
    <s v="Monitor 27 Ultra"/>
    <n v="1"/>
    <n v="1219.3800000000001"/>
    <n v="0.05"/>
    <n v="844.35"/>
    <s v="Concluída"/>
    <n v="1219.3800000000001"/>
    <n v="60.969000000000008"/>
    <n v="1158.4110000000001"/>
    <n v="844.35"/>
    <n v="314.06100000000004"/>
    <n v="0.27111362029538738"/>
  </r>
  <r>
    <s v="VD-0283"/>
    <d v="2025-05-19T00:00:00"/>
    <x v="6"/>
    <x v="0"/>
    <s v="Loja Física"/>
    <s v="Larissa Freitas"/>
    <s v="Acessórios"/>
    <s v="Óculos Sol"/>
    <n v="1"/>
    <n v="397.06"/>
    <n v="0"/>
    <n v="172.87"/>
    <s v="Concluída"/>
    <n v="397.06"/>
    <n v="0"/>
    <n v="397.06"/>
    <n v="172.87"/>
    <n v="224.19"/>
    <n v="0.56462499370372232"/>
  </r>
  <r>
    <s v="VD-0290"/>
    <d v="2025-05-19T00:00:00"/>
    <x v="2"/>
    <x v="1"/>
    <s v="Televendas"/>
    <s v="Ana Costa"/>
    <s v="Casa"/>
    <s v="Panela Pressão 6L"/>
    <n v="1"/>
    <n v="420.47"/>
    <n v="0.1"/>
    <n v="238.84"/>
    <s v="Concluída"/>
    <n v="420.47"/>
    <n v="42.047000000000004"/>
    <n v="378.423"/>
    <n v="238.84"/>
    <n v="139.583"/>
    <n v="0.36885443009542229"/>
  </r>
  <r>
    <s v="VD-0294"/>
    <d v="2025-05-19T00:00:00"/>
    <x v="0"/>
    <x v="0"/>
    <s v="E-commerce"/>
    <s v="Larissa Freitas"/>
    <s v="Casa"/>
    <s v="Air Fryer 5L"/>
    <n v="2"/>
    <n v="726.94"/>
    <n v="0.1"/>
    <n v="401.81"/>
    <s v="Concluída"/>
    <n v="1453.88"/>
    <n v="145.38800000000001"/>
    <n v="1308.4920000000002"/>
    <n v="803.62"/>
    <n v="504.87200000000018"/>
    <n v="0.38584263411621939"/>
  </r>
  <r>
    <s v="VD-0281"/>
    <d v="2025-05-20T00:00:00"/>
    <x v="0"/>
    <x v="0"/>
    <s v="E-commerce"/>
    <s v="Ana Costa"/>
    <s v="Informática"/>
    <s v="Monitor 27 Ultra"/>
    <n v="1"/>
    <n v="1339.4"/>
    <n v="0.15"/>
    <n v="913.39"/>
    <s v="Concluída"/>
    <n v="1339.4"/>
    <n v="200.91"/>
    <n v="1138.49"/>
    <n v="913.39"/>
    <n v="225.10000000000002"/>
    <n v="0.19771803002222244"/>
  </r>
  <r>
    <s v="VD-0323"/>
    <d v="2025-05-20T00:00:00"/>
    <x v="7"/>
    <x v="3"/>
    <s v="Loja Física"/>
    <s v="Ana Costa"/>
    <s v="Casa"/>
    <s v="Panela Pressão 6L"/>
    <n v="1"/>
    <n v="475.84"/>
    <n v="0.15"/>
    <n v="255.55"/>
    <s v="Concluída"/>
    <n v="475.84"/>
    <n v="71.375999999999991"/>
    <n v="404.464"/>
    <n v="255.55"/>
    <n v="148.91399999999999"/>
    <n v="0.36817615412002053"/>
  </r>
  <r>
    <s v="VD-0274"/>
    <d v="2025-05-21T00:00:00"/>
    <x v="2"/>
    <x v="1"/>
    <s v="Loja Física"/>
    <s v="Bruno Lima"/>
    <s v="Informática"/>
    <s v="Fone Wave"/>
    <n v="1"/>
    <n v="232.71"/>
    <n v="0.08"/>
    <n v="109.56"/>
    <s v="Concluída"/>
    <n v="232.71"/>
    <n v="18.616800000000001"/>
    <n v="214.0932"/>
    <n v="109.56"/>
    <n v="104.53319999999999"/>
    <n v="0.48826025301130532"/>
  </r>
  <r>
    <s v="VD-0297"/>
    <d v="2025-05-21T00:00:00"/>
    <x v="4"/>
    <x v="2"/>
    <s v="E-commerce"/>
    <s v="Heitor Nunes"/>
    <s v="Beleza"/>
    <s v="Creme Facial"/>
    <n v="1"/>
    <n v="159.63999999999999"/>
    <n v="0.15"/>
    <n v="54.21"/>
    <s v="Concluída"/>
    <n v="159.63999999999999"/>
    <n v="23.945999999999998"/>
    <n v="135.69399999999999"/>
    <n v="54.21"/>
    <n v="81.48399999999998"/>
    <n v="0.60049817972791708"/>
  </r>
  <r>
    <s v="VD-0309"/>
    <d v="2025-05-21T00:00:00"/>
    <x v="1"/>
    <x v="0"/>
    <s v="Televendas"/>
    <s v="Bruno Lima"/>
    <s v="Informática"/>
    <s v="Fone Wave"/>
    <n v="1"/>
    <n v="229.59"/>
    <n v="0.1"/>
    <n v="109.54"/>
    <s v="Concluída"/>
    <n v="229.59"/>
    <n v="22.959000000000003"/>
    <n v="206.631"/>
    <n v="109.54"/>
    <n v="97.090999999999994"/>
    <n v="0.46987625283718315"/>
  </r>
  <r>
    <s v="VD-0318"/>
    <d v="2025-05-21T00:00:00"/>
    <x v="1"/>
    <x v="0"/>
    <s v="Loja Física"/>
    <s v="Elisa Rocha"/>
    <s v="Acessórios"/>
    <s v="Relógio Fit"/>
    <n v="1"/>
    <n v="688.99"/>
    <n v="0.1"/>
    <n v="322.93"/>
    <s v="Concluída"/>
    <n v="688.99"/>
    <n v="68.899000000000001"/>
    <n v="620.09100000000001"/>
    <n v="322.93"/>
    <n v="297.161"/>
    <n v="0.47922159812027587"/>
  </r>
  <r>
    <s v="VD-0347"/>
    <d v="2025-05-21T00:00:00"/>
    <x v="6"/>
    <x v="0"/>
    <s v="Marketplace"/>
    <s v="Marcos Silva"/>
    <s v="Casa"/>
    <s v="Kit Lençol 4p"/>
    <n v="1"/>
    <n v="302.49"/>
    <n v="0.15"/>
    <n v="128.99"/>
    <s v="Concluída"/>
    <n v="302.49"/>
    <n v="45.3735"/>
    <n v="257.11650000000003"/>
    <n v="128.99"/>
    <n v="128.12650000000002"/>
    <n v="0.49832080010423291"/>
  </r>
  <r>
    <s v="VD-0300"/>
    <d v="2025-05-23T00:00:00"/>
    <x v="4"/>
    <x v="2"/>
    <s v="Loja Física"/>
    <s v="Ana Costa"/>
    <s v="Casa"/>
    <s v="Air Fryer 5L"/>
    <n v="1"/>
    <n v="689.05"/>
    <n v="0.1"/>
    <n v="394.69"/>
    <s v="Concluída"/>
    <n v="689.05"/>
    <n v="68.905000000000001"/>
    <n v="620.14499999999998"/>
    <n v="394.69"/>
    <n v="225.45499999999998"/>
    <n v="0.36355207249917354"/>
  </r>
  <r>
    <s v="VD-0344"/>
    <d v="2025-05-23T00:00:00"/>
    <x v="5"/>
    <x v="1"/>
    <s v="Marketplace"/>
    <s v="Marcos Silva"/>
    <s v="Acessórios"/>
    <s v="Óculos Sol"/>
    <n v="1"/>
    <n v="403.5"/>
    <n v="0.25"/>
    <n v="180.4"/>
    <s v="Concluída"/>
    <n v="403.5"/>
    <n v="100.875"/>
    <n v="302.625"/>
    <n v="180.4"/>
    <n v="122.22499999999999"/>
    <n v="0.40388269310202396"/>
  </r>
  <r>
    <s v="VD-0285"/>
    <d v="2025-05-24T00:00:00"/>
    <x v="3"/>
    <x v="2"/>
    <s v="Loja Física"/>
    <s v="Diego Alves"/>
    <s v="Informática"/>
    <s v="Fone Wave"/>
    <n v="1"/>
    <n v="255.49"/>
    <n v="0.08"/>
    <n v="122.35"/>
    <s v="Concluída"/>
    <n v="255.49"/>
    <n v="20.4392"/>
    <n v="235.05080000000001"/>
    <n v="122.35"/>
    <n v="112.70080000000002"/>
    <n v="0.47947422429534386"/>
  </r>
  <r>
    <s v="VD-0277"/>
    <d v="2025-05-25T00:00:00"/>
    <x v="6"/>
    <x v="0"/>
    <s v="E-commerce"/>
    <s v="Diego Alves"/>
    <s v="Casa"/>
    <s v="Kit Lençol 4p"/>
    <n v="1"/>
    <n v="292.43"/>
    <n v="0.1"/>
    <n v="127"/>
    <s v="Concluída"/>
    <n v="292.43"/>
    <n v="29.243000000000002"/>
    <n v="263.18700000000001"/>
    <n v="127"/>
    <n v="136.18700000000001"/>
    <n v="0.51745336965731592"/>
  </r>
  <r>
    <s v="VD-0333"/>
    <d v="2025-05-25T00:00:00"/>
    <x v="0"/>
    <x v="0"/>
    <s v="Televendas"/>
    <s v="Giovana Melo"/>
    <s v="Informática"/>
    <s v="Monitor 27 Ultra"/>
    <n v="2"/>
    <n v="1300.18"/>
    <n v="0.05"/>
    <n v="894.55"/>
    <s v="Concluída"/>
    <n v="2600.36"/>
    <n v="130.018"/>
    <n v="2470.3420000000001"/>
    <n v="1789.1"/>
    <n v="681.24200000000019"/>
    <n v="0.27576829443048784"/>
  </r>
  <r>
    <s v="VD-0343"/>
    <d v="2025-05-25T00:00:00"/>
    <x v="1"/>
    <x v="0"/>
    <s v="E-commerce"/>
    <s v="Elisa Rocha"/>
    <s v="Acessórios"/>
    <s v="Óculos Sol"/>
    <n v="1"/>
    <n v="376.54"/>
    <n v="0.2"/>
    <n v="164.76"/>
    <s v="Concluída"/>
    <n v="376.54"/>
    <n v="75.308000000000007"/>
    <n v="301.23200000000003"/>
    <n v="164.76"/>
    <n v="136.47200000000004"/>
    <n v="0.45304615711478202"/>
  </r>
  <r>
    <s v="VD-0302"/>
    <d v="2025-05-26T00:00:00"/>
    <x v="2"/>
    <x v="1"/>
    <s v="E-commerce"/>
    <s v="Marcos Silva"/>
    <s v="Acessórios"/>
    <s v="Relógio Fit"/>
    <n v="1"/>
    <n v="739.38"/>
    <n v="0.15"/>
    <n v="351.38"/>
    <s v="Concluída"/>
    <n v="739.38"/>
    <n v="110.907"/>
    <n v="628.47299999999996"/>
    <n v="351.38"/>
    <n v="277.09299999999996"/>
    <n v="0.44089881347329157"/>
  </r>
  <r>
    <s v="VD-0306"/>
    <d v="2025-05-26T00:00:00"/>
    <x v="5"/>
    <x v="1"/>
    <s v="E-commerce"/>
    <s v="Ana Costa"/>
    <s v="Acessórios"/>
    <s v="Relógio Fit"/>
    <n v="2"/>
    <n v="708.07"/>
    <n v="0.05"/>
    <n v="344.34"/>
    <s v="Concluída"/>
    <n v="1416.14"/>
    <n v="70.807000000000002"/>
    <n v="1345.3330000000001"/>
    <n v="688.68"/>
    <n v="656.65300000000013"/>
    <n v="0.48809699903295323"/>
  </r>
  <r>
    <s v="VD-0316"/>
    <d v="2025-05-27T00:00:00"/>
    <x v="1"/>
    <x v="0"/>
    <s v="E-commerce"/>
    <s v="Giovana Melo"/>
    <s v="Beleza"/>
    <s v="Creme Facial"/>
    <n v="1"/>
    <n v="139.11000000000001"/>
    <n v="0.05"/>
    <n v="48.68"/>
    <s v="Concluída"/>
    <n v="139.11000000000001"/>
    <n v="6.9555000000000007"/>
    <n v="132.15450000000001"/>
    <n v="48.68"/>
    <n v="83.474500000000006"/>
    <n v="0.63164326602575016"/>
  </r>
  <r>
    <s v="VD-0305"/>
    <d v="2025-05-28T00:00:00"/>
    <x v="7"/>
    <x v="3"/>
    <s v="Televendas"/>
    <s v="João Pedro"/>
    <s v="Casa"/>
    <s v="Panela Pressão 6L"/>
    <n v="1"/>
    <n v="459.77"/>
    <n v="0.1"/>
    <n v="262.02"/>
    <s v="Cancelada"/>
    <n v="459.77"/>
    <n v="45.977000000000004"/>
    <n v="0"/>
    <n v="0"/>
    <n v="0"/>
    <s v=""/>
  </r>
  <r>
    <s v="VD-0319"/>
    <d v="2025-05-28T00:00:00"/>
    <x v="7"/>
    <x v="3"/>
    <s v="Televendas"/>
    <s v="Ana Costa"/>
    <s v="Casa"/>
    <s v="Tapete Sala"/>
    <n v="1"/>
    <n v="542.41999999999996"/>
    <n v="0.03"/>
    <n v="277.60000000000002"/>
    <s v="Concluída"/>
    <n v="542.41999999999996"/>
    <n v="16.272599999999997"/>
    <n v="526.14739999999995"/>
    <n v="277.60000000000002"/>
    <n v="248.54739999999993"/>
    <n v="0.47239119683951675"/>
  </r>
  <r>
    <s v="VD-0373"/>
    <d v="2025-06-01T00:00:00"/>
    <x v="1"/>
    <x v="0"/>
    <s v="Marketplace"/>
    <s v="Isabela Reis"/>
    <s v="Casa"/>
    <s v="Panela Pressão 6L"/>
    <n v="1"/>
    <n v="417.98"/>
    <n v="0.2"/>
    <n v="230.18"/>
    <s v="Concluída"/>
    <n v="417.98"/>
    <n v="83.596000000000004"/>
    <n v="334.38400000000001"/>
    <n v="230.18"/>
    <n v="104.20400000000001"/>
    <n v="0.3116297430499067"/>
  </r>
  <r>
    <s v="VD-0402"/>
    <d v="2025-06-01T00:00:00"/>
    <x v="7"/>
    <x v="3"/>
    <s v="E-commerce"/>
    <s v="Marcos Silva"/>
    <s v="Beleza"/>
    <s v="Creme Facial"/>
    <n v="1"/>
    <n v="155.6"/>
    <n v="0.03"/>
    <n v="54.5"/>
    <s v="Concluída"/>
    <n v="155.6"/>
    <n v="4.6679999999999993"/>
    <n v="150.93199999999999"/>
    <n v="54.5"/>
    <n v="96.431999999999988"/>
    <n v="0.63891023772294808"/>
  </r>
  <r>
    <s v="VD-0403"/>
    <d v="2025-06-01T00:00:00"/>
    <x v="5"/>
    <x v="1"/>
    <s v="E-commerce"/>
    <s v="Ana Costa"/>
    <s v="Informática"/>
    <s v="Teclado Mecânico"/>
    <n v="1"/>
    <n v="416.8"/>
    <n v="0.15"/>
    <n v="242.15"/>
    <s v="Concluída"/>
    <n v="416.8"/>
    <n v="62.519999999999996"/>
    <n v="354.28000000000003"/>
    <n v="242.15"/>
    <n v="112.13000000000002"/>
    <n v="0.31650107259794519"/>
  </r>
  <r>
    <s v="VD-0404"/>
    <d v="2025-06-01T00:00:00"/>
    <x v="5"/>
    <x v="1"/>
    <s v="Marketplace"/>
    <s v="Felipe Martins"/>
    <s v="Esporte"/>
    <s v="Esteira Compacta"/>
    <n v="1"/>
    <n v="2627.18"/>
    <n v="0.2"/>
    <n v="1908"/>
    <s v="Concluída"/>
    <n v="2627.18"/>
    <n v="525.43600000000004"/>
    <n v="2101.7439999999997"/>
    <n v="1908"/>
    <n v="193.74399999999969"/>
    <n v="9.2182492254051743E-2"/>
  </r>
  <r>
    <s v="VD-0420"/>
    <d v="2025-06-01T00:00:00"/>
    <x v="4"/>
    <x v="2"/>
    <s v="E-commerce"/>
    <s v="Camila Souza"/>
    <s v="Informática"/>
    <s v="Monitor 27 Ultra"/>
    <n v="1"/>
    <n v="1308.97"/>
    <n v="0.03"/>
    <n v="906.24"/>
    <s v="Concluída"/>
    <n v="1308.97"/>
    <n v="39.269100000000002"/>
    <n v="1269.7009"/>
    <n v="906.24"/>
    <n v="363.46090000000004"/>
    <n v="0.28625710196787291"/>
  </r>
  <r>
    <s v="VD-0376"/>
    <d v="2025-06-02T00:00:00"/>
    <x v="5"/>
    <x v="1"/>
    <s v="Loja Física"/>
    <s v="Diego Alves"/>
    <s v="Beleza"/>
    <s v="Secador Pro"/>
    <n v="1"/>
    <n v="428.99"/>
    <n v="0.1"/>
    <n v="230.41"/>
    <s v="Concluída"/>
    <n v="428.99"/>
    <n v="42.899000000000001"/>
    <n v="386.09100000000001"/>
    <n v="230.41"/>
    <n v="155.68100000000001"/>
    <n v="0.4032235923655304"/>
  </r>
  <r>
    <s v="VD-0385"/>
    <d v="2025-06-02T00:00:00"/>
    <x v="2"/>
    <x v="1"/>
    <s v="Loja Física"/>
    <s v="João Pedro"/>
    <s v="Esporte"/>
    <s v="Esteira Compacta"/>
    <n v="1"/>
    <n v="2905.28"/>
    <n v="0"/>
    <n v="2073.2199999999998"/>
    <s v="Concluída"/>
    <n v="2905.28"/>
    <n v="0"/>
    <n v="2905.28"/>
    <n v="2073.2199999999998"/>
    <n v="832.0600000000004"/>
    <n v="0.28639580350258853"/>
  </r>
  <r>
    <s v="VD-0416"/>
    <d v="2025-06-03T00:00:00"/>
    <x v="0"/>
    <x v="0"/>
    <s v="E-commerce"/>
    <s v="Elisa Rocha"/>
    <s v="Beleza"/>
    <s v="Balança Smart"/>
    <n v="2"/>
    <n v="255.02"/>
    <n v="0.05"/>
    <n v="109.83"/>
    <s v="Concluída"/>
    <n v="510.04"/>
    <n v="25.502000000000002"/>
    <n v="484.53800000000001"/>
    <n v="219.66"/>
    <n v="264.87800000000004"/>
    <n v="0.54666094300137458"/>
  </r>
  <r>
    <s v="VD-0388"/>
    <d v="2025-06-04T00:00:00"/>
    <x v="4"/>
    <x v="2"/>
    <s v="E-commerce"/>
    <s v="Camila Souza"/>
    <s v="Informática"/>
    <s v="Fone Wave"/>
    <n v="2"/>
    <n v="252.96"/>
    <n v="0.2"/>
    <n v="123.01"/>
    <s v="Concluída"/>
    <n v="505.92"/>
    <n v="101.18400000000001"/>
    <n v="404.73599999999999"/>
    <n v="246.02"/>
    <n v="158.71599999999998"/>
    <n v="0.39214697975964574"/>
  </r>
  <r>
    <s v="VD-0380"/>
    <d v="2025-06-05T00:00:00"/>
    <x v="0"/>
    <x v="0"/>
    <s v="Loja Física"/>
    <s v="Felipe Martins"/>
    <s v="Acessórios"/>
    <s v="Relógio Fit"/>
    <n v="1"/>
    <n v="690.29"/>
    <n v="0.15"/>
    <n v="329.58"/>
    <s v="Concluída"/>
    <n v="690.29"/>
    <n v="103.54349999999999"/>
    <n v="586.74649999999997"/>
    <n v="329.58"/>
    <n v="257.16649999999998"/>
    <n v="0.43829234601314199"/>
  </r>
  <r>
    <s v="VD-0411"/>
    <d v="2025-06-05T00:00:00"/>
    <x v="0"/>
    <x v="0"/>
    <s v="E-commerce"/>
    <s v="Marcos Silva"/>
    <s v="Acessórios"/>
    <s v="Relógio Fit"/>
    <n v="1"/>
    <n v="669.68"/>
    <n v="0.05"/>
    <n v="328.45"/>
    <s v="Concluída"/>
    <n v="669.68"/>
    <n v="33.484000000000002"/>
    <n v="636.19599999999991"/>
    <n v="328.45"/>
    <n v="307.74599999999992"/>
    <n v="0.48372828499393261"/>
  </r>
  <r>
    <s v="VD-0423"/>
    <d v="2025-06-05T00:00:00"/>
    <x v="3"/>
    <x v="2"/>
    <s v="Televendas"/>
    <s v="Giovana Melo"/>
    <s v="Beleza"/>
    <s v="Creme Facial"/>
    <n v="1"/>
    <n v="153.81"/>
    <n v="0.05"/>
    <n v="53.83"/>
    <s v="Concluída"/>
    <n v="153.81"/>
    <n v="7.6905000000000001"/>
    <n v="146.11950000000002"/>
    <n v="53.83"/>
    <n v="92.289500000000018"/>
    <n v="0.63160290036579658"/>
  </r>
  <r>
    <s v="VD-0349"/>
    <d v="2025-06-06T00:00:00"/>
    <x v="4"/>
    <x v="2"/>
    <s v="Marketplace"/>
    <s v="Ana Costa"/>
    <s v="Casa"/>
    <s v="Kit Lençol 4p"/>
    <n v="3"/>
    <n v="306.85000000000002"/>
    <n v="0.1"/>
    <n v="130.99"/>
    <s v="Concluída"/>
    <n v="920.55000000000007"/>
    <n v="92.055000000000007"/>
    <n v="828.49500000000012"/>
    <n v="392.97"/>
    <n v="435.52500000000009"/>
    <n v="0.52568211033259105"/>
  </r>
  <r>
    <s v="VD-0408"/>
    <d v="2025-06-06T00:00:00"/>
    <x v="1"/>
    <x v="0"/>
    <s v="Marketplace"/>
    <s v="Giovana Melo"/>
    <s v="Beleza"/>
    <s v="Creme Facial"/>
    <n v="1"/>
    <n v="153.65"/>
    <n v="0.1"/>
    <n v="53.93"/>
    <s v="Concluída"/>
    <n v="153.65"/>
    <n v="15.365000000000002"/>
    <n v="138.285"/>
    <n v="53.93"/>
    <n v="84.35499999999999"/>
    <n v="0.6100083161586578"/>
  </r>
  <r>
    <s v="VD-0348"/>
    <d v="2025-06-07T00:00:00"/>
    <x v="0"/>
    <x v="0"/>
    <s v="Loja Física"/>
    <s v="Isabela Reis"/>
    <s v="Acessórios"/>
    <s v="Relógio Fit"/>
    <n v="2"/>
    <n v="665.2"/>
    <n v="0"/>
    <n v="310.64"/>
    <s v="Concluída"/>
    <n v="1330.4"/>
    <n v="0"/>
    <n v="1330.4"/>
    <n v="621.28"/>
    <n v="709.12000000000012"/>
    <n v="0.53301262778111846"/>
  </r>
  <r>
    <s v="VD-0397"/>
    <d v="2025-06-07T00:00:00"/>
    <x v="5"/>
    <x v="1"/>
    <s v="Marketplace"/>
    <s v="Elisa Rocha"/>
    <s v="Casa"/>
    <s v="Kit Lençol 4p"/>
    <n v="1"/>
    <n v="303.51"/>
    <n v="0.05"/>
    <n v="138.13"/>
    <s v="Concluída"/>
    <n v="303.51"/>
    <n v="15.1755"/>
    <n v="288.33449999999999"/>
    <n v="138.13"/>
    <n v="150.2045"/>
    <n v="0.5209383545846924"/>
  </r>
  <r>
    <s v="VD-0360"/>
    <d v="2025-06-08T00:00:00"/>
    <x v="7"/>
    <x v="3"/>
    <s v="E-commerce"/>
    <s v="Diego Alves"/>
    <s v="Informática"/>
    <s v="Notebook Nova 14"/>
    <n v="2"/>
    <n v="3894.08"/>
    <n v="0.1"/>
    <n v="2922.7"/>
    <s v="Concluída"/>
    <n v="7788.16"/>
    <n v="778.81600000000003"/>
    <n v="7009.3440000000001"/>
    <n v="5845.4"/>
    <n v="1163.9440000000004"/>
    <n v="0.16605605317701633"/>
  </r>
  <r>
    <s v="VD-0379"/>
    <d v="2025-06-08T00:00:00"/>
    <x v="5"/>
    <x v="1"/>
    <s v="Loja Física"/>
    <s v="João Pedro"/>
    <s v="Acessórios"/>
    <s v="Mochila Urban"/>
    <n v="1"/>
    <n v="322.92"/>
    <n v="0.05"/>
    <n v="152.62"/>
    <s v="Concluída"/>
    <n v="322.92"/>
    <n v="16.146000000000001"/>
    <n v="306.774"/>
    <n v="152.62"/>
    <n v="154.154"/>
    <n v="0.50250021188236293"/>
  </r>
  <r>
    <s v="VD-0355"/>
    <d v="2025-06-09T00:00:00"/>
    <x v="3"/>
    <x v="2"/>
    <s v="Loja Física"/>
    <s v="Elisa Rocha"/>
    <s v="Esporte"/>
    <s v="Halteres 10kg"/>
    <n v="1"/>
    <n v="356.4"/>
    <n v="0.15"/>
    <n v="203.21"/>
    <s v="Devolvida"/>
    <n v="356.4"/>
    <n v="53.459999999999994"/>
    <n v="0"/>
    <n v="0"/>
    <n v="0"/>
    <s v=""/>
  </r>
  <r>
    <s v="VD-0365"/>
    <d v="2025-06-09T00:00:00"/>
    <x v="1"/>
    <x v="0"/>
    <s v="E-commerce"/>
    <s v="Elisa Rocha"/>
    <s v="Informática"/>
    <s v="Teclado Mecânico"/>
    <n v="1"/>
    <n v="398.29"/>
    <n v="0.1"/>
    <n v="232.42"/>
    <s v="Concluída"/>
    <n v="398.29"/>
    <n v="39.829000000000008"/>
    <n v="358.46100000000001"/>
    <n v="232.42"/>
    <n v="126.04100000000003"/>
    <n v="0.35161705178527097"/>
  </r>
  <r>
    <s v="VD-0366"/>
    <d v="2025-06-09T00:00:00"/>
    <x v="3"/>
    <x v="2"/>
    <s v="Marketplace"/>
    <s v="Marcos Silva"/>
    <s v="Acessórios"/>
    <s v="Relógio Fit"/>
    <n v="1"/>
    <n v="750.1"/>
    <n v="0.1"/>
    <n v="356.46"/>
    <s v="Cancelada"/>
    <n v="750.1"/>
    <n v="75.010000000000005"/>
    <n v="0"/>
    <n v="0"/>
    <n v="0"/>
    <s v=""/>
  </r>
  <r>
    <s v="VD-0369"/>
    <d v="2025-06-09T00:00:00"/>
    <x v="1"/>
    <x v="0"/>
    <s v="Loja Física"/>
    <s v="Bruno Lima"/>
    <s v="Esporte"/>
    <s v="Colchonete Pro"/>
    <n v="1"/>
    <n v="141.03"/>
    <n v="0.05"/>
    <n v="58.2"/>
    <s v="Concluída"/>
    <n v="141.03"/>
    <n v="7.0515000000000008"/>
    <n v="133.9785"/>
    <n v="58.2"/>
    <n v="75.778499999999994"/>
    <n v="0.56560194359542759"/>
  </r>
  <r>
    <s v="VD-0409"/>
    <d v="2025-06-09T00:00:00"/>
    <x v="5"/>
    <x v="1"/>
    <s v="Loja Física"/>
    <s v="Ana Costa"/>
    <s v="Beleza"/>
    <s v="Creme Facial"/>
    <n v="1"/>
    <n v="148.76"/>
    <n v="0"/>
    <n v="50.81"/>
    <s v="Concluída"/>
    <n v="148.76"/>
    <n v="0"/>
    <n v="148.76"/>
    <n v="50.81"/>
    <n v="97.949999999999989"/>
    <n v="0.65844312987362186"/>
  </r>
  <r>
    <s v="VD-0367"/>
    <d v="2025-06-10T00:00:00"/>
    <x v="6"/>
    <x v="0"/>
    <s v="Marketplace"/>
    <s v="Ana Costa"/>
    <s v="Informática"/>
    <s v="Mouse Pro"/>
    <n v="2"/>
    <n v="188.68"/>
    <n v="0.25"/>
    <n v="83.36"/>
    <s v="Concluída"/>
    <n v="377.36"/>
    <n v="94.34"/>
    <n v="283.02"/>
    <n v="166.72"/>
    <n v="116.29999999999998"/>
    <n v="0.41092502296657479"/>
  </r>
  <r>
    <s v="VD-0371"/>
    <d v="2025-06-10T00:00:00"/>
    <x v="4"/>
    <x v="2"/>
    <s v="E-commerce"/>
    <s v="Ana Costa"/>
    <s v="Beleza"/>
    <s v="Creme Facial"/>
    <n v="1"/>
    <n v="143.72"/>
    <n v="0.03"/>
    <n v="51.5"/>
    <s v="Concluída"/>
    <n v="143.72"/>
    <n v="4.3115999999999994"/>
    <n v="139.4084"/>
    <n v="51.5"/>
    <n v="87.9084"/>
    <n v="0.63058180138356079"/>
  </r>
  <r>
    <s v="VD-0375"/>
    <d v="2025-06-11T00:00:00"/>
    <x v="0"/>
    <x v="0"/>
    <s v="E-commerce"/>
    <s v="Heitor Nunes"/>
    <s v="Casa"/>
    <s v="Kit Lençol 4p"/>
    <n v="2"/>
    <n v="287.87"/>
    <n v="0.03"/>
    <n v="128.53"/>
    <s v="Concluída"/>
    <n v="575.74"/>
    <n v="17.272199999999998"/>
    <n v="558.46780000000001"/>
    <n v="257.06"/>
    <n v="301.40780000000001"/>
    <n v="0.53970488540252459"/>
  </r>
  <r>
    <s v="VD-0393"/>
    <d v="2025-06-11T00:00:00"/>
    <x v="1"/>
    <x v="0"/>
    <s v="Marketplace"/>
    <s v="Bruno Lima"/>
    <s v="Informática"/>
    <s v="Notebook Nova 14"/>
    <n v="1"/>
    <n v="3638.2"/>
    <n v="0.2"/>
    <n v="2759.07"/>
    <s v="Concluída"/>
    <n v="3638.2"/>
    <n v="727.64"/>
    <n v="2910.56"/>
    <n v="2759.07"/>
    <n v="151.48999999999978"/>
    <n v="5.2048403056456416E-2"/>
  </r>
  <r>
    <s v="VD-0359"/>
    <d v="2025-06-12T00:00:00"/>
    <x v="5"/>
    <x v="1"/>
    <s v="Loja Física"/>
    <s v="Elisa Rocha"/>
    <s v="Informática"/>
    <s v="Monitor 27 Ultra"/>
    <n v="1"/>
    <n v="1241.52"/>
    <n v="0.15"/>
    <n v="886.23"/>
    <s v="Concluída"/>
    <n v="1241.52"/>
    <n v="186.22799999999998"/>
    <n v="1055.2919999999999"/>
    <n v="886.23"/>
    <n v="169.0619999999999"/>
    <n v="0.16020400040936528"/>
  </r>
  <r>
    <s v="VD-0382"/>
    <d v="2025-06-12T00:00:00"/>
    <x v="2"/>
    <x v="1"/>
    <s v="E-commerce"/>
    <s v="Isabela Reis"/>
    <s v="Informática"/>
    <s v="Fone Wave"/>
    <n v="1"/>
    <n v="237.5"/>
    <n v="0.05"/>
    <n v="114.83"/>
    <s v="Devolvida"/>
    <n v="237.5"/>
    <n v="11.875"/>
    <n v="0"/>
    <n v="0"/>
    <n v="0"/>
    <s v=""/>
  </r>
  <r>
    <s v="VD-0383"/>
    <d v="2025-06-12T00:00:00"/>
    <x v="0"/>
    <x v="0"/>
    <s v="E-commerce"/>
    <s v="Diego Alves"/>
    <s v="Casa"/>
    <s v="Air Fryer 5L"/>
    <n v="1"/>
    <n v="668.21"/>
    <n v="0.05"/>
    <n v="375.06"/>
    <s v="Concluída"/>
    <n v="668.21"/>
    <n v="33.410500000000006"/>
    <n v="634.79950000000008"/>
    <n v="375.06"/>
    <n v="259.73950000000008"/>
    <n v="0.40916777659717762"/>
  </r>
  <r>
    <s v="VD-0394"/>
    <d v="2025-06-12T00:00:00"/>
    <x v="7"/>
    <x v="3"/>
    <s v="E-commerce"/>
    <s v="Marcos Silva"/>
    <s v="Informática"/>
    <s v="Notebook Nova 14"/>
    <n v="1"/>
    <n v="4133.7"/>
    <n v="0.05"/>
    <n v="3177.2"/>
    <s v="Concluída"/>
    <n v="4133.7"/>
    <n v="206.685"/>
    <n v="3927.0149999999999"/>
    <n v="3177.2"/>
    <n v="749.81500000000005"/>
    <n v="0.19093764602376107"/>
  </r>
  <r>
    <s v="VD-0415"/>
    <d v="2025-06-12T00:00:00"/>
    <x v="4"/>
    <x v="2"/>
    <s v="Televendas"/>
    <s v="Felipe Martins"/>
    <s v="Acessórios"/>
    <s v="Relógio Fit"/>
    <n v="1"/>
    <n v="670.66"/>
    <n v="0.12"/>
    <n v="320.16000000000003"/>
    <s v="Concluída"/>
    <n v="670.66"/>
    <n v="80.479199999999992"/>
    <n v="590.18079999999998"/>
    <n v="320.16000000000003"/>
    <n v="270.02079999999995"/>
    <n v="0.45752216947755664"/>
  </r>
  <r>
    <s v="VD-0352"/>
    <d v="2025-06-13T00:00:00"/>
    <x v="2"/>
    <x v="1"/>
    <s v="Marketplace"/>
    <s v="Ana Costa"/>
    <s v="Beleza"/>
    <s v="Balança Smart"/>
    <n v="1"/>
    <n v="256.49"/>
    <n v="0.1"/>
    <n v="110.48"/>
    <s v="Concluída"/>
    <n v="256.49"/>
    <n v="25.649000000000001"/>
    <n v="230.84100000000001"/>
    <n v="110.48"/>
    <n v="120.361"/>
    <n v="0.52140217725620663"/>
  </r>
  <r>
    <s v="VD-0368"/>
    <d v="2025-06-13T00:00:00"/>
    <x v="5"/>
    <x v="1"/>
    <s v="E-commerce"/>
    <s v="Camila Souza"/>
    <s v="Beleza"/>
    <s v="Secador Pro"/>
    <n v="2"/>
    <n v="448.87"/>
    <n v="0.15"/>
    <n v="256.27999999999997"/>
    <s v="Concluída"/>
    <n v="897.74"/>
    <n v="134.661"/>
    <n v="763.07899999999995"/>
    <n v="512.55999999999995"/>
    <n v="250.51900000000001"/>
    <n v="0.328300215311914"/>
  </r>
  <r>
    <s v="VD-0401"/>
    <d v="2025-06-13T00:00:00"/>
    <x v="6"/>
    <x v="0"/>
    <s v="Marketplace"/>
    <s v="Diego Alves"/>
    <s v="Acessórios"/>
    <s v="Relógio Fit"/>
    <n v="2"/>
    <n v="745.18"/>
    <n v="0.05"/>
    <n v="348.91"/>
    <s v="Concluída"/>
    <n v="1490.36"/>
    <n v="74.518000000000001"/>
    <n v="1415.8419999999999"/>
    <n v="697.82"/>
    <n v="718.02199999999982"/>
    <n v="0.50713427063189243"/>
  </r>
  <r>
    <s v="VD-0419"/>
    <d v="2025-06-13T00:00:00"/>
    <x v="4"/>
    <x v="2"/>
    <s v="E-commerce"/>
    <s v="Giovana Melo"/>
    <s v="Informática"/>
    <s v="Mouse Pro"/>
    <n v="2"/>
    <n v="201.64"/>
    <n v="0.15"/>
    <n v="91.7"/>
    <s v="Concluída"/>
    <n v="403.28"/>
    <n v="60.49199999999999"/>
    <n v="342.78800000000001"/>
    <n v="183.4"/>
    <n v="159.38800000000001"/>
    <n v="0.46497543671307046"/>
  </r>
  <r>
    <s v="VD-0351"/>
    <d v="2025-06-14T00:00:00"/>
    <x v="7"/>
    <x v="3"/>
    <s v="Marketplace"/>
    <s v="Larissa Freitas"/>
    <s v="Acessórios"/>
    <s v="Óculos Sol"/>
    <n v="1"/>
    <n v="383.74"/>
    <n v="0.2"/>
    <n v="172.1"/>
    <s v="Concluída"/>
    <n v="383.74"/>
    <n v="76.748000000000005"/>
    <n v="306.99200000000002"/>
    <n v="172.1"/>
    <n v="134.89200000000002"/>
    <n v="0.43939907228852876"/>
  </r>
  <r>
    <s v="VD-0405"/>
    <d v="2025-06-14T00:00:00"/>
    <x v="6"/>
    <x v="0"/>
    <s v="E-commerce"/>
    <s v="Camila Souza"/>
    <s v="Beleza"/>
    <s v="Balança Smart"/>
    <n v="1"/>
    <n v="243"/>
    <n v="0.1"/>
    <n v="106.42"/>
    <s v="Concluída"/>
    <n v="243"/>
    <n v="24.3"/>
    <n v="218.7"/>
    <n v="106.42"/>
    <n v="112.27999999999999"/>
    <n v="0.51339734796524916"/>
  </r>
  <r>
    <s v="VD-0362"/>
    <d v="2025-06-15T00:00:00"/>
    <x v="2"/>
    <x v="1"/>
    <s v="Televendas"/>
    <s v="Elisa Rocha"/>
    <s v="Acessórios"/>
    <s v="Óculos Sol"/>
    <n v="1"/>
    <n v="374.13"/>
    <n v="0.12"/>
    <n v="161.49"/>
    <s v="Concluída"/>
    <n v="374.13"/>
    <n v="44.895599999999995"/>
    <n v="329.23439999999999"/>
    <n v="161.49"/>
    <n v="167.74439999999998"/>
    <n v="0.50949839992418766"/>
  </r>
  <r>
    <s v="VD-0374"/>
    <d v="2025-06-15T00:00:00"/>
    <x v="2"/>
    <x v="1"/>
    <s v="Loja Física"/>
    <s v="Elisa Rocha"/>
    <s v="Beleza"/>
    <s v="Secador Pro"/>
    <n v="1"/>
    <n v="444.94"/>
    <n v="0.05"/>
    <n v="241.94"/>
    <s v="Concluída"/>
    <n v="444.94"/>
    <n v="22.247"/>
    <n v="422.69299999999998"/>
    <n v="241.94"/>
    <n v="180.75299999999999"/>
    <n v="0.42762241153745151"/>
  </r>
  <r>
    <s v="VD-0381"/>
    <d v="2025-06-15T00:00:00"/>
    <x v="3"/>
    <x v="2"/>
    <s v="Loja Física"/>
    <s v="Elisa Rocha"/>
    <s v="Esporte"/>
    <s v="Halteres 10kg"/>
    <n v="1"/>
    <n v="362.26"/>
    <n v="0.1"/>
    <n v="196.82"/>
    <s v="Concluída"/>
    <n v="362.26"/>
    <n v="36.225999999999999"/>
    <n v="326.03399999999999"/>
    <n v="196.82"/>
    <n v="129.214"/>
    <n v="0.39632062913683852"/>
  </r>
  <r>
    <s v="VD-0407"/>
    <d v="2025-06-15T00:00:00"/>
    <x v="0"/>
    <x v="0"/>
    <s v="E-commerce"/>
    <s v="João Pedro"/>
    <s v="Esporte"/>
    <s v="Halteres 10kg"/>
    <n v="1"/>
    <n v="387.03"/>
    <n v="0.1"/>
    <n v="219.64"/>
    <s v="Concluída"/>
    <n v="387.03"/>
    <n v="38.703000000000003"/>
    <n v="348.327"/>
    <n v="219.64"/>
    <n v="128.68700000000001"/>
    <n v="0.36944308078328703"/>
  </r>
  <r>
    <s v="VD-0357"/>
    <d v="2025-06-16T00:00:00"/>
    <x v="3"/>
    <x v="2"/>
    <s v="Marketplace"/>
    <s v="Felipe Martins"/>
    <s v="Esporte"/>
    <s v="Bike Urbana"/>
    <n v="1"/>
    <n v="2146.52"/>
    <n v="0.1"/>
    <n v="1520.65"/>
    <s v="Concluída"/>
    <n v="2146.52"/>
    <n v="214.65200000000002"/>
    <n v="1931.8679999999999"/>
    <n v="1520.65"/>
    <n v="411.21799999999985"/>
    <n v="0.21286029894382011"/>
  </r>
  <r>
    <s v="VD-0389"/>
    <d v="2025-06-16T00:00:00"/>
    <x v="0"/>
    <x v="0"/>
    <s v="E-commerce"/>
    <s v="João Pedro"/>
    <s v="Informática"/>
    <s v="Mouse Pro"/>
    <n v="1"/>
    <n v="183.49"/>
    <n v="0.2"/>
    <n v="82.91"/>
    <s v="Concluída"/>
    <n v="183.49"/>
    <n v="36.698"/>
    <n v="146.792"/>
    <n v="82.91"/>
    <n v="63.882000000000005"/>
    <n v="0.43518720366232494"/>
  </r>
  <r>
    <s v="VD-0392"/>
    <d v="2025-06-17T00:00:00"/>
    <x v="3"/>
    <x v="2"/>
    <s v="E-commerce"/>
    <s v="Marcos Silva"/>
    <s v="Acessórios"/>
    <s v="Mochila Urban"/>
    <n v="1"/>
    <n v="334.03"/>
    <n v="0.03"/>
    <n v="150.56"/>
    <s v="Concluída"/>
    <n v="334.03"/>
    <n v="10.020899999999999"/>
    <n v="324.00909999999999"/>
    <n v="150.56"/>
    <n v="173.44909999999999"/>
    <n v="0.53532169312528566"/>
  </r>
  <r>
    <s v="VD-0399"/>
    <d v="2025-06-17T00:00:00"/>
    <x v="0"/>
    <x v="0"/>
    <s v="Marketplace"/>
    <s v="Camila Souza"/>
    <s v="Acessórios"/>
    <s v="Relógio Fit"/>
    <n v="2"/>
    <n v="673.43"/>
    <n v="0.15"/>
    <n v="333.09"/>
    <s v="Concluída"/>
    <n v="1346.86"/>
    <n v="202.02899999999997"/>
    <n v="1144.8309999999999"/>
    <n v="666.18"/>
    <n v="478.65099999999995"/>
    <n v="0.41809751832366521"/>
  </r>
  <r>
    <s v="VD-0406"/>
    <d v="2025-06-17T00:00:00"/>
    <x v="0"/>
    <x v="0"/>
    <s v="E-commerce"/>
    <s v="Diego Alves"/>
    <s v="Casa"/>
    <s v="Air Fryer 5L"/>
    <n v="2"/>
    <n v="721.91"/>
    <n v="0.05"/>
    <n v="400.66"/>
    <s v="Concluída"/>
    <n v="1443.82"/>
    <n v="72.191000000000003"/>
    <n v="1371.6289999999999"/>
    <n v="801.32"/>
    <n v="570.30899999999986"/>
    <n v="0.41578954659022221"/>
  </r>
  <r>
    <s v="VD-0417"/>
    <d v="2025-06-17T00:00:00"/>
    <x v="1"/>
    <x v="0"/>
    <s v="Loja Física"/>
    <s v="Marcos Silva"/>
    <s v="Acessórios"/>
    <s v="Mochila Urban"/>
    <n v="2"/>
    <n v="302.02999999999997"/>
    <n v="0.08"/>
    <n v="141.19999999999999"/>
    <s v="Concluída"/>
    <n v="604.05999999999995"/>
    <n v="48.324799999999996"/>
    <n v="555.73519999999996"/>
    <n v="282.39999999999998"/>
    <n v="273.33519999999999"/>
    <n v="0.49184431722158323"/>
  </r>
  <r>
    <s v="VD-0358"/>
    <d v="2025-06-18T00:00:00"/>
    <x v="4"/>
    <x v="2"/>
    <s v="Loja Física"/>
    <s v="Isabela Reis"/>
    <s v="Esporte"/>
    <s v="Bike Urbana"/>
    <n v="2"/>
    <n v="2418.2600000000002"/>
    <n v="0.1"/>
    <n v="1693.5"/>
    <s v="Concluída"/>
    <n v="4836.5200000000004"/>
    <n v="483.65200000000004"/>
    <n v="4352.8680000000004"/>
    <n v="3387"/>
    <n v="965.86800000000039"/>
    <n v="0.22189232478448698"/>
  </r>
  <r>
    <s v="VD-0384"/>
    <d v="2025-06-18T00:00:00"/>
    <x v="5"/>
    <x v="1"/>
    <s v="Marketplace"/>
    <s v="Isabela Reis"/>
    <s v="Informática"/>
    <s v="Mouse Pro"/>
    <n v="2"/>
    <n v="183.58"/>
    <n v="0.1"/>
    <n v="83.28"/>
    <s v="Cancelada"/>
    <n v="367.16"/>
    <n v="36.716000000000001"/>
    <n v="0"/>
    <n v="0"/>
    <n v="0"/>
    <s v=""/>
  </r>
  <r>
    <s v="VD-0387"/>
    <d v="2025-06-18T00:00:00"/>
    <x v="2"/>
    <x v="1"/>
    <s v="Marketplace"/>
    <s v="Giovana Melo"/>
    <s v="Informática"/>
    <s v="Fone Wave"/>
    <n v="2"/>
    <n v="231.24"/>
    <n v="0.25"/>
    <n v="108.06"/>
    <s v="Concluída"/>
    <n v="462.48"/>
    <n v="115.62"/>
    <n v="346.86"/>
    <n v="216.12"/>
    <n v="130.74"/>
    <n v="0.37692440754194778"/>
  </r>
  <r>
    <s v="VD-0395"/>
    <d v="2025-06-18T00:00:00"/>
    <x v="4"/>
    <x v="2"/>
    <s v="E-commerce"/>
    <s v="Ana Costa"/>
    <s v="Acessórios"/>
    <s v="Relógio Fit"/>
    <n v="1"/>
    <n v="650.47"/>
    <n v="0.2"/>
    <n v="311.97000000000003"/>
    <s v="Concluída"/>
    <n v="650.47"/>
    <n v="130.09400000000002"/>
    <n v="520.37599999999998"/>
    <n v="311.97000000000003"/>
    <n v="208.40599999999995"/>
    <n v="0.40049118329823041"/>
  </r>
  <r>
    <s v="VD-0413"/>
    <d v="2025-06-18T00:00:00"/>
    <x v="6"/>
    <x v="0"/>
    <s v="E-commerce"/>
    <s v="Ana Costa"/>
    <s v="Informática"/>
    <s v="Mouse Pro"/>
    <n v="1"/>
    <n v="176.64"/>
    <n v="0.05"/>
    <n v="79.94"/>
    <s v="Concluída"/>
    <n v="176.64"/>
    <n v="8.831999999999999"/>
    <n v="167.80799999999999"/>
    <n v="79.94"/>
    <n v="87.867999999999995"/>
    <n v="0.52362223493516402"/>
  </r>
  <r>
    <s v="VD-0422"/>
    <d v="2025-06-18T00:00:00"/>
    <x v="0"/>
    <x v="0"/>
    <s v="E-commerce"/>
    <s v="Diego Alves"/>
    <s v="Casa"/>
    <s v="Kit Lençol 4p"/>
    <n v="2"/>
    <n v="269.18"/>
    <n v="0.15"/>
    <n v="114.89"/>
    <s v="Concluída"/>
    <n v="538.36"/>
    <n v="80.754000000000005"/>
    <n v="457.60599999999999"/>
    <n v="229.78"/>
    <n v="227.82599999999999"/>
    <n v="0.49786497554664927"/>
  </r>
  <r>
    <s v="VD-0353"/>
    <d v="2025-06-19T00:00:00"/>
    <x v="0"/>
    <x v="0"/>
    <s v="Loja Física"/>
    <s v="Giovana Melo"/>
    <s v="Informática"/>
    <s v="Notebook Nova 14"/>
    <n v="2"/>
    <n v="4159.1400000000003"/>
    <n v="0.08"/>
    <n v="3224.69"/>
    <s v="Concluída"/>
    <n v="8318.2800000000007"/>
    <n v="665.46240000000012"/>
    <n v="7652.8176000000003"/>
    <n v="6449.38"/>
    <n v="1203.4376000000002"/>
    <n v="0.15725418570017927"/>
  </r>
  <r>
    <s v="VD-0370"/>
    <d v="2025-06-19T00:00:00"/>
    <x v="5"/>
    <x v="1"/>
    <s v="E-commerce"/>
    <s v="Marcos Silva"/>
    <s v="Informática"/>
    <s v="Teclado Mecânico"/>
    <n v="1"/>
    <n v="427.15"/>
    <n v="0.2"/>
    <n v="255.15"/>
    <s v="Concluída"/>
    <n v="427.15"/>
    <n v="85.43"/>
    <n v="341.71999999999997"/>
    <n v="255.15"/>
    <n v="86.569999999999965"/>
    <n v="0.25333606461430402"/>
  </r>
  <r>
    <s v="VD-0356"/>
    <d v="2025-06-20T00:00:00"/>
    <x v="2"/>
    <x v="1"/>
    <s v="E-commerce"/>
    <s v="Larissa Freitas"/>
    <s v="Casa"/>
    <s v="Cadeira Escritório"/>
    <n v="1"/>
    <n v="1243.8800000000001"/>
    <n v="0.1"/>
    <n v="921.95"/>
    <s v="Concluída"/>
    <n v="1243.8800000000001"/>
    <n v="124.38800000000002"/>
    <n v="1119.4920000000002"/>
    <n v="921.95"/>
    <n v="197.54200000000014"/>
    <n v="0.17645682148688879"/>
  </r>
  <r>
    <s v="VD-0350"/>
    <d v="2025-06-21T00:00:00"/>
    <x v="5"/>
    <x v="1"/>
    <s v="E-commerce"/>
    <s v="Larissa Freitas"/>
    <s v="Informática"/>
    <s v="Teclado Mecânico"/>
    <n v="1"/>
    <n v="434.45"/>
    <n v="0.05"/>
    <n v="245.54"/>
    <s v="Concluída"/>
    <n v="434.45"/>
    <n v="21.7225"/>
    <n v="412.72749999999996"/>
    <n v="245.54"/>
    <n v="167.18749999999997"/>
    <n v="0.40507962275351167"/>
  </r>
  <r>
    <s v="VD-0363"/>
    <d v="2025-06-21T00:00:00"/>
    <x v="3"/>
    <x v="2"/>
    <s v="Loja Física"/>
    <s v="Heitor Nunes"/>
    <s v="Beleza"/>
    <s v="Creme Facial"/>
    <n v="1"/>
    <n v="146.44999999999999"/>
    <n v="0"/>
    <n v="51.12"/>
    <s v="Concluída"/>
    <n v="146.44999999999999"/>
    <n v="0"/>
    <n v="146.44999999999999"/>
    <n v="51.12"/>
    <n v="95.329999999999984"/>
    <n v="0.65093888699214741"/>
  </r>
  <r>
    <s v="VD-0378"/>
    <d v="2025-06-21T00:00:00"/>
    <x v="5"/>
    <x v="1"/>
    <s v="E-commerce"/>
    <s v="Felipe Martins"/>
    <s v="Acessórios"/>
    <s v="Óculos Sol"/>
    <n v="1"/>
    <n v="362.12"/>
    <n v="0.05"/>
    <n v="160.85"/>
    <s v="Concluída"/>
    <n v="362.12"/>
    <n v="18.106000000000002"/>
    <n v="344.01400000000001"/>
    <n v="160.85"/>
    <n v="183.16400000000002"/>
    <n v="0.53243181963524744"/>
  </r>
  <r>
    <s v="VD-0361"/>
    <d v="2025-06-22T00:00:00"/>
    <x v="6"/>
    <x v="0"/>
    <s v="Televendas"/>
    <s v="Bruno Lima"/>
    <s v="Casa"/>
    <s v="Panela Pressão 6L"/>
    <n v="1"/>
    <n v="447.97"/>
    <n v="0"/>
    <n v="255.12"/>
    <s v="Concluída"/>
    <n v="447.97"/>
    <n v="0"/>
    <n v="447.97"/>
    <n v="255.12"/>
    <n v="192.85000000000002"/>
    <n v="0.43049757796281002"/>
  </r>
  <r>
    <s v="VD-0377"/>
    <d v="2025-06-22T00:00:00"/>
    <x v="6"/>
    <x v="0"/>
    <s v="Televendas"/>
    <s v="João Pedro"/>
    <s v="Acessórios"/>
    <s v="Óculos Sol"/>
    <n v="2"/>
    <n v="396.83"/>
    <n v="0.03"/>
    <n v="175.01"/>
    <s v="Cancelada"/>
    <n v="793.66"/>
    <n v="23.809799999999999"/>
    <n v="0"/>
    <n v="0"/>
    <n v="0"/>
    <s v=""/>
  </r>
  <r>
    <s v="VD-0364"/>
    <d v="2025-06-23T00:00:00"/>
    <x v="1"/>
    <x v="0"/>
    <s v="Marketplace"/>
    <s v="Ana Costa"/>
    <s v="Casa"/>
    <s v="Cadeira Escritório"/>
    <n v="3"/>
    <n v="1151.1099999999999"/>
    <n v="0.1"/>
    <n v="818.64"/>
    <s v="Concluída"/>
    <n v="3453.33"/>
    <n v="345.33300000000003"/>
    <n v="3107.9969999999998"/>
    <n v="2455.92"/>
    <n v="652.07699999999977"/>
    <n v="0.20980618707160908"/>
  </r>
  <r>
    <s v="VD-0372"/>
    <d v="2025-06-23T00:00:00"/>
    <x v="5"/>
    <x v="1"/>
    <s v="E-commerce"/>
    <s v="Larissa Freitas"/>
    <s v="Casa"/>
    <s v="Cadeira Escritório"/>
    <n v="2"/>
    <n v="1118.4000000000001"/>
    <n v="0.15"/>
    <n v="822.72"/>
    <s v="Concluída"/>
    <n v="2236.8000000000002"/>
    <n v="335.52000000000004"/>
    <n v="1901.2800000000002"/>
    <n v="1645.44"/>
    <n v="255.84000000000015"/>
    <n v="0.13456197929815708"/>
  </r>
  <r>
    <s v="VD-0400"/>
    <d v="2025-06-23T00:00:00"/>
    <x v="1"/>
    <x v="0"/>
    <s v="Loja Física"/>
    <s v="Giovana Melo"/>
    <s v="Beleza"/>
    <s v="Creme Facial"/>
    <n v="1"/>
    <n v="155.94999999999999"/>
    <n v="0.08"/>
    <n v="55.02"/>
    <s v="Concluída"/>
    <n v="155.94999999999999"/>
    <n v="12.475999999999999"/>
    <n v="143.47399999999999"/>
    <n v="55.02"/>
    <n v="88.453999999999979"/>
    <n v="0.61651588441111271"/>
  </r>
  <r>
    <s v="VD-0412"/>
    <d v="2025-06-23T00:00:00"/>
    <x v="3"/>
    <x v="2"/>
    <s v="E-commerce"/>
    <s v="Isabela Reis"/>
    <s v="Informática"/>
    <s v="Monitor 27 Ultra"/>
    <n v="1"/>
    <n v="1237.33"/>
    <n v="0.2"/>
    <n v="897.65"/>
    <s v="Concluída"/>
    <n v="1237.33"/>
    <n v="247.46600000000001"/>
    <n v="989.86399999999992"/>
    <n v="897.65"/>
    <n v="92.213999999999942"/>
    <n v="9.3158252042704809E-2"/>
  </r>
  <r>
    <s v="VD-0354"/>
    <d v="2025-06-24T00:00:00"/>
    <x v="1"/>
    <x v="0"/>
    <s v="E-commerce"/>
    <s v="Ana Costa"/>
    <s v="Acessórios"/>
    <s v="Relógio Fit"/>
    <n v="1"/>
    <n v="710.83"/>
    <n v="0.2"/>
    <n v="329.9"/>
    <s v="Concluída"/>
    <n v="710.83"/>
    <n v="142.16600000000003"/>
    <n v="568.66399999999999"/>
    <n v="329.9"/>
    <n v="238.76400000000001"/>
    <n v="0.4198683229464148"/>
  </r>
  <r>
    <s v="VD-0390"/>
    <d v="2025-06-24T00:00:00"/>
    <x v="3"/>
    <x v="2"/>
    <s v="E-commerce"/>
    <s v="Bruno Lima"/>
    <s v="Beleza"/>
    <s v="Creme Facial"/>
    <n v="1"/>
    <n v="148.12"/>
    <n v="0.2"/>
    <n v="53.14"/>
    <s v="Concluída"/>
    <n v="148.12"/>
    <n v="29.624000000000002"/>
    <n v="118.49600000000001"/>
    <n v="53.14"/>
    <n v="65.356000000000009"/>
    <n v="0.55154604374831218"/>
  </r>
  <r>
    <s v="VD-0410"/>
    <d v="2025-06-24T00:00:00"/>
    <x v="1"/>
    <x v="0"/>
    <s v="Marketplace"/>
    <s v="Elisa Rocha"/>
    <s v="Esporte"/>
    <s v="Halteres 10kg"/>
    <n v="1"/>
    <n v="385.98"/>
    <n v="0.05"/>
    <n v="210.27"/>
    <s v="Concluída"/>
    <n v="385.98"/>
    <n v="19.299000000000003"/>
    <n v="366.68100000000004"/>
    <n v="210.27"/>
    <n v="156.41100000000003"/>
    <n v="0.42655877997496466"/>
  </r>
  <r>
    <s v="VD-0391"/>
    <d v="2025-06-25T00:00:00"/>
    <x v="1"/>
    <x v="0"/>
    <s v="E-commerce"/>
    <s v="Elisa Rocha"/>
    <s v="Beleza"/>
    <s v="Creme Facial"/>
    <n v="2"/>
    <n v="150.5"/>
    <n v="0.1"/>
    <n v="52.61"/>
    <s v="Concluída"/>
    <n v="301"/>
    <n v="30.1"/>
    <n v="270.89999999999998"/>
    <n v="105.22"/>
    <n v="165.67999999999998"/>
    <n v="0.61159099298634179"/>
  </r>
  <r>
    <s v="VD-0396"/>
    <d v="2025-06-25T00:00:00"/>
    <x v="2"/>
    <x v="1"/>
    <s v="E-commerce"/>
    <s v="Bruno Lima"/>
    <s v="Casa"/>
    <s v="Cadeira Escritório"/>
    <n v="1"/>
    <n v="1283.3399999999999"/>
    <n v="0.03"/>
    <n v="959.44"/>
    <s v="Concluída"/>
    <n v="1283.3399999999999"/>
    <n v="38.5002"/>
    <n v="1244.8398"/>
    <n v="959.44"/>
    <n v="285.39979999999991"/>
    <n v="0.2292662879191362"/>
  </r>
  <r>
    <s v="VD-0414"/>
    <d v="2025-06-25T00:00:00"/>
    <x v="2"/>
    <x v="1"/>
    <s v="Loja Física"/>
    <s v="João Pedro"/>
    <s v="Informática"/>
    <s v="Mouse Pro"/>
    <n v="1"/>
    <n v="188.72"/>
    <n v="0.1"/>
    <n v="84.08"/>
    <s v="Concluída"/>
    <n v="188.72"/>
    <n v="18.872"/>
    <n v="169.84800000000001"/>
    <n v="84.08"/>
    <n v="85.768000000000015"/>
    <n v="0.50496914888606292"/>
  </r>
  <r>
    <s v="VD-0418"/>
    <d v="2025-06-25T00:00:00"/>
    <x v="3"/>
    <x v="2"/>
    <s v="Loja Física"/>
    <s v="João Pedro"/>
    <s v="Casa"/>
    <s v="Panela Pressão 6L"/>
    <n v="1"/>
    <n v="453.14"/>
    <n v="0"/>
    <n v="242.48"/>
    <s v="Concluída"/>
    <n v="453.14"/>
    <n v="0"/>
    <n v="453.14"/>
    <n v="242.48"/>
    <n v="210.66"/>
    <n v="0.46488943814273737"/>
  </r>
  <r>
    <s v="VD-0386"/>
    <d v="2025-06-26T00:00:00"/>
    <x v="7"/>
    <x v="3"/>
    <s v="Marketplace"/>
    <s v="Giovana Melo"/>
    <s v="Esporte"/>
    <s v="Esteira Compacta"/>
    <n v="1"/>
    <n v="2987.86"/>
    <n v="0.2"/>
    <n v="2100.4499999999998"/>
    <s v="Concluída"/>
    <n v="2987.86"/>
    <n v="597.572"/>
    <n v="2390.288"/>
    <n v="2100.4499999999998"/>
    <n v="289.83800000000019"/>
    <n v="0.12125651804301414"/>
  </r>
  <r>
    <s v="VD-0398"/>
    <d v="2025-06-28T00:00:00"/>
    <x v="0"/>
    <x v="0"/>
    <s v="Marketplace"/>
    <s v="Felipe Martins"/>
    <s v="Casa"/>
    <s v="Air Fryer 5L"/>
    <n v="1"/>
    <n v="673.96"/>
    <n v="0.2"/>
    <n v="375.23"/>
    <s v="Cancelada"/>
    <n v="673.96"/>
    <n v="134.792"/>
    <n v="0"/>
    <n v="0"/>
    <n v="0"/>
    <s v=""/>
  </r>
  <r>
    <s v="VD-0421"/>
    <d v="2025-06-28T00:00:00"/>
    <x v="5"/>
    <x v="1"/>
    <s v="E-commerce"/>
    <s v="Marcos Silva"/>
    <s v="Beleza"/>
    <s v="Creme Facial"/>
    <n v="2"/>
    <n v="156.81"/>
    <n v="0.05"/>
    <n v="56.18"/>
    <s v="Concluída"/>
    <n v="313.62"/>
    <n v="15.681000000000001"/>
    <n v="297.93900000000002"/>
    <n v="112.36"/>
    <n v="185.57900000000001"/>
    <n v="0.62287582357462434"/>
  </r>
  <r>
    <s v="VD-0432"/>
    <d v="2025-07-01T00:00:00"/>
    <x v="7"/>
    <x v="3"/>
    <s v="Loja Física"/>
    <s v="Bruno Lima"/>
    <s v="Beleza"/>
    <s v="Creme Facial"/>
    <n v="3"/>
    <n v="155.65"/>
    <n v="0.1"/>
    <n v="55.9"/>
    <s v="Concluída"/>
    <n v="466.95000000000005"/>
    <n v="46.695000000000007"/>
    <n v="420.25500000000005"/>
    <n v="167.7"/>
    <n v="252.55500000000006"/>
    <n v="0.60095656208730419"/>
  </r>
  <r>
    <s v="VD-0446"/>
    <d v="2025-07-01T00:00:00"/>
    <x v="1"/>
    <x v="0"/>
    <s v="Loja Física"/>
    <s v="Heitor Nunes"/>
    <s v="Casa"/>
    <s v="Kit Lençol 4p"/>
    <n v="1"/>
    <n v="276.17"/>
    <n v="0.05"/>
    <n v="119.34"/>
    <s v="Cancelada"/>
    <n v="276.17"/>
    <n v="13.808500000000002"/>
    <n v="0"/>
    <n v="0"/>
    <n v="0"/>
    <s v=""/>
  </r>
  <r>
    <s v="VD-0424"/>
    <d v="2025-07-02T00:00:00"/>
    <x v="6"/>
    <x v="0"/>
    <s v="Loja Física"/>
    <s v="Larissa Freitas"/>
    <s v="Esporte"/>
    <s v="Colchonete Pro"/>
    <n v="1"/>
    <n v="129.41999999999999"/>
    <n v="0.08"/>
    <n v="52.38"/>
    <s v="Concluída"/>
    <n v="129.41999999999999"/>
    <n v="10.353599999999998"/>
    <n v="119.06639999999999"/>
    <n v="52.38"/>
    <n v="66.686399999999992"/>
    <n v="0.56007740218903068"/>
  </r>
  <r>
    <s v="VD-0483"/>
    <d v="2025-07-02T00:00:00"/>
    <x v="5"/>
    <x v="1"/>
    <s v="Marketplace"/>
    <s v="Elisa Rocha"/>
    <s v="Informática"/>
    <s v="Monitor 27 Ultra"/>
    <n v="1"/>
    <n v="1278.4100000000001"/>
    <n v="0.25"/>
    <n v="894.85"/>
    <s v="Concluída"/>
    <n v="1278.4100000000001"/>
    <n v="319.60250000000002"/>
    <n v="958.80750000000012"/>
    <n v="894.85"/>
    <n v="63.957500000000095"/>
    <n v="6.6705256268854887E-2"/>
  </r>
  <r>
    <s v="VD-0451"/>
    <d v="2025-07-03T00:00:00"/>
    <x v="6"/>
    <x v="0"/>
    <s v="Marketplace"/>
    <s v="João Pedro"/>
    <s v="Casa"/>
    <s v="Air Fryer 5L"/>
    <n v="1"/>
    <n v="663.99"/>
    <n v="0.1"/>
    <n v="363.67"/>
    <s v="Concluída"/>
    <n v="663.99"/>
    <n v="66.399000000000001"/>
    <n v="597.59100000000001"/>
    <n v="363.67"/>
    <n v="233.92099999999999"/>
    <n v="0.39143996479197307"/>
  </r>
  <r>
    <s v="VD-0466"/>
    <d v="2025-07-03T00:00:00"/>
    <x v="1"/>
    <x v="0"/>
    <s v="E-commerce"/>
    <s v="Heitor Nunes"/>
    <s v="Beleza"/>
    <s v="Secador Pro"/>
    <n v="1"/>
    <n v="395.17"/>
    <n v="0.15"/>
    <n v="224.21"/>
    <s v="Concluída"/>
    <n v="395.17"/>
    <n v="59.275500000000001"/>
    <n v="335.89449999999999"/>
    <n v="224.21"/>
    <n v="111.68449999999999"/>
    <n v="0.33249874588598499"/>
  </r>
  <r>
    <s v="VD-0478"/>
    <d v="2025-07-03T00:00:00"/>
    <x v="6"/>
    <x v="0"/>
    <s v="E-commerce"/>
    <s v="Ana Costa"/>
    <s v="Casa"/>
    <s v="Tapete Sala"/>
    <n v="2"/>
    <n v="528.29999999999995"/>
    <n v="0.05"/>
    <n v="280.12"/>
    <s v="Concluída"/>
    <n v="1056.5999999999999"/>
    <n v="52.83"/>
    <n v="1003.7699999999999"/>
    <n v="560.24"/>
    <n v="443.52999999999986"/>
    <n v="0.44186417207129114"/>
  </r>
  <r>
    <s v="VD-0481"/>
    <d v="2025-07-03T00:00:00"/>
    <x v="4"/>
    <x v="2"/>
    <s v="Loja Física"/>
    <s v="Ana Costa"/>
    <s v="Esporte"/>
    <s v="Colchonete Pro"/>
    <n v="2"/>
    <n v="128.69"/>
    <n v="0.15"/>
    <n v="53.52"/>
    <s v="Concluída"/>
    <n v="257.38"/>
    <n v="38.606999999999999"/>
    <n v="218.773"/>
    <n v="107.04"/>
    <n v="111.73299999999999"/>
    <n v="0.51072572940902206"/>
  </r>
  <r>
    <s v="VD-0494"/>
    <d v="2025-07-03T00:00:00"/>
    <x v="7"/>
    <x v="3"/>
    <s v="Marketplace"/>
    <s v="Bruno Lima"/>
    <s v="Informática"/>
    <s v="Fone Wave"/>
    <n v="1"/>
    <n v="232.73"/>
    <n v="0.25"/>
    <n v="116.13"/>
    <s v="Concluída"/>
    <n v="232.73"/>
    <n v="58.182499999999997"/>
    <n v="174.54749999999999"/>
    <n v="116.13"/>
    <n v="58.41749999999999"/>
    <n v="0.33467967172259699"/>
  </r>
  <r>
    <s v="VD-0498"/>
    <d v="2025-07-03T00:00:00"/>
    <x v="4"/>
    <x v="2"/>
    <s v="Loja Física"/>
    <s v="Ana Costa"/>
    <s v="Informática"/>
    <s v="Mouse Pro"/>
    <n v="2"/>
    <n v="189.66"/>
    <n v="0.15"/>
    <n v="84.42"/>
    <s v="Concluída"/>
    <n v="379.32"/>
    <n v="56.897999999999996"/>
    <n v="322.42200000000003"/>
    <n v="168.84"/>
    <n v="153.58200000000002"/>
    <n v="0.47633846325622947"/>
  </r>
  <r>
    <s v="VD-0442"/>
    <d v="2025-07-04T00:00:00"/>
    <x v="7"/>
    <x v="3"/>
    <s v="Loja Física"/>
    <s v="Camila Souza"/>
    <s v="Beleza"/>
    <s v="Secador Pro"/>
    <n v="1"/>
    <n v="402.77"/>
    <n v="0.08"/>
    <n v="226.56"/>
    <s v="Concluída"/>
    <n v="402.77"/>
    <n v="32.221600000000002"/>
    <n v="370.54839999999996"/>
    <n v="226.56"/>
    <n v="143.98839999999996"/>
    <n v="0.38858189645401242"/>
  </r>
  <r>
    <s v="VD-0459"/>
    <d v="2025-07-04T00:00:00"/>
    <x v="5"/>
    <x v="1"/>
    <s v="E-commerce"/>
    <s v="Giovana Melo"/>
    <s v="Casa"/>
    <s v="Tapete Sala"/>
    <n v="2"/>
    <n v="570.23"/>
    <n v="0.2"/>
    <n v="284.69"/>
    <s v="Cancelada"/>
    <n v="1140.46"/>
    <n v="228.09200000000001"/>
    <n v="0"/>
    <n v="0"/>
    <n v="0"/>
    <s v=""/>
  </r>
  <r>
    <s v="VD-0482"/>
    <d v="2025-07-04T00:00:00"/>
    <x v="6"/>
    <x v="0"/>
    <s v="Marketplace"/>
    <s v="Diego Alves"/>
    <s v="Acessórios"/>
    <s v="Mochila Urban"/>
    <n v="1"/>
    <n v="336.01"/>
    <n v="0.05"/>
    <n v="153.11000000000001"/>
    <s v="Devolvida"/>
    <n v="336.01"/>
    <n v="16.8005"/>
    <n v="0"/>
    <n v="0"/>
    <n v="0"/>
    <s v=""/>
  </r>
  <r>
    <s v="VD-0450"/>
    <d v="2025-07-05T00:00:00"/>
    <x v="2"/>
    <x v="1"/>
    <s v="E-commerce"/>
    <s v="Bruno Lima"/>
    <s v="Beleza"/>
    <s v="Creme Facial"/>
    <n v="1"/>
    <n v="147.76"/>
    <n v="0.15"/>
    <n v="51.32"/>
    <s v="Concluída"/>
    <n v="147.76"/>
    <n v="22.163999999999998"/>
    <n v="125.59599999999999"/>
    <n v="51.32"/>
    <n v="74.275999999999982"/>
    <n v="0.59138826077263595"/>
  </r>
  <r>
    <s v="VD-0457"/>
    <d v="2025-07-05T00:00:00"/>
    <x v="3"/>
    <x v="2"/>
    <s v="Loja Física"/>
    <s v="Bruno Lima"/>
    <s v="Acessórios"/>
    <s v="Óculos Sol"/>
    <n v="1"/>
    <n v="393.56"/>
    <n v="0"/>
    <n v="169.72"/>
    <s v="Concluída"/>
    <n v="393.56"/>
    <n v="0"/>
    <n v="393.56"/>
    <n v="169.72"/>
    <n v="223.84"/>
    <n v="0.5687569874987296"/>
  </r>
  <r>
    <s v="VD-0448"/>
    <d v="2025-07-06T00:00:00"/>
    <x v="4"/>
    <x v="2"/>
    <s v="E-commerce"/>
    <s v="Ana Costa"/>
    <s v="Informática"/>
    <s v="Mouse Pro"/>
    <n v="1"/>
    <n v="176.26"/>
    <n v="0.05"/>
    <n v="79.459999999999994"/>
    <s v="Concluída"/>
    <n v="176.26"/>
    <n v="8.8130000000000006"/>
    <n v="167.447"/>
    <n v="79.459999999999994"/>
    <n v="87.987000000000009"/>
    <n v="0.5254617879090101"/>
  </r>
  <r>
    <s v="VD-0479"/>
    <d v="2025-07-06T00:00:00"/>
    <x v="2"/>
    <x v="1"/>
    <s v="Marketplace"/>
    <s v="Elisa Rocha"/>
    <s v="Casa"/>
    <s v="Air Fryer 5L"/>
    <n v="1"/>
    <n v="655.43"/>
    <n v="0.05"/>
    <n v="370.85"/>
    <s v="Concluída"/>
    <n v="655.43"/>
    <n v="32.771499999999996"/>
    <n v="622.6585"/>
    <n v="370.85"/>
    <n v="251.80849999999998"/>
    <n v="0.40440867666626246"/>
  </r>
  <r>
    <s v="VD-0490"/>
    <d v="2025-07-06T00:00:00"/>
    <x v="5"/>
    <x v="1"/>
    <s v="Loja Física"/>
    <s v="Isabela Reis"/>
    <s v="Acessórios"/>
    <s v="Relógio Fit"/>
    <n v="1"/>
    <n v="710.42"/>
    <n v="0"/>
    <n v="347.46"/>
    <s v="Concluída"/>
    <n v="710.42"/>
    <n v="0"/>
    <n v="710.42"/>
    <n v="347.46"/>
    <n v="362.96"/>
    <n v="0.51090903972298074"/>
  </r>
  <r>
    <s v="VD-0501"/>
    <d v="2025-07-06T00:00:00"/>
    <x v="2"/>
    <x v="1"/>
    <s v="Loja Física"/>
    <s v="João Pedro"/>
    <s v="Informática"/>
    <s v="Monitor 27 Ultra"/>
    <n v="1"/>
    <n v="1358.03"/>
    <n v="0.1"/>
    <n v="913.31"/>
    <s v="Concluída"/>
    <n v="1358.03"/>
    <n v="135.803"/>
    <n v="1222.2269999999999"/>
    <n v="913.31"/>
    <n v="308.91699999999992"/>
    <n v="0.25274928470734154"/>
  </r>
  <r>
    <s v="VD-0453"/>
    <d v="2025-07-07T00:00:00"/>
    <x v="2"/>
    <x v="1"/>
    <s v="Loja Física"/>
    <s v="Marcos Silva"/>
    <s v="Acessórios"/>
    <s v="Relógio Fit"/>
    <n v="1"/>
    <n v="708.67"/>
    <n v="0.08"/>
    <n v="340.84"/>
    <s v="Concluída"/>
    <n v="708.67"/>
    <n v="56.693599999999996"/>
    <n v="651.97640000000001"/>
    <n v="340.84"/>
    <n v="311.13640000000004"/>
    <n v="0.47722034110437134"/>
  </r>
  <r>
    <s v="VD-0455"/>
    <d v="2025-07-07T00:00:00"/>
    <x v="5"/>
    <x v="1"/>
    <s v="E-commerce"/>
    <s v="Felipe Martins"/>
    <s v="Acessórios"/>
    <s v="Mochila Urban"/>
    <n v="2"/>
    <n v="309.94"/>
    <n v="0.05"/>
    <n v="143.79"/>
    <s v="Concluída"/>
    <n v="619.88"/>
    <n v="30.994"/>
    <n v="588.88599999999997"/>
    <n v="287.58"/>
    <n v="301.30599999999998"/>
    <n v="0.51165420811498319"/>
  </r>
  <r>
    <s v="VD-0465"/>
    <d v="2025-07-07T00:00:00"/>
    <x v="5"/>
    <x v="1"/>
    <s v="Loja Física"/>
    <s v="Larissa Freitas"/>
    <s v="Casa"/>
    <s v="Kit Lençol 4p"/>
    <n v="1"/>
    <n v="294.54000000000002"/>
    <n v="0.15"/>
    <n v="133.28"/>
    <s v="Concluída"/>
    <n v="294.54000000000002"/>
    <n v="44.181000000000004"/>
    <n v="250.35900000000001"/>
    <n v="133.28"/>
    <n v="117.07900000000001"/>
    <n v="0.46764446255177566"/>
  </r>
  <r>
    <s v="VD-0426"/>
    <d v="2025-07-09T00:00:00"/>
    <x v="1"/>
    <x v="0"/>
    <s v="Loja Física"/>
    <s v="Diego Alves"/>
    <s v="Esporte"/>
    <s v="Colchonete Pro"/>
    <n v="1"/>
    <n v="149.06"/>
    <n v="0.05"/>
    <n v="59.59"/>
    <s v="Concluída"/>
    <n v="149.06"/>
    <n v="7.4530000000000003"/>
    <n v="141.607"/>
    <n v="59.59"/>
    <n v="82.016999999999996"/>
    <n v="0.57918746954599698"/>
  </r>
  <r>
    <s v="VD-0428"/>
    <d v="2025-07-09T00:00:00"/>
    <x v="0"/>
    <x v="0"/>
    <s v="Marketplace"/>
    <s v="Marcos Silva"/>
    <s v="Acessórios"/>
    <s v="Óculos Sol"/>
    <n v="1"/>
    <n v="403.91"/>
    <n v="0.2"/>
    <n v="172.67"/>
    <s v="Concluída"/>
    <n v="403.91"/>
    <n v="80.782000000000011"/>
    <n v="323.12800000000004"/>
    <n v="172.67"/>
    <n v="150.45800000000006"/>
    <n v="0.46562971949196613"/>
  </r>
  <r>
    <s v="VD-0427"/>
    <d v="2025-07-10T00:00:00"/>
    <x v="1"/>
    <x v="0"/>
    <s v="E-commerce"/>
    <s v="João Pedro"/>
    <s v="Informática"/>
    <s v="Monitor 27 Ultra"/>
    <n v="1"/>
    <n v="1387.94"/>
    <n v="0.05"/>
    <n v="958.67"/>
    <s v="Devolvida"/>
    <n v="1387.94"/>
    <n v="69.397000000000006"/>
    <n v="0"/>
    <n v="0"/>
    <n v="0"/>
    <s v=""/>
  </r>
  <r>
    <s v="VD-0452"/>
    <d v="2025-07-10T00:00:00"/>
    <x v="2"/>
    <x v="1"/>
    <s v="Marketplace"/>
    <s v="Marcos Silva"/>
    <s v="Informática"/>
    <s v="Monitor 27 Ultra"/>
    <n v="1"/>
    <n v="1381.97"/>
    <n v="0.05"/>
    <n v="962.43"/>
    <s v="Concluída"/>
    <n v="1381.97"/>
    <n v="69.098500000000001"/>
    <n v="1312.8715"/>
    <n v="962.43"/>
    <n v="350.44150000000002"/>
    <n v="0.26692749442729163"/>
  </r>
  <r>
    <s v="VD-0460"/>
    <d v="2025-07-10T00:00:00"/>
    <x v="4"/>
    <x v="2"/>
    <s v="E-commerce"/>
    <s v="Camila Souza"/>
    <s v="Beleza"/>
    <s v="Secador Pro"/>
    <n v="1"/>
    <n v="420.48"/>
    <n v="0.05"/>
    <n v="223.76"/>
    <s v="Concluída"/>
    <n v="420.48"/>
    <n v="21.024000000000001"/>
    <n v="399.45600000000002"/>
    <n v="223.76"/>
    <n v="175.69600000000003"/>
    <n v="0.43983817992469765"/>
  </r>
  <r>
    <s v="VD-0484"/>
    <d v="2025-07-10T00:00:00"/>
    <x v="5"/>
    <x v="1"/>
    <s v="E-commerce"/>
    <s v="Marcos Silva"/>
    <s v="Casa"/>
    <s v="Air Fryer 5L"/>
    <n v="2"/>
    <n v="651.32000000000005"/>
    <n v="0.05"/>
    <n v="360.46"/>
    <s v="Concluída"/>
    <n v="1302.6400000000001"/>
    <n v="65.132000000000005"/>
    <n v="1237.508"/>
    <n v="720.92"/>
    <n v="516.58800000000008"/>
    <n v="0.41744214986893019"/>
  </r>
  <r>
    <s v="VD-0435"/>
    <d v="2025-07-11T00:00:00"/>
    <x v="3"/>
    <x v="2"/>
    <s v="Loja Física"/>
    <s v="Felipe Martins"/>
    <s v="Casa"/>
    <s v="Tapete Sala"/>
    <n v="2"/>
    <n v="491.99"/>
    <n v="0"/>
    <n v="254.64"/>
    <s v="Concluída"/>
    <n v="983.98"/>
    <n v="0"/>
    <n v="983.98"/>
    <n v="509.28"/>
    <n v="474.70000000000005"/>
    <n v="0.4824285046444034"/>
  </r>
  <r>
    <s v="VD-0454"/>
    <d v="2025-07-11T00:00:00"/>
    <x v="7"/>
    <x v="3"/>
    <s v="E-commerce"/>
    <s v="Larissa Freitas"/>
    <s v="Informática"/>
    <s v="Fone Wave"/>
    <n v="2"/>
    <n v="262.85000000000002"/>
    <n v="0.03"/>
    <n v="131.16"/>
    <s v="Devolvida"/>
    <n v="525.70000000000005"/>
    <n v="15.771000000000001"/>
    <n v="0"/>
    <n v="0"/>
    <n v="0"/>
    <s v=""/>
  </r>
  <r>
    <s v="VD-0470"/>
    <d v="2025-07-11T00:00:00"/>
    <x v="2"/>
    <x v="1"/>
    <s v="Loja Física"/>
    <s v="Giovana Melo"/>
    <s v="Informática"/>
    <s v="Mouse Pro"/>
    <n v="1"/>
    <n v="179.44"/>
    <n v="0.08"/>
    <n v="81.819999999999993"/>
    <s v="Concluída"/>
    <n v="179.44"/>
    <n v="14.3552"/>
    <n v="165.0848"/>
    <n v="81.819999999999993"/>
    <n v="83.264800000000008"/>
    <n v="0.50437593285390303"/>
  </r>
  <r>
    <s v="VD-0456"/>
    <d v="2025-07-12T00:00:00"/>
    <x v="3"/>
    <x v="2"/>
    <s v="Loja Física"/>
    <s v="Larissa Freitas"/>
    <s v="Informática"/>
    <s v="Fone Wave"/>
    <n v="2"/>
    <n v="234.75"/>
    <n v="0.15"/>
    <n v="113.55"/>
    <s v="Concluída"/>
    <n v="469.5"/>
    <n v="70.424999999999997"/>
    <n v="399.07499999999999"/>
    <n v="227.1"/>
    <n v="171.97499999999999"/>
    <n v="0.43093403495583538"/>
  </r>
  <r>
    <s v="VD-0474"/>
    <d v="2025-07-12T00:00:00"/>
    <x v="5"/>
    <x v="1"/>
    <s v="E-commerce"/>
    <s v="Bruno Lima"/>
    <s v="Esporte"/>
    <s v="Colchonete Pro"/>
    <n v="1"/>
    <n v="133.16999999999999"/>
    <n v="0.1"/>
    <n v="52.54"/>
    <s v="Concluída"/>
    <n v="133.16999999999999"/>
    <n v="13.317"/>
    <n v="119.85299999999998"/>
    <n v="52.54"/>
    <n v="67.312999999999988"/>
    <n v="0.56162966300384642"/>
  </r>
  <r>
    <s v="VD-0480"/>
    <d v="2025-07-12T00:00:00"/>
    <x v="1"/>
    <x v="0"/>
    <s v="Marketplace"/>
    <s v="Elisa Rocha"/>
    <s v="Informática"/>
    <s v="Fone Wave"/>
    <n v="1"/>
    <n v="230.56"/>
    <n v="0.2"/>
    <n v="114.99"/>
    <s v="Concluída"/>
    <n v="230.56"/>
    <n v="46.112000000000002"/>
    <n v="184.44800000000001"/>
    <n v="114.99"/>
    <n v="69.458000000000013"/>
    <n v="0.37657225884802226"/>
  </r>
  <r>
    <s v="VD-0440"/>
    <d v="2025-07-13T00:00:00"/>
    <x v="7"/>
    <x v="3"/>
    <s v="Loja Física"/>
    <s v="Heitor Nunes"/>
    <s v="Informática"/>
    <s v="Mouse Pro"/>
    <n v="2"/>
    <n v="185"/>
    <n v="0.15"/>
    <n v="83.94"/>
    <s v="Concluída"/>
    <n v="370"/>
    <n v="55.5"/>
    <n v="314.5"/>
    <n v="167.88"/>
    <n v="146.62"/>
    <n v="0.46620031796502387"/>
  </r>
  <r>
    <s v="VD-0447"/>
    <d v="2025-07-13T00:00:00"/>
    <x v="3"/>
    <x v="2"/>
    <s v="Loja Física"/>
    <s v="Diego Alves"/>
    <s v="Casa"/>
    <s v="Panela Pressão 6L"/>
    <n v="1"/>
    <n v="452.25"/>
    <n v="0.15"/>
    <n v="242.06"/>
    <s v="Concluída"/>
    <n v="452.25"/>
    <n v="67.837499999999991"/>
    <n v="384.41250000000002"/>
    <n v="242.06"/>
    <n v="142.35250000000002"/>
    <n v="0.37031183949533381"/>
  </r>
  <r>
    <s v="VD-0467"/>
    <d v="2025-07-13T00:00:00"/>
    <x v="4"/>
    <x v="2"/>
    <s v="Loja Física"/>
    <s v="Giovana Melo"/>
    <s v="Informática"/>
    <s v="Notebook Nova 14"/>
    <n v="1"/>
    <n v="4066.27"/>
    <n v="0"/>
    <n v="3154.37"/>
    <s v="Concluída"/>
    <n v="4066.27"/>
    <n v="0"/>
    <n v="4066.27"/>
    <n v="3154.37"/>
    <n v="911.90000000000009"/>
    <n v="0.22425957941799243"/>
  </r>
  <r>
    <s v="VD-0475"/>
    <d v="2025-07-13T00:00:00"/>
    <x v="6"/>
    <x v="0"/>
    <s v="E-commerce"/>
    <s v="Ana Costa"/>
    <s v="Informática"/>
    <s v="Fone Wave"/>
    <n v="1"/>
    <n v="256.29000000000002"/>
    <n v="0.2"/>
    <n v="123.84"/>
    <s v="Concluída"/>
    <n v="256.29000000000002"/>
    <n v="51.25800000000001"/>
    <n v="205.03200000000001"/>
    <n v="123.84"/>
    <n v="81.192000000000007"/>
    <n v="0.39599672246283507"/>
  </r>
  <r>
    <s v="VD-0443"/>
    <d v="2025-07-14T00:00:00"/>
    <x v="4"/>
    <x v="2"/>
    <s v="Marketplace"/>
    <s v="Heitor Nunes"/>
    <s v="Acessórios"/>
    <s v="Mochila Urban"/>
    <n v="2"/>
    <n v="335.69"/>
    <n v="0.2"/>
    <n v="158.44999999999999"/>
    <s v="Concluída"/>
    <n v="671.38"/>
    <n v="134.27600000000001"/>
    <n v="537.10400000000004"/>
    <n v="316.89999999999998"/>
    <n v="220.20400000000006"/>
    <n v="0.40998391372992948"/>
  </r>
  <r>
    <s v="VD-0497"/>
    <d v="2025-07-15T00:00:00"/>
    <x v="0"/>
    <x v="0"/>
    <s v="Loja Física"/>
    <s v="João Pedro"/>
    <s v="Acessórios"/>
    <s v="Relógio Fit"/>
    <n v="1"/>
    <n v="685.5"/>
    <n v="0.08"/>
    <n v="331.25"/>
    <s v="Concluída"/>
    <n v="685.5"/>
    <n v="54.84"/>
    <n v="630.66"/>
    <n v="331.25"/>
    <n v="299.40999999999997"/>
    <n v="0.47475660419243332"/>
  </r>
  <r>
    <s v="VD-0431"/>
    <d v="2025-07-16T00:00:00"/>
    <x v="7"/>
    <x v="3"/>
    <s v="Loja Física"/>
    <s v="Heitor Nunes"/>
    <s v="Acessórios"/>
    <s v="Relógio Fit"/>
    <n v="1"/>
    <n v="643.5"/>
    <n v="0.08"/>
    <n v="301.47000000000003"/>
    <s v="Concluída"/>
    <n v="643.5"/>
    <n v="51.480000000000004"/>
    <n v="592.02"/>
    <n v="301.47000000000003"/>
    <n v="290.54999999999995"/>
    <n v="0.49077733860342548"/>
  </r>
  <r>
    <s v="VD-0499"/>
    <d v="2025-07-16T00:00:00"/>
    <x v="7"/>
    <x v="3"/>
    <s v="Marketplace"/>
    <s v="Elisa Rocha"/>
    <s v="Beleza"/>
    <s v="Creme Facial"/>
    <n v="2"/>
    <n v="137.32"/>
    <n v="0.05"/>
    <n v="49.26"/>
    <s v="Concluída"/>
    <n v="274.64"/>
    <n v="13.731999999999999"/>
    <n v="260.90800000000002"/>
    <n v="98.52"/>
    <n v="162.38800000000003"/>
    <n v="0.62239563370996687"/>
  </r>
  <r>
    <s v="VD-0438"/>
    <d v="2025-07-17T00:00:00"/>
    <x v="0"/>
    <x v="0"/>
    <s v="Marketplace"/>
    <s v="João Pedro"/>
    <s v="Informática"/>
    <s v="Monitor 27 Ultra"/>
    <n v="2"/>
    <n v="1233.57"/>
    <n v="0.25"/>
    <n v="884.04"/>
    <s v="Concluída"/>
    <n v="2467.14"/>
    <n v="616.78499999999997"/>
    <n v="1850.355"/>
    <n v="1768.08"/>
    <n v="82.275000000000091"/>
    <n v="4.4464440607342962E-2"/>
  </r>
  <r>
    <s v="VD-0445"/>
    <d v="2025-07-18T00:00:00"/>
    <x v="6"/>
    <x v="0"/>
    <s v="Marketplace"/>
    <s v="Camila Souza"/>
    <s v="Esporte"/>
    <s v="Halteres 10kg"/>
    <n v="2"/>
    <n v="372.46"/>
    <n v="0.15"/>
    <n v="202.37"/>
    <s v="Concluída"/>
    <n v="744.92"/>
    <n v="111.73799999999999"/>
    <n v="633.18200000000002"/>
    <n v="404.74"/>
    <n v="228.44200000000001"/>
    <n v="0.36078410314885767"/>
  </r>
  <r>
    <s v="VD-0461"/>
    <d v="2025-07-18T00:00:00"/>
    <x v="0"/>
    <x v="0"/>
    <s v="Marketplace"/>
    <s v="Ana Costa"/>
    <s v="Casa"/>
    <s v="Air Fryer 5L"/>
    <n v="1"/>
    <n v="724.93"/>
    <n v="0.05"/>
    <n v="410.18"/>
    <s v="Concluída"/>
    <n v="724.93"/>
    <n v="36.246499999999997"/>
    <n v="688.68349999999998"/>
    <n v="410.18"/>
    <n v="278.50349999999997"/>
    <n v="0.40439984405027851"/>
  </r>
  <r>
    <s v="VD-0471"/>
    <d v="2025-07-18T00:00:00"/>
    <x v="6"/>
    <x v="0"/>
    <s v="Loja Física"/>
    <s v="Isabela Reis"/>
    <s v="Casa"/>
    <s v="Air Fryer 5L"/>
    <n v="1"/>
    <n v="735.81"/>
    <n v="0"/>
    <n v="412.02"/>
    <s v="Concluída"/>
    <n v="735.81"/>
    <n v="0"/>
    <n v="735.81"/>
    <n v="412.02"/>
    <n v="323.78999999999996"/>
    <n v="0.4400456639621641"/>
  </r>
  <r>
    <s v="VD-0472"/>
    <d v="2025-07-18T00:00:00"/>
    <x v="5"/>
    <x v="1"/>
    <s v="Loja Física"/>
    <s v="Heitor Nunes"/>
    <s v="Casa"/>
    <s v="Cadeira Escritório"/>
    <n v="1"/>
    <n v="1272.73"/>
    <n v="0.15"/>
    <n v="957.99"/>
    <s v="Devolvida"/>
    <n v="1272.73"/>
    <n v="190.90950000000001"/>
    <n v="0"/>
    <n v="0"/>
    <n v="0"/>
    <s v=""/>
  </r>
  <r>
    <s v="VD-0476"/>
    <d v="2025-07-18T00:00:00"/>
    <x v="2"/>
    <x v="1"/>
    <s v="Loja Física"/>
    <s v="Felipe Martins"/>
    <s v="Informática"/>
    <s v="Monitor 27 Ultra"/>
    <n v="1"/>
    <n v="1222.3900000000001"/>
    <n v="0.08"/>
    <n v="857.21"/>
    <s v="Concluída"/>
    <n v="1222.3900000000001"/>
    <n v="97.791200000000003"/>
    <n v="1124.5988000000002"/>
    <n v="857.21"/>
    <n v="267.38880000000017"/>
    <n v="0.23776372516136432"/>
  </r>
  <r>
    <s v="VD-0469"/>
    <d v="2025-07-19T00:00:00"/>
    <x v="5"/>
    <x v="1"/>
    <s v="Loja Física"/>
    <s v="Ana Costa"/>
    <s v="Casa"/>
    <s v="Kit Lençol 4p"/>
    <n v="1"/>
    <n v="267"/>
    <n v="0.08"/>
    <n v="113.31"/>
    <s v="Concluída"/>
    <n v="267"/>
    <n v="21.36"/>
    <n v="245.64"/>
    <n v="113.31"/>
    <n v="132.32999999999998"/>
    <n v="0.53871519296531512"/>
  </r>
  <r>
    <s v="VD-0433"/>
    <d v="2025-07-20T00:00:00"/>
    <x v="6"/>
    <x v="0"/>
    <s v="Marketplace"/>
    <s v="Felipe Martins"/>
    <s v="Esporte"/>
    <s v="Halteres 10kg"/>
    <n v="1"/>
    <n v="343.45"/>
    <n v="0.1"/>
    <n v="187.48"/>
    <s v="Concluída"/>
    <n v="343.45"/>
    <n v="34.344999999999999"/>
    <n v="309.10500000000002"/>
    <n v="187.48"/>
    <n v="121.62500000000003"/>
    <n v="0.39347470924119643"/>
  </r>
  <r>
    <s v="VD-0437"/>
    <d v="2025-07-20T00:00:00"/>
    <x v="7"/>
    <x v="3"/>
    <s v="Marketplace"/>
    <s v="Marcos Silva"/>
    <s v="Casa"/>
    <s v="Tapete Sala"/>
    <n v="1"/>
    <n v="500.79"/>
    <n v="0.25"/>
    <n v="255.56"/>
    <s v="Concluída"/>
    <n v="500.79"/>
    <n v="125.19750000000001"/>
    <n v="375.59250000000003"/>
    <n v="255.56"/>
    <n v="120.03250000000003"/>
    <n v="0.31958172753715802"/>
  </r>
  <r>
    <s v="VD-0458"/>
    <d v="2025-07-20T00:00:00"/>
    <x v="2"/>
    <x v="1"/>
    <s v="Loja Física"/>
    <s v="João Pedro"/>
    <s v="Informática"/>
    <s v="Fone Wave"/>
    <n v="1"/>
    <n v="245.02"/>
    <n v="0"/>
    <n v="120.26"/>
    <s v="Concluída"/>
    <n v="245.02"/>
    <n v="0"/>
    <n v="245.02"/>
    <n v="120.26"/>
    <n v="124.76"/>
    <n v="0.50918292384295161"/>
  </r>
  <r>
    <s v="VD-0430"/>
    <d v="2025-07-21T00:00:00"/>
    <x v="4"/>
    <x v="2"/>
    <s v="E-commerce"/>
    <s v="Elisa Rocha"/>
    <s v="Informática"/>
    <s v="Mouse Pro"/>
    <n v="2"/>
    <n v="188.2"/>
    <n v="0.1"/>
    <n v="86.86"/>
    <s v="Concluída"/>
    <n v="376.4"/>
    <n v="37.64"/>
    <n v="338.76"/>
    <n v="173.72"/>
    <n v="165.04"/>
    <n v="0.48718857007911204"/>
  </r>
  <r>
    <s v="VD-0500"/>
    <d v="2025-07-21T00:00:00"/>
    <x v="2"/>
    <x v="1"/>
    <s v="Marketplace"/>
    <s v="Camila Souza"/>
    <s v="Beleza"/>
    <s v="Creme Facial"/>
    <n v="1"/>
    <n v="151.5"/>
    <n v="0.15"/>
    <n v="53.66"/>
    <s v="Concluída"/>
    <n v="151.5"/>
    <n v="22.724999999999998"/>
    <n v="128.77500000000001"/>
    <n v="53.66"/>
    <n v="75.115000000000009"/>
    <n v="0.58330421277421862"/>
  </r>
  <r>
    <s v="VD-0496"/>
    <d v="2025-07-22T00:00:00"/>
    <x v="4"/>
    <x v="2"/>
    <s v="Loja Física"/>
    <s v="Isabela Reis"/>
    <s v="Casa"/>
    <s v="Kit Lençol 4p"/>
    <n v="1"/>
    <n v="279.05"/>
    <n v="0.05"/>
    <n v="121.29"/>
    <s v="Concluída"/>
    <n v="279.05"/>
    <n v="13.952500000000001"/>
    <n v="265.09750000000003"/>
    <n v="121.29"/>
    <n v="143.8075"/>
    <n v="0.54247022321975868"/>
  </r>
  <r>
    <s v="VD-0425"/>
    <d v="2025-07-23T00:00:00"/>
    <x v="1"/>
    <x v="0"/>
    <s v="Televendas"/>
    <s v="Giovana Melo"/>
    <s v="Beleza"/>
    <s v="Secador Pro"/>
    <n v="2"/>
    <n v="414.13"/>
    <n v="0.1"/>
    <n v="223.61"/>
    <s v="Concluída"/>
    <n v="828.26"/>
    <n v="82.826000000000008"/>
    <n v="745.43399999999997"/>
    <n v="447.22"/>
    <n v="298.21399999999994"/>
    <n v="0.40005419661566277"/>
  </r>
  <r>
    <s v="VD-0488"/>
    <d v="2025-07-23T00:00:00"/>
    <x v="6"/>
    <x v="0"/>
    <s v="E-commerce"/>
    <s v="Heitor Nunes"/>
    <s v="Casa"/>
    <s v="Kit Lençol 4p"/>
    <n v="1"/>
    <n v="293.48"/>
    <n v="0.05"/>
    <n v="128.59"/>
    <s v="Concluída"/>
    <n v="293.48"/>
    <n v="14.674000000000001"/>
    <n v="278.80600000000004"/>
    <n v="128.59"/>
    <n v="150.21600000000004"/>
    <n v="0.53878323995896793"/>
  </r>
  <r>
    <s v="VD-0439"/>
    <d v="2025-07-24T00:00:00"/>
    <x v="6"/>
    <x v="0"/>
    <s v="Loja Física"/>
    <s v="João Pedro"/>
    <s v="Esporte"/>
    <s v="Colchonete Pro"/>
    <n v="1"/>
    <n v="145.76"/>
    <n v="0"/>
    <n v="60.14"/>
    <s v="Concluída"/>
    <n v="145.76"/>
    <n v="0"/>
    <n v="145.76"/>
    <n v="60.14"/>
    <n v="85.61999999999999"/>
    <n v="0.58740395170142701"/>
  </r>
  <r>
    <s v="VD-0463"/>
    <d v="2025-07-24T00:00:00"/>
    <x v="3"/>
    <x v="2"/>
    <s v="Loja Física"/>
    <s v="Marcos Silva"/>
    <s v="Casa"/>
    <s v="Kit Lençol 4p"/>
    <n v="1"/>
    <n v="273.26"/>
    <n v="0.15"/>
    <n v="117.04"/>
    <s v="Cancelada"/>
    <n v="273.26"/>
    <n v="40.988999999999997"/>
    <n v="0"/>
    <n v="0"/>
    <n v="0"/>
    <s v=""/>
  </r>
  <r>
    <s v="VD-0473"/>
    <d v="2025-07-24T00:00:00"/>
    <x v="7"/>
    <x v="3"/>
    <s v="E-commerce"/>
    <s v="Isabela Reis"/>
    <s v="Esporte"/>
    <s v="Colchonete Pro"/>
    <n v="2"/>
    <n v="148.47999999999999"/>
    <n v="0.03"/>
    <n v="58.21"/>
    <s v="Concluída"/>
    <n v="296.95999999999998"/>
    <n v="8.9087999999999994"/>
    <n v="288.05119999999999"/>
    <n v="116.42"/>
    <n v="171.63119999999998"/>
    <n v="0.59583574031283326"/>
  </r>
  <r>
    <s v="VD-0477"/>
    <d v="2025-07-24T00:00:00"/>
    <x v="5"/>
    <x v="1"/>
    <s v="Televendas"/>
    <s v="Ana Costa"/>
    <s v="Casa"/>
    <s v="Air Fryer 5L"/>
    <n v="1"/>
    <n v="727.23"/>
    <n v="0.03"/>
    <n v="403.93"/>
    <s v="Concluída"/>
    <n v="727.23"/>
    <n v="21.8169"/>
    <n v="705.41309999999999"/>
    <n v="403.93"/>
    <n v="301.48309999999998"/>
    <n v="0.42738517331192172"/>
  </r>
  <r>
    <s v="VD-0485"/>
    <d v="2025-07-24T00:00:00"/>
    <x v="4"/>
    <x v="2"/>
    <s v="E-commerce"/>
    <s v="Larissa Freitas"/>
    <s v="Acessórios"/>
    <s v="Óculos Sol"/>
    <n v="1"/>
    <n v="361.12"/>
    <n v="0.15"/>
    <n v="157.57"/>
    <s v="Concluída"/>
    <n v="361.12"/>
    <n v="54.167999999999999"/>
    <n v="306.952"/>
    <n v="157.57"/>
    <n v="149.38200000000001"/>
    <n v="0.48666240975787745"/>
  </r>
  <r>
    <s v="VD-0495"/>
    <d v="2025-07-24T00:00:00"/>
    <x v="5"/>
    <x v="1"/>
    <s v="Loja Física"/>
    <s v="Ana Costa"/>
    <s v="Esporte"/>
    <s v="Bike Urbana"/>
    <n v="1"/>
    <n v="2417.59"/>
    <n v="0"/>
    <n v="1702.25"/>
    <s v="Concluída"/>
    <n v="2417.59"/>
    <n v="0"/>
    <n v="2417.59"/>
    <n v="1702.25"/>
    <n v="715.34000000000015"/>
    <n v="0.29588970834591477"/>
  </r>
  <r>
    <s v="VD-0434"/>
    <d v="2025-07-25T00:00:00"/>
    <x v="6"/>
    <x v="0"/>
    <s v="E-commerce"/>
    <s v="Larissa Freitas"/>
    <s v="Casa"/>
    <s v="Air Fryer 5L"/>
    <n v="1"/>
    <n v="697.64"/>
    <n v="0.2"/>
    <n v="384.37"/>
    <s v="Concluída"/>
    <n v="697.64"/>
    <n v="139.52799999999999"/>
    <n v="558.11199999999997"/>
    <n v="384.37"/>
    <n v="173.74199999999996"/>
    <n v="0.31130310761997587"/>
  </r>
  <r>
    <s v="VD-0468"/>
    <d v="2025-07-25T00:00:00"/>
    <x v="7"/>
    <x v="3"/>
    <s v="Marketplace"/>
    <s v="Bruno Lima"/>
    <s v="Informática"/>
    <s v="Mouse Pro"/>
    <n v="1"/>
    <n v="185.88"/>
    <n v="0.15"/>
    <n v="82.53"/>
    <s v="Concluída"/>
    <n v="185.88"/>
    <n v="27.881999999999998"/>
    <n v="157.99799999999999"/>
    <n v="82.53"/>
    <n v="75.467999999999989"/>
    <n v="0.47765161584323851"/>
  </r>
  <r>
    <s v="VD-0486"/>
    <d v="2025-07-25T00:00:00"/>
    <x v="7"/>
    <x v="3"/>
    <s v="Loja Física"/>
    <s v="Heitor Nunes"/>
    <s v="Acessórios"/>
    <s v="Relógio Fit"/>
    <n v="1"/>
    <n v="707.69"/>
    <n v="0.08"/>
    <n v="353.13"/>
    <s v="Concluída"/>
    <n v="707.69"/>
    <n v="56.615200000000009"/>
    <n v="651.0748000000001"/>
    <n v="353.13"/>
    <n v="297.9448000000001"/>
    <n v="0.45761992324077055"/>
  </r>
  <r>
    <s v="VD-0487"/>
    <d v="2025-07-25T00:00:00"/>
    <x v="2"/>
    <x v="1"/>
    <s v="Televendas"/>
    <s v="Felipe Martins"/>
    <s v="Casa"/>
    <s v="Panela Pressão 6L"/>
    <n v="1"/>
    <n v="482.7"/>
    <n v="0.03"/>
    <n v="272.12"/>
    <s v="Concluída"/>
    <n v="482.7"/>
    <n v="14.481"/>
    <n v="468.21899999999999"/>
    <n v="272.12"/>
    <n v="196.09899999999999"/>
    <n v="0.41881897146420799"/>
  </r>
  <r>
    <s v="VD-0489"/>
    <d v="2025-07-25T00:00:00"/>
    <x v="1"/>
    <x v="0"/>
    <s v="Loja Física"/>
    <s v="Diego Alves"/>
    <s v="Esporte"/>
    <s v="Halteres 10kg"/>
    <n v="2"/>
    <n v="379.07"/>
    <n v="0.1"/>
    <n v="215.94"/>
    <s v="Concluída"/>
    <n v="758.14"/>
    <n v="75.814000000000007"/>
    <n v="682.32600000000002"/>
    <n v="431.88"/>
    <n v="250.44600000000003"/>
    <n v="0.36704742307929056"/>
  </r>
  <r>
    <s v="VD-0492"/>
    <d v="2025-07-25T00:00:00"/>
    <x v="7"/>
    <x v="3"/>
    <s v="Loja Física"/>
    <s v="Felipe Martins"/>
    <s v="Esporte"/>
    <s v="Colchonete Pro"/>
    <n v="2"/>
    <n v="137.9"/>
    <n v="0.15"/>
    <n v="54.99"/>
    <s v="Concluída"/>
    <n v="275.8"/>
    <n v="41.37"/>
    <n v="234.43"/>
    <n v="109.98"/>
    <n v="124.45"/>
    <n v="0.53086209102930515"/>
  </r>
  <r>
    <s v="VD-0441"/>
    <d v="2025-07-26T00:00:00"/>
    <x v="2"/>
    <x v="1"/>
    <s v="Loja Física"/>
    <s v="João Pedro"/>
    <s v="Casa"/>
    <s v="Tapete Sala"/>
    <n v="2"/>
    <n v="541.07000000000005"/>
    <n v="0"/>
    <n v="288.26"/>
    <s v="Concluída"/>
    <n v="1082.1400000000001"/>
    <n v="0"/>
    <n v="1082.1400000000001"/>
    <n v="576.52"/>
    <n v="505.62000000000012"/>
    <n v="0.4672408375995713"/>
  </r>
  <r>
    <s v="VD-0444"/>
    <d v="2025-07-26T00:00:00"/>
    <x v="2"/>
    <x v="1"/>
    <s v="Loja Física"/>
    <s v="Marcos Silva"/>
    <s v="Acessórios"/>
    <s v="Relógio Fit"/>
    <n v="2"/>
    <n v="683.55"/>
    <n v="0"/>
    <n v="330.63"/>
    <s v="Concluída"/>
    <n v="1367.1"/>
    <n v="0"/>
    <n v="1367.1"/>
    <n v="661.26"/>
    <n v="705.83999999999992"/>
    <n v="0.51630458635066923"/>
  </r>
  <r>
    <s v="VD-0462"/>
    <d v="2025-07-26T00:00:00"/>
    <x v="0"/>
    <x v="0"/>
    <s v="E-commerce"/>
    <s v="Larissa Freitas"/>
    <s v="Beleza"/>
    <s v="Balança Smart"/>
    <n v="1"/>
    <n v="233.95"/>
    <n v="0.05"/>
    <n v="101.63"/>
    <s v="Concluída"/>
    <n v="233.95"/>
    <n v="11.6975"/>
    <n v="222.2525"/>
    <n v="101.63"/>
    <n v="120.6225"/>
    <n v="0.54272730340491104"/>
  </r>
  <r>
    <s v="VD-0491"/>
    <d v="2025-07-26T00:00:00"/>
    <x v="6"/>
    <x v="0"/>
    <s v="E-commerce"/>
    <s v="Marcos Silva"/>
    <s v="Acessórios"/>
    <s v="Mochila Urban"/>
    <n v="1"/>
    <n v="298.33"/>
    <n v="0.03"/>
    <n v="138.55000000000001"/>
    <s v="Concluída"/>
    <n v="298.33"/>
    <n v="8.9498999999999995"/>
    <n v="289.38009999999997"/>
    <n v="138.55000000000001"/>
    <n v="150.83009999999996"/>
    <n v="0.5212179413857414"/>
  </r>
  <r>
    <s v="VD-0493"/>
    <d v="2025-07-26T00:00:00"/>
    <x v="2"/>
    <x v="1"/>
    <s v="Loja Física"/>
    <s v="Camila Souza"/>
    <s v="Esporte"/>
    <s v="Bike Urbana"/>
    <n v="1"/>
    <n v="2347.34"/>
    <n v="0.1"/>
    <n v="1674.44"/>
    <s v="Concluída"/>
    <n v="2347.34"/>
    <n v="234.73400000000004"/>
    <n v="2112.6060000000002"/>
    <n v="1674.44"/>
    <n v="438.16600000000017"/>
    <n v="0.20740545089808518"/>
  </r>
  <r>
    <s v="VD-0429"/>
    <d v="2025-07-27T00:00:00"/>
    <x v="5"/>
    <x v="1"/>
    <s v="Loja Física"/>
    <s v="Diego Alves"/>
    <s v="Casa"/>
    <s v="Kit Lençol 4p"/>
    <n v="1"/>
    <n v="311.06"/>
    <n v="0.08"/>
    <n v="136.29"/>
    <s v="Concluída"/>
    <n v="311.06"/>
    <n v="24.884800000000002"/>
    <n v="286.17520000000002"/>
    <n v="136.29"/>
    <n v="149.88520000000003"/>
    <n v="0.52375328120675735"/>
  </r>
  <r>
    <s v="VD-0436"/>
    <d v="2025-07-27T00:00:00"/>
    <x v="7"/>
    <x v="3"/>
    <s v="E-commerce"/>
    <s v="Larissa Freitas"/>
    <s v="Casa"/>
    <s v="Panela Pressão 6L"/>
    <n v="1"/>
    <n v="448.87"/>
    <n v="0.2"/>
    <n v="246.42"/>
    <s v="Concluída"/>
    <n v="448.87"/>
    <n v="89.774000000000001"/>
    <n v="359.096"/>
    <n v="246.42"/>
    <n v="112.67600000000002"/>
    <n v="0.31377681734132379"/>
  </r>
  <r>
    <s v="VD-0449"/>
    <d v="2025-07-28T00:00:00"/>
    <x v="3"/>
    <x v="2"/>
    <s v="Marketplace"/>
    <s v="Marcos Silva"/>
    <s v="Casa"/>
    <s v="Kit Lençol 4p"/>
    <n v="2"/>
    <n v="299.63"/>
    <n v="0.25"/>
    <n v="136.22"/>
    <s v="Cancelada"/>
    <n v="599.26"/>
    <n v="149.815"/>
    <n v="0"/>
    <n v="0"/>
    <n v="0"/>
    <s v=""/>
  </r>
  <r>
    <s v="VD-0464"/>
    <d v="2025-07-28T00:00:00"/>
    <x v="4"/>
    <x v="2"/>
    <s v="Marketplace"/>
    <s v="Camila Souza"/>
    <s v="Informática"/>
    <s v="Teclado Mecânico"/>
    <n v="1"/>
    <n v="429.05"/>
    <n v="0.05"/>
    <n v="252.21"/>
    <s v="Concluída"/>
    <n v="429.05"/>
    <n v="21.452500000000001"/>
    <n v="407.59750000000003"/>
    <n v="252.21"/>
    <n v="155.38750000000002"/>
    <n v="0.38122780439036058"/>
  </r>
  <r>
    <s v="VD-0505"/>
    <d v="2025-08-01T00:00:00"/>
    <x v="7"/>
    <x v="3"/>
    <s v="Loja Física"/>
    <s v="Heitor Nunes"/>
    <s v="Acessórios"/>
    <s v="Mochila Urban"/>
    <n v="1"/>
    <n v="302.63"/>
    <n v="0.1"/>
    <n v="143.49"/>
    <s v="Concluída"/>
    <n v="302.63"/>
    <n v="30.263000000000002"/>
    <n v="272.36700000000002"/>
    <n v="143.49"/>
    <n v="128.87700000000001"/>
    <n v="0.47317406293713998"/>
  </r>
  <r>
    <s v="VD-0552"/>
    <d v="2025-08-01T00:00:00"/>
    <x v="1"/>
    <x v="0"/>
    <s v="Loja Física"/>
    <s v="Giovana Melo"/>
    <s v="Acessórios"/>
    <s v="Relógio Fit"/>
    <n v="1"/>
    <n v="664.12"/>
    <n v="0.15"/>
    <n v="314.05"/>
    <s v="Concluída"/>
    <n v="664.12"/>
    <n v="99.617999999999995"/>
    <n v="564.50199999999995"/>
    <n v="314.05"/>
    <n v="250.45199999999994"/>
    <n v="0.44366893297100801"/>
  </r>
  <r>
    <s v="VD-0513"/>
    <d v="2025-08-02T00:00:00"/>
    <x v="3"/>
    <x v="2"/>
    <s v="E-commerce"/>
    <s v="Camila Souza"/>
    <s v="Informática"/>
    <s v="Notebook Nova 14"/>
    <n v="1"/>
    <n v="3989.56"/>
    <n v="0.05"/>
    <n v="3222.66"/>
    <s v="Concluída"/>
    <n v="3989.56"/>
    <n v="199.47800000000001"/>
    <n v="3790.0819999999999"/>
    <n v="3222.66"/>
    <n v="567.42200000000003"/>
    <n v="0.14971232812377147"/>
  </r>
  <r>
    <s v="VD-0544"/>
    <d v="2025-08-02T00:00:00"/>
    <x v="7"/>
    <x v="3"/>
    <s v="Loja Física"/>
    <s v="Ana Costa"/>
    <s v="Informática"/>
    <s v="Notebook Nova 14"/>
    <n v="1"/>
    <n v="4143.42"/>
    <n v="0"/>
    <n v="3299.05"/>
    <s v="Concluída"/>
    <n v="4143.42"/>
    <n v="0"/>
    <n v="4143.42"/>
    <n v="3299.05"/>
    <n v="844.36999999999989"/>
    <n v="0.20378576152067612"/>
  </r>
  <r>
    <s v="VD-0563"/>
    <d v="2025-08-02T00:00:00"/>
    <x v="0"/>
    <x v="0"/>
    <s v="Loja Física"/>
    <s v="Camila Souza"/>
    <s v="Beleza"/>
    <s v="Secador Pro"/>
    <n v="1"/>
    <n v="435.83"/>
    <n v="0.15"/>
    <n v="244.01"/>
    <s v="Concluída"/>
    <n v="435.83"/>
    <n v="65.374499999999998"/>
    <n v="370.45549999999997"/>
    <n v="244.01"/>
    <n v="126.44549999999998"/>
    <n v="0.34132439658744435"/>
  </r>
  <r>
    <s v="VD-0541"/>
    <d v="2025-08-03T00:00:00"/>
    <x v="5"/>
    <x v="1"/>
    <s v="Marketplace"/>
    <s v="Isabela Reis"/>
    <s v="Informática"/>
    <s v="Fone Wave"/>
    <n v="2"/>
    <n v="257.89999999999998"/>
    <n v="0.1"/>
    <n v="127.38"/>
    <s v="Concluída"/>
    <n v="515.79999999999995"/>
    <n v="51.58"/>
    <n v="464.21999999999997"/>
    <n v="254.76"/>
    <n v="209.45999999999998"/>
    <n v="0.45120847873852915"/>
  </r>
  <r>
    <s v="VD-0542"/>
    <d v="2025-08-03T00:00:00"/>
    <x v="6"/>
    <x v="0"/>
    <s v="Televendas"/>
    <s v="Larissa Freitas"/>
    <s v="Casa"/>
    <s v="Tapete Sala"/>
    <n v="1"/>
    <n v="561.03"/>
    <n v="0.1"/>
    <n v="282.18"/>
    <s v="Concluída"/>
    <n v="561.03"/>
    <n v="56.103000000000002"/>
    <n v="504.92699999999996"/>
    <n v="282.18"/>
    <n v="222.74699999999996"/>
    <n v="0.44114693807223615"/>
  </r>
  <r>
    <s v="VD-0547"/>
    <d v="2025-08-03T00:00:00"/>
    <x v="4"/>
    <x v="2"/>
    <s v="Marketplace"/>
    <s v="Giovana Melo"/>
    <s v="Informática"/>
    <s v="Monitor 27 Ultra"/>
    <n v="2"/>
    <n v="1302.54"/>
    <n v="0.15"/>
    <n v="902.66"/>
    <s v="Concluída"/>
    <n v="2605.08"/>
    <n v="390.762"/>
    <n v="2214.3179999999998"/>
    <n v="1805.32"/>
    <n v="408.99799999999982"/>
    <n v="0.18470608105972125"/>
  </r>
  <r>
    <s v="VD-0503"/>
    <d v="2025-08-04T00:00:00"/>
    <x v="7"/>
    <x v="3"/>
    <s v="Loja Física"/>
    <s v="Larissa Freitas"/>
    <s v="Esporte"/>
    <s v="Esteira Compacta"/>
    <n v="1"/>
    <n v="2581.9"/>
    <n v="0.08"/>
    <n v="1736.53"/>
    <s v="Concluída"/>
    <n v="2581.9"/>
    <n v="206.55200000000002"/>
    <n v="2375.348"/>
    <n v="1736.53"/>
    <n v="638.81799999999998"/>
    <n v="0.26893659371174244"/>
  </r>
  <r>
    <s v="VD-0519"/>
    <d v="2025-08-04T00:00:00"/>
    <x v="2"/>
    <x v="1"/>
    <s v="Televendas"/>
    <s v="Camila Souza"/>
    <s v="Informática"/>
    <s v="Teclado Mecânico"/>
    <n v="1"/>
    <n v="436.45"/>
    <n v="0.12"/>
    <n v="259.39"/>
    <s v="Concluída"/>
    <n v="436.45"/>
    <n v="52.373999999999995"/>
    <n v="384.07600000000002"/>
    <n v="259.39"/>
    <n v="124.68600000000004"/>
    <n v="0.32463887355627541"/>
  </r>
  <r>
    <s v="VD-0557"/>
    <d v="2025-08-04T00:00:00"/>
    <x v="0"/>
    <x v="0"/>
    <s v="Marketplace"/>
    <s v="Bruno Lima"/>
    <s v="Informática"/>
    <s v="Teclado Mecânico"/>
    <n v="1"/>
    <n v="401.7"/>
    <n v="0.1"/>
    <n v="225.35"/>
    <s v="Cancelada"/>
    <n v="401.7"/>
    <n v="40.17"/>
    <n v="0"/>
    <n v="0"/>
    <n v="0"/>
    <s v=""/>
  </r>
  <r>
    <s v="VD-0509"/>
    <d v="2025-08-05T00:00:00"/>
    <x v="4"/>
    <x v="2"/>
    <s v="Loja Física"/>
    <s v="Heitor Nunes"/>
    <s v="Esporte"/>
    <s v="Halteres 10kg"/>
    <n v="1"/>
    <n v="348.48"/>
    <n v="0"/>
    <n v="200.32"/>
    <s v="Concluída"/>
    <n v="348.48"/>
    <n v="0"/>
    <n v="348.48"/>
    <n v="200.32"/>
    <n v="148.16000000000003"/>
    <n v="0.42516069788797067"/>
  </r>
  <r>
    <s v="VD-0533"/>
    <d v="2025-08-05T00:00:00"/>
    <x v="7"/>
    <x v="3"/>
    <s v="Loja Física"/>
    <s v="Isabela Reis"/>
    <s v="Informática"/>
    <s v="Fone Wave"/>
    <n v="1"/>
    <n v="239.18"/>
    <n v="0.05"/>
    <n v="116.76"/>
    <s v="Concluída"/>
    <n v="239.18"/>
    <n v="11.959000000000001"/>
    <n v="227.221"/>
    <n v="116.76"/>
    <n v="110.461"/>
    <n v="0.48613904524669815"/>
  </r>
  <r>
    <s v="VD-0570"/>
    <d v="2025-08-05T00:00:00"/>
    <x v="2"/>
    <x v="1"/>
    <s v="Loja Física"/>
    <s v="Isabela Reis"/>
    <s v="Casa"/>
    <s v="Air Fryer 5L"/>
    <n v="1"/>
    <n v="656.68"/>
    <n v="0.1"/>
    <n v="379.22"/>
    <s v="Concluída"/>
    <n v="656.68"/>
    <n v="65.667999999999992"/>
    <n v="591.01199999999994"/>
    <n v="379.22"/>
    <n v="211.79199999999992"/>
    <n v="0.35835482189870921"/>
  </r>
  <r>
    <s v="VD-0569"/>
    <d v="2025-08-06T00:00:00"/>
    <x v="1"/>
    <x v="0"/>
    <s v="Loja Física"/>
    <s v="Giovana Melo"/>
    <s v="Esporte"/>
    <s v="Colchonete Pro"/>
    <n v="1"/>
    <n v="146.91"/>
    <n v="0"/>
    <n v="60.96"/>
    <s v="Concluída"/>
    <n v="146.91"/>
    <n v="0"/>
    <n v="146.91"/>
    <n v="60.96"/>
    <n v="85.949999999999989"/>
    <n v="0.58505207269756987"/>
  </r>
  <r>
    <s v="VD-0574"/>
    <d v="2025-08-06T00:00:00"/>
    <x v="6"/>
    <x v="0"/>
    <s v="Marketplace"/>
    <s v="Bruno Lima"/>
    <s v="Informática"/>
    <s v="Mouse Pro"/>
    <n v="2"/>
    <n v="176.48"/>
    <n v="0.15"/>
    <n v="81.96"/>
    <s v="Concluída"/>
    <n v="352.96"/>
    <n v="52.943999999999996"/>
    <n v="300.01599999999996"/>
    <n v="163.92"/>
    <n v="136.09599999999998"/>
    <n v="0.45362913977921177"/>
  </r>
  <r>
    <s v="VD-0556"/>
    <d v="2025-08-07T00:00:00"/>
    <x v="5"/>
    <x v="1"/>
    <s v="Marketplace"/>
    <s v="Diego Alves"/>
    <s v="Esporte"/>
    <s v="Bike Urbana"/>
    <n v="1"/>
    <n v="2455.5100000000002"/>
    <n v="0.2"/>
    <n v="1701.66"/>
    <s v="Concluída"/>
    <n v="2455.5100000000002"/>
    <n v="491.10200000000009"/>
    <n v="1964.4080000000001"/>
    <n v="1701.66"/>
    <n v="262.74800000000005"/>
    <n v="0.13375429136920641"/>
  </r>
  <r>
    <s v="VD-0502"/>
    <d v="2025-08-08T00:00:00"/>
    <x v="3"/>
    <x v="2"/>
    <s v="Loja Física"/>
    <s v="Camila Souza"/>
    <s v="Informática"/>
    <s v="Teclado Mecânico"/>
    <n v="1"/>
    <n v="448.49"/>
    <n v="0.1"/>
    <n v="258.26"/>
    <s v="Concluída"/>
    <n v="448.49"/>
    <n v="44.849000000000004"/>
    <n v="403.64100000000002"/>
    <n v="258.26"/>
    <n v="145.38100000000003"/>
    <n v="0.36017401601918542"/>
  </r>
  <r>
    <s v="VD-0565"/>
    <d v="2025-08-09T00:00:00"/>
    <x v="7"/>
    <x v="3"/>
    <s v="Loja Física"/>
    <s v="João Pedro"/>
    <s v="Acessórios"/>
    <s v="Óculos Sol"/>
    <n v="2"/>
    <n v="372.75"/>
    <n v="0"/>
    <n v="157.75"/>
    <s v="Concluída"/>
    <n v="745.5"/>
    <n v="0"/>
    <n v="745.5"/>
    <n v="315.5"/>
    <n v="430"/>
    <n v="0.57679409792085845"/>
  </r>
  <r>
    <s v="VD-0575"/>
    <d v="2025-08-09T00:00:00"/>
    <x v="6"/>
    <x v="0"/>
    <s v="Marketplace"/>
    <s v="Larissa Freitas"/>
    <s v="Informática"/>
    <s v="Teclado Mecânico"/>
    <n v="1"/>
    <n v="397.5"/>
    <n v="0.25"/>
    <n v="224.62"/>
    <s v="Concluída"/>
    <n v="397.5"/>
    <n v="99.375"/>
    <n v="298.125"/>
    <n v="224.62"/>
    <n v="73.504999999999995"/>
    <n v="0.24655765199161425"/>
  </r>
  <r>
    <s v="VD-0521"/>
    <d v="2025-08-10T00:00:00"/>
    <x v="2"/>
    <x v="1"/>
    <s v="E-commerce"/>
    <s v="Larissa Freitas"/>
    <s v="Casa"/>
    <s v="Air Fryer 5L"/>
    <n v="1"/>
    <n v="661.78"/>
    <n v="0.1"/>
    <n v="381.16"/>
    <s v="Concluída"/>
    <n v="661.78"/>
    <n v="66.177999999999997"/>
    <n v="595.60199999999998"/>
    <n v="381.16"/>
    <n v="214.44199999999995"/>
    <n v="0.36004244445116029"/>
  </r>
  <r>
    <s v="VD-0532"/>
    <d v="2025-08-10T00:00:00"/>
    <x v="1"/>
    <x v="0"/>
    <s v="E-commerce"/>
    <s v="Diego Alves"/>
    <s v="Casa"/>
    <s v="Panela Pressão 6L"/>
    <n v="2"/>
    <n v="469.48"/>
    <n v="0.1"/>
    <n v="268.02"/>
    <s v="Concluída"/>
    <n v="938.96"/>
    <n v="93.896000000000015"/>
    <n v="845.06400000000008"/>
    <n v="536.04"/>
    <n v="309.02400000000011"/>
    <n v="0.36568117917696186"/>
  </r>
  <r>
    <s v="VD-0535"/>
    <d v="2025-08-10T00:00:00"/>
    <x v="5"/>
    <x v="1"/>
    <s v="E-commerce"/>
    <s v="Bruno Lima"/>
    <s v="Informática"/>
    <s v="Teclado Mecânico"/>
    <n v="2"/>
    <n v="423.81"/>
    <n v="0.05"/>
    <n v="236.95"/>
    <s v="Concluída"/>
    <n v="847.62"/>
    <n v="42.381"/>
    <n v="805.23900000000003"/>
    <n v="473.9"/>
    <n v="331.33900000000006"/>
    <n v="0.41147907639843578"/>
  </r>
  <r>
    <s v="VD-0537"/>
    <d v="2025-08-10T00:00:00"/>
    <x v="6"/>
    <x v="0"/>
    <s v="Marketplace"/>
    <s v="Bruno Lima"/>
    <s v="Esporte"/>
    <s v="Colchonete Pro"/>
    <n v="2"/>
    <n v="135.88"/>
    <n v="0.2"/>
    <n v="54.54"/>
    <s v="Concluída"/>
    <n v="271.76"/>
    <n v="54.352000000000004"/>
    <n v="217.40799999999999"/>
    <n v="109.08"/>
    <n v="108.32799999999999"/>
    <n v="0.49827053282307915"/>
  </r>
  <r>
    <s v="VD-0553"/>
    <d v="2025-08-10T00:00:00"/>
    <x v="0"/>
    <x v="0"/>
    <s v="Marketplace"/>
    <s v="Bruno Lima"/>
    <s v="Beleza"/>
    <s v="Creme Facial"/>
    <n v="3"/>
    <n v="146"/>
    <n v="0.05"/>
    <n v="51.22"/>
    <s v="Concluída"/>
    <n v="438"/>
    <n v="21.900000000000002"/>
    <n v="416.1"/>
    <n v="153.66"/>
    <n v="262.44000000000005"/>
    <n v="0.63071377072819046"/>
  </r>
  <r>
    <s v="VD-0559"/>
    <d v="2025-08-10T00:00:00"/>
    <x v="1"/>
    <x v="0"/>
    <s v="Televendas"/>
    <s v="Giovana Melo"/>
    <s v="Acessórios"/>
    <s v="Relógio Fit"/>
    <n v="1"/>
    <n v="750.24"/>
    <n v="0"/>
    <n v="371.8"/>
    <s v="Concluída"/>
    <n v="750.24"/>
    <n v="0"/>
    <n v="750.24"/>
    <n v="371.8"/>
    <n v="378.44"/>
    <n v="0.50442525058647902"/>
  </r>
  <r>
    <s v="VD-0561"/>
    <d v="2025-08-10T00:00:00"/>
    <x v="4"/>
    <x v="2"/>
    <s v="E-commerce"/>
    <s v="Heitor Nunes"/>
    <s v="Beleza"/>
    <s v="Secador Pro"/>
    <n v="1"/>
    <n v="401.31"/>
    <n v="0.05"/>
    <n v="221.83"/>
    <s v="Concluída"/>
    <n v="401.31"/>
    <n v="20.0655"/>
    <n v="381.24450000000002"/>
    <n v="221.83"/>
    <n v="159.4145"/>
    <n v="0.41814242566122267"/>
  </r>
  <r>
    <s v="VD-0572"/>
    <d v="2025-08-10T00:00:00"/>
    <x v="1"/>
    <x v="0"/>
    <s v="E-commerce"/>
    <s v="Ana Costa"/>
    <s v="Casa"/>
    <s v="Panela Pressão 6L"/>
    <n v="1"/>
    <n v="414.15"/>
    <n v="0.15"/>
    <n v="230.38"/>
    <s v="Concluída"/>
    <n v="414.15"/>
    <n v="62.122499999999995"/>
    <n v="352.02749999999997"/>
    <n v="230.38"/>
    <n v="121.64749999999998"/>
    <n v="0.34556249156670993"/>
  </r>
  <r>
    <s v="VD-0523"/>
    <d v="2025-08-11T00:00:00"/>
    <x v="0"/>
    <x v="0"/>
    <s v="Marketplace"/>
    <s v="Diego Alves"/>
    <s v="Acessórios"/>
    <s v="Mochila Urban"/>
    <n v="2"/>
    <n v="300.74"/>
    <n v="0.2"/>
    <n v="142.72"/>
    <s v="Concluída"/>
    <n v="601.48"/>
    <n v="120.29600000000001"/>
    <n v="481.18400000000003"/>
    <n v="285.44"/>
    <n v="195.74400000000003"/>
    <n v="0.40679656846445439"/>
  </r>
  <r>
    <s v="VD-0525"/>
    <d v="2025-08-11T00:00:00"/>
    <x v="4"/>
    <x v="2"/>
    <s v="Loja Física"/>
    <s v="Heitor Nunes"/>
    <s v="Esporte"/>
    <s v="Colchonete Pro"/>
    <n v="1"/>
    <n v="139.96"/>
    <n v="0.05"/>
    <n v="54.83"/>
    <s v="Concluída"/>
    <n v="139.96"/>
    <n v="6.9980000000000011"/>
    <n v="132.96200000000002"/>
    <n v="54.83"/>
    <n v="78.132000000000019"/>
    <n v="0.58762653991365965"/>
  </r>
  <r>
    <s v="VD-0548"/>
    <d v="2025-08-12T00:00:00"/>
    <x v="7"/>
    <x v="3"/>
    <s v="Marketplace"/>
    <s v="Bruno Lima"/>
    <s v="Informática"/>
    <s v="Notebook Nova 14"/>
    <n v="2"/>
    <n v="3842.18"/>
    <n v="0.2"/>
    <n v="2940.08"/>
    <s v="Concluída"/>
    <n v="7684.36"/>
    <n v="1536.8720000000001"/>
    <n v="6147.4879999999994"/>
    <n v="5880.16"/>
    <n v="267.32799999999952"/>
    <n v="4.3485729455673527E-2"/>
  </r>
  <r>
    <s v="VD-0558"/>
    <d v="2025-08-12T00:00:00"/>
    <x v="3"/>
    <x v="2"/>
    <s v="Loja Física"/>
    <s v="Marcos Silva"/>
    <s v="Informática"/>
    <s v="Teclado Mecânico"/>
    <n v="1"/>
    <n v="392.06"/>
    <n v="0.08"/>
    <n v="220.55"/>
    <s v="Concluída"/>
    <n v="392.06"/>
    <n v="31.364800000000002"/>
    <n v="360.6952"/>
    <n v="220.55"/>
    <n v="140.14519999999999"/>
    <n v="0.38854190463305305"/>
  </r>
  <r>
    <s v="VD-0549"/>
    <d v="2025-08-13T00:00:00"/>
    <x v="4"/>
    <x v="2"/>
    <s v="Televendas"/>
    <s v="Diego Alves"/>
    <s v="Informática"/>
    <s v="Fone Wave"/>
    <n v="1"/>
    <n v="252.92"/>
    <n v="0"/>
    <n v="116.85"/>
    <s v="Devolvida"/>
    <n v="252.92"/>
    <n v="0"/>
    <n v="0"/>
    <n v="0"/>
    <n v="0"/>
    <s v=""/>
  </r>
  <r>
    <s v="VD-0550"/>
    <d v="2025-08-13T00:00:00"/>
    <x v="0"/>
    <x v="0"/>
    <s v="E-commerce"/>
    <s v="Larissa Freitas"/>
    <s v="Esporte"/>
    <s v="Halteres 10kg"/>
    <n v="2"/>
    <n v="369.01"/>
    <n v="0.15"/>
    <n v="201.4"/>
    <s v="Concluída"/>
    <n v="738.02"/>
    <n v="110.70299999999999"/>
    <n v="627.31700000000001"/>
    <n v="402.8"/>
    <n v="224.517"/>
    <n v="0.35790039166800836"/>
  </r>
  <r>
    <s v="VD-0520"/>
    <d v="2025-08-14T00:00:00"/>
    <x v="4"/>
    <x v="2"/>
    <s v="Loja Física"/>
    <s v="Marcos Silva"/>
    <s v="Informática"/>
    <s v="Notebook Nova 14"/>
    <n v="1"/>
    <n v="3625.19"/>
    <n v="0"/>
    <n v="2802.38"/>
    <s v="Concluída"/>
    <n v="3625.19"/>
    <n v="0"/>
    <n v="3625.19"/>
    <n v="2802.38"/>
    <n v="822.81"/>
    <n v="0.22697017259785002"/>
  </r>
  <r>
    <s v="VD-0551"/>
    <d v="2025-08-14T00:00:00"/>
    <x v="0"/>
    <x v="0"/>
    <s v="Televendas"/>
    <s v="Bruno Lima"/>
    <s v="Casa"/>
    <s v="Air Fryer 5L"/>
    <n v="1"/>
    <n v="651.91"/>
    <n v="0.05"/>
    <n v="381.84"/>
    <s v="Concluída"/>
    <n v="651.91"/>
    <n v="32.595500000000001"/>
    <n v="619.31449999999995"/>
    <n v="381.84"/>
    <n v="237.47449999999998"/>
    <n v="0.38344734379705303"/>
  </r>
  <r>
    <s v="VD-0515"/>
    <d v="2025-08-15T00:00:00"/>
    <x v="4"/>
    <x v="2"/>
    <s v="E-commerce"/>
    <s v="Felipe Martins"/>
    <s v="Esporte"/>
    <s v="Colchonete Pro"/>
    <n v="1"/>
    <n v="143.75"/>
    <n v="0.1"/>
    <n v="55.7"/>
    <s v="Concluída"/>
    <n v="143.75"/>
    <n v="14.375"/>
    <n v="129.375"/>
    <n v="55.7"/>
    <n v="73.674999999999997"/>
    <n v="0.56946859903381641"/>
  </r>
  <r>
    <s v="VD-0539"/>
    <d v="2025-08-15T00:00:00"/>
    <x v="6"/>
    <x v="0"/>
    <s v="Marketplace"/>
    <s v="Isabela Reis"/>
    <s v="Beleza"/>
    <s v="Creme Facial"/>
    <n v="1"/>
    <n v="160.31"/>
    <n v="0.2"/>
    <n v="57.22"/>
    <s v="Concluída"/>
    <n v="160.31"/>
    <n v="32.062000000000005"/>
    <n v="128.24799999999999"/>
    <n v="57.22"/>
    <n v="71.027999999999992"/>
    <n v="0.55383319817852905"/>
  </r>
  <r>
    <s v="VD-0554"/>
    <d v="2025-08-15T00:00:00"/>
    <x v="1"/>
    <x v="0"/>
    <s v="Loja Física"/>
    <s v="Giovana Melo"/>
    <s v="Beleza"/>
    <s v="Creme Facial"/>
    <n v="1"/>
    <n v="154.97"/>
    <n v="0.15"/>
    <n v="52.54"/>
    <s v="Concluída"/>
    <n v="154.97"/>
    <n v="23.2455"/>
    <n v="131.72450000000001"/>
    <n v="52.54"/>
    <n v="79.184500000000014"/>
    <n v="0.60113722200501818"/>
  </r>
  <r>
    <s v="VD-0524"/>
    <d v="2025-08-16T00:00:00"/>
    <x v="0"/>
    <x v="0"/>
    <s v="Loja Física"/>
    <s v="Camila Souza"/>
    <s v="Informática"/>
    <s v="Mouse Pro"/>
    <n v="2"/>
    <n v="198.86"/>
    <n v="0.05"/>
    <n v="89.1"/>
    <s v="Concluída"/>
    <n v="397.72"/>
    <n v="19.886000000000003"/>
    <n v="377.834"/>
    <n v="178.2"/>
    <n v="199.63400000000001"/>
    <n v="0.52836430813531876"/>
  </r>
  <r>
    <s v="VD-0507"/>
    <d v="2025-08-17T00:00:00"/>
    <x v="2"/>
    <x v="1"/>
    <s v="E-commerce"/>
    <s v="Giovana Melo"/>
    <s v="Esporte"/>
    <s v="Colchonete Pro"/>
    <n v="1"/>
    <n v="144.62"/>
    <n v="0.03"/>
    <n v="58.14"/>
    <s v="Concluída"/>
    <n v="144.62"/>
    <n v="4.3385999999999996"/>
    <n v="140.28140000000002"/>
    <n v="58.14"/>
    <n v="82.141400000000019"/>
    <n v="0.58554733556979044"/>
  </r>
  <r>
    <s v="VD-0528"/>
    <d v="2025-08-17T00:00:00"/>
    <x v="0"/>
    <x v="0"/>
    <s v="Marketplace"/>
    <s v="Ana Costa"/>
    <s v="Casa"/>
    <s v="Panela Pressão 6L"/>
    <n v="1"/>
    <n v="474.13"/>
    <n v="0.25"/>
    <n v="266.67"/>
    <s v="Cancelada"/>
    <n v="474.13"/>
    <n v="118.5325"/>
    <n v="0"/>
    <n v="0"/>
    <n v="0"/>
    <s v=""/>
  </r>
  <r>
    <s v="VD-0540"/>
    <d v="2025-08-17T00:00:00"/>
    <x v="5"/>
    <x v="1"/>
    <s v="E-commerce"/>
    <s v="Heitor Nunes"/>
    <s v="Acessórios"/>
    <s v="Óculos Sol"/>
    <n v="2"/>
    <n v="404.35"/>
    <n v="0.2"/>
    <n v="183.89"/>
    <s v="Concluída"/>
    <n v="808.7"/>
    <n v="161.74"/>
    <n v="646.96"/>
    <n v="367.78"/>
    <n v="279.18000000000006"/>
    <n v="0.43152590577470024"/>
  </r>
  <r>
    <s v="VD-0543"/>
    <d v="2025-08-17T00:00:00"/>
    <x v="6"/>
    <x v="0"/>
    <s v="Loja Física"/>
    <s v="Felipe Martins"/>
    <s v="Informática"/>
    <s v="Mouse Pro"/>
    <n v="1"/>
    <n v="188.08"/>
    <n v="0"/>
    <n v="83.54"/>
    <s v="Concluída"/>
    <n v="188.08"/>
    <n v="0"/>
    <n v="188.08"/>
    <n v="83.54"/>
    <n v="104.54"/>
    <n v="0.55582730752871123"/>
  </r>
  <r>
    <s v="VD-0566"/>
    <d v="2025-08-17T00:00:00"/>
    <x v="2"/>
    <x v="1"/>
    <s v="Marketplace"/>
    <s v="Diego Alves"/>
    <s v="Beleza"/>
    <s v="Secador Pro"/>
    <n v="1"/>
    <n v="430.24"/>
    <n v="0.15"/>
    <n v="246.07"/>
    <s v="Concluída"/>
    <n v="430.24"/>
    <n v="64.536000000000001"/>
    <n v="365.70400000000001"/>
    <n v="246.07"/>
    <n v="119.63400000000001"/>
    <n v="0.32713341937742002"/>
  </r>
  <r>
    <s v="VD-0568"/>
    <d v="2025-08-17T00:00:00"/>
    <x v="2"/>
    <x v="1"/>
    <s v="Loja Física"/>
    <s v="Giovana Melo"/>
    <s v="Casa"/>
    <s v="Kit Lençol 4p"/>
    <n v="1"/>
    <n v="302.58999999999997"/>
    <n v="0.15"/>
    <n v="128.16"/>
    <s v="Concluída"/>
    <n v="302.58999999999997"/>
    <n v="45.388499999999993"/>
    <n v="257.20150000000001"/>
    <n v="128.16"/>
    <n v="129.04150000000001"/>
    <n v="0.50171363697334581"/>
  </r>
  <r>
    <s v="VD-0545"/>
    <d v="2025-08-18T00:00:00"/>
    <x v="1"/>
    <x v="0"/>
    <s v="E-commerce"/>
    <s v="Diego Alves"/>
    <s v="Acessórios"/>
    <s v="Óculos Sol"/>
    <n v="1"/>
    <n v="350.99"/>
    <n v="0.1"/>
    <n v="159.28"/>
    <s v="Concluída"/>
    <n v="350.99"/>
    <n v="35.099000000000004"/>
    <n v="315.89100000000002"/>
    <n v="159.28"/>
    <n v="156.61100000000002"/>
    <n v="0.49577544152888181"/>
  </r>
  <r>
    <s v="VD-0506"/>
    <d v="2025-08-19T00:00:00"/>
    <x v="0"/>
    <x v="0"/>
    <s v="E-commerce"/>
    <s v="Elisa Rocha"/>
    <s v="Acessórios"/>
    <s v="Óculos Sol"/>
    <n v="1"/>
    <n v="361.15"/>
    <n v="0.05"/>
    <n v="155.13"/>
    <s v="Concluída"/>
    <n v="361.15"/>
    <n v="18.057500000000001"/>
    <n v="343.09249999999997"/>
    <n v="155.13"/>
    <n v="187.96249999999998"/>
    <n v="0.5478478835882451"/>
  </r>
  <r>
    <s v="VD-0538"/>
    <d v="2025-08-19T00:00:00"/>
    <x v="3"/>
    <x v="2"/>
    <s v="Marketplace"/>
    <s v="Heitor Nunes"/>
    <s v="Casa"/>
    <s v="Cadeira Escritório"/>
    <n v="1"/>
    <n v="1197.47"/>
    <n v="0.25"/>
    <n v="859.41"/>
    <s v="Concluída"/>
    <n v="1197.47"/>
    <n v="299.36750000000001"/>
    <n v="898.10249999999996"/>
    <n v="859.41"/>
    <n v="38.692499999999995"/>
    <n v="4.3082498935255162E-2"/>
  </r>
  <r>
    <s v="VD-0527"/>
    <d v="2025-08-20T00:00:00"/>
    <x v="3"/>
    <x v="2"/>
    <s v="E-commerce"/>
    <s v="João Pedro"/>
    <s v="Casa"/>
    <s v="Air Fryer 5L"/>
    <n v="1"/>
    <n v="672.73"/>
    <n v="0.15"/>
    <n v="371.89"/>
    <s v="Concluída"/>
    <n v="672.73"/>
    <n v="100.90949999999999"/>
    <n v="571.82050000000004"/>
    <n v="371.89"/>
    <n v="199.93050000000005"/>
    <n v="0.34963856664810028"/>
  </r>
  <r>
    <s v="VD-0546"/>
    <d v="2025-08-20T00:00:00"/>
    <x v="4"/>
    <x v="2"/>
    <s v="Marketplace"/>
    <s v="Larissa Freitas"/>
    <s v="Esporte"/>
    <s v="Bike Urbana"/>
    <n v="1"/>
    <n v="2192.31"/>
    <n v="0.15"/>
    <n v="1569.58"/>
    <s v="Concluída"/>
    <n v="2192.31"/>
    <n v="328.84649999999999"/>
    <n v="1863.4634999999998"/>
    <n v="1569.58"/>
    <n v="293.88349999999991"/>
    <n v="0.15770821376431571"/>
  </r>
  <r>
    <s v="VD-0573"/>
    <d v="2025-08-20T00:00:00"/>
    <x v="3"/>
    <x v="2"/>
    <s v="E-commerce"/>
    <s v="Heitor Nunes"/>
    <s v="Informática"/>
    <s v="Teclado Mecânico"/>
    <n v="2"/>
    <n v="410.24"/>
    <n v="0.2"/>
    <n v="230.53"/>
    <s v="Concluída"/>
    <n v="820.48"/>
    <n v="164.096"/>
    <n v="656.38400000000001"/>
    <n v="461.06"/>
    <n v="195.32400000000001"/>
    <n v="0.29757580928237132"/>
  </r>
  <r>
    <s v="VD-0511"/>
    <d v="2025-08-21T00:00:00"/>
    <x v="7"/>
    <x v="3"/>
    <s v="Loja Física"/>
    <s v="Diego Alves"/>
    <s v="Casa"/>
    <s v="Kit Lençol 4p"/>
    <n v="1"/>
    <n v="284.99"/>
    <n v="0.08"/>
    <n v="130.08000000000001"/>
    <s v="Concluída"/>
    <n v="284.99"/>
    <n v="22.799200000000003"/>
    <n v="262.19080000000002"/>
    <n v="130.08000000000001"/>
    <n v="132.11080000000001"/>
    <n v="0.50387275220945971"/>
  </r>
  <r>
    <s v="VD-0529"/>
    <d v="2025-08-21T00:00:00"/>
    <x v="5"/>
    <x v="1"/>
    <s v="Loja Física"/>
    <s v="Diego Alves"/>
    <s v="Casa"/>
    <s v="Panela Pressão 6L"/>
    <n v="1"/>
    <n v="475.45"/>
    <n v="0.08"/>
    <n v="261.87"/>
    <s v="Concluída"/>
    <n v="475.45"/>
    <n v="38.036000000000001"/>
    <n v="437.41399999999999"/>
    <n v="261.87"/>
    <n v="175.54399999999998"/>
    <n v="0.40132231707261312"/>
  </r>
  <r>
    <s v="VD-0536"/>
    <d v="2025-08-21T00:00:00"/>
    <x v="7"/>
    <x v="3"/>
    <s v="E-commerce"/>
    <s v="Giovana Melo"/>
    <s v="Esporte"/>
    <s v="Colchonete Pro"/>
    <n v="2"/>
    <n v="136.79"/>
    <n v="0.05"/>
    <n v="56.84"/>
    <s v="Concluída"/>
    <n v="273.58"/>
    <n v="13.679"/>
    <n v="259.90100000000001"/>
    <n v="113.68"/>
    <n v="146.221"/>
    <n v="0.56260268332942154"/>
  </r>
  <r>
    <s v="VD-0555"/>
    <d v="2025-08-21T00:00:00"/>
    <x v="1"/>
    <x v="0"/>
    <s v="Loja Física"/>
    <s v="Isabela Reis"/>
    <s v="Informática"/>
    <s v="Teclado Mecânico"/>
    <n v="1"/>
    <n v="387.3"/>
    <n v="0.05"/>
    <n v="219.25"/>
    <s v="Concluída"/>
    <n v="387.3"/>
    <n v="19.365000000000002"/>
    <n v="367.935"/>
    <n v="219.25"/>
    <n v="148.685"/>
    <n v="0.40410670362971723"/>
  </r>
  <r>
    <s v="VD-0560"/>
    <d v="2025-08-21T00:00:00"/>
    <x v="5"/>
    <x v="1"/>
    <s v="E-commerce"/>
    <s v="Bruno Lima"/>
    <s v="Acessórios"/>
    <s v="Óculos Sol"/>
    <n v="1"/>
    <n v="367.65"/>
    <n v="0.03"/>
    <n v="156.21"/>
    <s v="Concluída"/>
    <n v="367.65"/>
    <n v="11.029499999999999"/>
    <n v="356.62049999999999"/>
    <n v="156.21"/>
    <n v="200.41049999999998"/>
    <n v="0.56197133928083209"/>
  </r>
  <r>
    <s v="VD-0514"/>
    <d v="2025-08-22T00:00:00"/>
    <x v="2"/>
    <x v="1"/>
    <s v="Marketplace"/>
    <s v="Diego Alves"/>
    <s v="Esporte"/>
    <s v="Colchonete Pro"/>
    <n v="1"/>
    <n v="134.94"/>
    <n v="0.05"/>
    <n v="52.2"/>
    <s v="Concluída"/>
    <n v="134.94"/>
    <n v="6.7469999999999999"/>
    <n v="128.19299999999998"/>
    <n v="52.2"/>
    <n v="75.992999999999981"/>
    <n v="0.5928014790199152"/>
  </r>
  <r>
    <s v="VD-0522"/>
    <d v="2025-08-23T00:00:00"/>
    <x v="4"/>
    <x v="2"/>
    <s v="Televendas"/>
    <s v="Diego Alves"/>
    <s v="Beleza"/>
    <s v="Secador Pro"/>
    <n v="1"/>
    <n v="404.58"/>
    <n v="0.03"/>
    <n v="228.74"/>
    <s v="Concluída"/>
    <n v="404.58"/>
    <n v="12.1374"/>
    <n v="392.44259999999997"/>
    <n v="228.74"/>
    <n v="163.70259999999996"/>
    <n v="0.41713769096423264"/>
  </r>
  <r>
    <s v="VD-0526"/>
    <d v="2025-08-23T00:00:00"/>
    <x v="1"/>
    <x v="0"/>
    <s v="E-commerce"/>
    <s v="Giovana Melo"/>
    <s v="Informática"/>
    <s v="Mouse Pro"/>
    <n v="1"/>
    <n v="175.67"/>
    <n v="0.03"/>
    <n v="80.209999999999994"/>
    <s v="Concluída"/>
    <n v="175.67"/>
    <n v="5.2700999999999993"/>
    <n v="170.3999"/>
    <n v="80.209999999999994"/>
    <n v="90.189900000000009"/>
    <n v="0.52928376131676136"/>
  </r>
  <r>
    <s v="VD-0530"/>
    <d v="2025-08-23T00:00:00"/>
    <x v="5"/>
    <x v="1"/>
    <s v="E-commerce"/>
    <s v="Isabela Reis"/>
    <s v="Informática"/>
    <s v="Teclado Mecânico"/>
    <n v="1"/>
    <n v="447.44"/>
    <n v="0.1"/>
    <n v="257.87"/>
    <s v="Concluída"/>
    <n v="447.44"/>
    <n v="44.744"/>
    <n v="402.69600000000003"/>
    <n v="257.87"/>
    <n v="144.82600000000002"/>
    <n v="0.35964101952837874"/>
  </r>
  <r>
    <s v="VD-0516"/>
    <d v="2025-08-24T00:00:00"/>
    <x v="0"/>
    <x v="0"/>
    <s v="Loja Física"/>
    <s v="Larissa Freitas"/>
    <s v="Beleza"/>
    <s v="Secador Pro"/>
    <n v="2"/>
    <n v="397.41"/>
    <n v="0.08"/>
    <n v="217.06"/>
    <s v="Concluída"/>
    <n v="794.82"/>
    <n v="63.585600000000007"/>
    <n v="731.23440000000005"/>
    <n v="434.12"/>
    <n v="297.11440000000005"/>
    <n v="0.40631895873607698"/>
  </r>
  <r>
    <s v="VD-0517"/>
    <d v="2025-08-24T00:00:00"/>
    <x v="7"/>
    <x v="3"/>
    <s v="Loja Física"/>
    <s v="Heitor Nunes"/>
    <s v="Informática"/>
    <s v="Fone Wave"/>
    <n v="2"/>
    <n v="247.94"/>
    <n v="0.05"/>
    <n v="122.54"/>
    <s v="Concluída"/>
    <n v="495.88"/>
    <n v="24.794"/>
    <n v="471.08600000000001"/>
    <n v="245.08"/>
    <n v="226.006"/>
    <n v="0.47975528884322605"/>
  </r>
  <r>
    <s v="VD-0531"/>
    <d v="2025-08-24T00:00:00"/>
    <x v="0"/>
    <x v="0"/>
    <s v="Marketplace"/>
    <s v="Diego Alves"/>
    <s v="Esporte"/>
    <s v="Colchonete Pro"/>
    <n v="1"/>
    <n v="147.76"/>
    <n v="0.15"/>
    <n v="59.66"/>
    <s v="Concluída"/>
    <n v="147.76"/>
    <n v="22.163999999999998"/>
    <n v="125.59599999999999"/>
    <n v="59.66"/>
    <n v="65.935999999999993"/>
    <n v="0.5249848721296857"/>
  </r>
  <r>
    <s v="VD-0504"/>
    <d v="2025-08-25T00:00:00"/>
    <x v="0"/>
    <x v="0"/>
    <s v="Marketplace"/>
    <s v="Camila Souza"/>
    <s v="Acessórios"/>
    <s v="Óculos Sol"/>
    <n v="1"/>
    <n v="364.86"/>
    <n v="0.2"/>
    <n v="157.88999999999999"/>
    <s v="Concluída"/>
    <n v="364.86"/>
    <n v="72.972000000000008"/>
    <n v="291.88800000000003"/>
    <n v="157.88999999999999"/>
    <n v="133.99800000000005"/>
    <n v="0.45907334320013166"/>
  </r>
  <r>
    <s v="VD-0518"/>
    <d v="2025-08-25T00:00:00"/>
    <x v="3"/>
    <x v="2"/>
    <s v="E-commerce"/>
    <s v="João Pedro"/>
    <s v="Esporte"/>
    <s v="Bike Urbana"/>
    <n v="1"/>
    <n v="2305.1"/>
    <n v="0.1"/>
    <n v="1648.56"/>
    <s v="Concluída"/>
    <n v="2305.1"/>
    <n v="230.51"/>
    <n v="2074.59"/>
    <n v="1648.56"/>
    <n v="426.0300000000002"/>
    <n v="0.2053562390641043"/>
  </r>
  <r>
    <s v="VD-0567"/>
    <d v="2025-08-25T00:00:00"/>
    <x v="4"/>
    <x v="2"/>
    <s v="Marketplace"/>
    <s v="Giovana Melo"/>
    <s v="Casa"/>
    <s v="Tapete Sala"/>
    <n v="1"/>
    <n v="497.26"/>
    <n v="0.15"/>
    <n v="258.67"/>
    <s v="Concluída"/>
    <n v="497.26"/>
    <n v="74.588999999999999"/>
    <n v="422.67099999999999"/>
    <n v="258.67"/>
    <n v="164.00099999999998"/>
    <n v="0.38801100619630868"/>
  </r>
  <r>
    <s v="VD-0512"/>
    <d v="2025-08-27T00:00:00"/>
    <x v="1"/>
    <x v="0"/>
    <s v="E-commerce"/>
    <s v="Larissa Freitas"/>
    <s v="Informática"/>
    <s v="Fone Wave"/>
    <n v="1"/>
    <n v="233.19"/>
    <n v="0.2"/>
    <n v="114.19"/>
    <s v="Concluída"/>
    <n v="233.19"/>
    <n v="46.638000000000005"/>
    <n v="186.55199999999999"/>
    <n v="114.19"/>
    <n v="72.361999999999995"/>
    <n v="0.38789184784939318"/>
  </r>
  <r>
    <s v="VD-0571"/>
    <d v="2025-08-27T00:00:00"/>
    <x v="5"/>
    <x v="1"/>
    <s v="E-commerce"/>
    <s v="Marcos Silva"/>
    <s v="Esporte"/>
    <s v="Colchonete Pro"/>
    <n v="1"/>
    <n v="130.21"/>
    <n v="0.03"/>
    <n v="53.44"/>
    <s v="Concluída"/>
    <n v="130.21"/>
    <n v="3.9062999999999999"/>
    <n v="126.30370000000001"/>
    <n v="53.44"/>
    <n v="72.863700000000009"/>
    <n v="0.57689283845208017"/>
  </r>
  <r>
    <s v="VD-0508"/>
    <d v="2025-08-28T00:00:00"/>
    <x v="2"/>
    <x v="1"/>
    <s v="E-commerce"/>
    <s v="Diego Alves"/>
    <s v="Informática"/>
    <s v="Teclado Mecânico"/>
    <n v="1"/>
    <n v="406.05"/>
    <n v="0.15"/>
    <n v="228.01"/>
    <s v="Concluída"/>
    <n v="406.05"/>
    <n v="60.907499999999999"/>
    <n v="345.14250000000004"/>
    <n v="228.01"/>
    <n v="117.13250000000005"/>
    <n v="0.33937431640554272"/>
  </r>
  <r>
    <s v="VD-0510"/>
    <d v="2025-08-28T00:00:00"/>
    <x v="3"/>
    <x v="2"/>
    <s v="E-commerce"/>
    <s v="Bruno Lima"/>
    <s v="Casa"/>
    <s v="Tapete Sala"/>
    <n v="2"/>
    <n v="549.54"/>
    <n v="0.03"/>
    <n v="284.83999999999997"/>
    <s v="Concluída"/>
    <n v="1099.08"/>
    <n v="32.972399999999993"/>
    <n v="1066.1075999999998"/>
    <n v="569.67999999999995"/>
    <n v="496.42759999999987"/>
    <n v="0.4656449311495387"/>
  </r>
  <r>
    <s v="VD-0534"/>
    <d v="2025-08-28T00:00:00"/>
    <x v="3"/>
    <x v="2"/>
    <s v="Loja Física"/>
    <s v="Camila Souza"/>
    <s v="Esporte"/>
    <s v="Colchonete Pro"/>
    <n v="2"/>
    <n v="137.97"/>
    <n v="0.1"/>
    <n v="53.08"/>
    <s v="Concluída"/>
    <n v="275.94"/>
    <n v="27.594000000000001"/>
    <n v="248.346"/>
    <n v="106.16"/>
    <n v="142.18600000000001"/>
    <n v="0.57253187085759383"/>
  </r>
  <r>
    <s v="VD-0562"/>
    <d v="2025-08-28T00:00:00"/>
    <x v="3"/>
    <x v="2"/>
    <s v="Marketplace"/>
    <s v="Diego Alves"/>
    <s v="Esporte"/>
    <s v="Bike Urbana"/>
    <n v="1"/>
    <n v="2388.02"/>
    <n v="0.15"/>
    <n v="1648.32"/>
    <s v="Concluída"/>
    <n v="2388.02"/>
    <n v="358.20299999999997"/>
    <n v="2029.817"/>
    <n v="1648.32"/>
    <n v="381.49700000000007"/>
    <n v="0.18794649961055607"/>
  </r>
  <r>
    <s v="VD-0564"/>
    <d v="2025-08-28T00:00:00"/>
    <x v="6"/>
    <x v="0"/>
    <s v="E-commerce"/>
    <s v="Elisa Rocha"/>
    <s v="Acessórios"/>
    <s v="Óculos Sol"/>
    <n v="1"/>
    <n v="368.59"/>
    <n v="0.1"/>
    <n v="166.07"/>
    <s v="Concluída"/>
    <n v="368.59"/>
    <n v="36.859000000000002"/>
    <n v="331.73099999999999"/>
    <n v="166.07"/>
    <n v="165.661"/>
    <n v="0.49938353666072816"/>
  </r>
  <r>
    <s v="VD-0578"/>
    <d v="2025-09-01T00:00:00"/>
    <x v="7"/>
    <x v="3"/>
    <s v="Marketplace"/>
    <s v="Heitor Nunes"/>
    <s v="Casa"/>
    <s v="Air Fryer 5L"/>
    <n v="2"/>
    <n v="663.83"/>
    <n v="0.25"/>
    <n v="385.66"/>
    <s v="Concluída"/>
    <n v="1327.66"/>
    <n v="331.91500000000002"/>
    <n v="995.74500000000012"/>
    <n v="771.32"/>
    <n v="224.42500000000007"/>
    <n v="0.22538400895811683"/>
  </r>
  <r>
    <s v="VD-0583"/>
    <d v="2025-09-01T00:00:00"/>
    <x v="7"/>
    <x v="3"/>
    <s v="Loja Física"/>
    <s v="Felipe Martins"/>
    <s v="Acessórios"/>
    <s v="Óculos Sol"/>
    <n v="1"/>
    <n v="392.42"/>
    <n v="0.1"/>
    <n v="177.71"/>
    <s v="Concluída"/>
    <n v="392.42"/>
    <n v="39.242000000000004"/>
    <n v="353.178"/>
    <n v="177.71"/>
    <n v="175.46799999999999"/>
    <n v="0.4968259631120851"/>
  </r>
  <r>
    <s v="VD-0633"/>
    <d v="2025-09-01T00:00:00"/>
    <x v="4"/>
    <x v="2"/>
    <s v="Loja Física"/>
    <s v="Isabela Reis"/>
    <s v="Informática"/>
    <s v="Teclado Mecânico"/>
    <n v="1"/>
    <n v="397.91"/>
    <n v="0.15"/>
    <n v="232.74"/>
    <s v="Concluída"/>
    <n v="397.91"/>
    <n v="59.686500000000002"/>
    <n v="338.2235"/>
    <n v="232.74"/>
    <n v="105.48349999999999"/>
    <n v="0.31187513581995335"/>
  </r>
  <r>
    <s v="VD-0635"/>
    <d v="2025-09-01T00:00:00"/>
    <x v="6"/>
    <x v="0"/>
    <s v="Loja Física"/>
    <s v="Larissa Freitas"/>
    <s v="Informática"/>
    <s v="Mouse Pro"/>
    <n v="1"/>
    <n v="203.87"/>
    <n v="0.1"/>
    <n v="97.37"/>
    <s v="Concluída"/>
    <n v="203.87"/>
    <n v="20.387"/>
    <n v="183.483"/>
    <n v="97.37"/>
    <n v="86.113"/>
    <n v="0.46932413357095754"/>
  </r>
  <r>
    <s v="VD-0594"/>
    <d v="2025-09-02T00:00:00"/>
    <x v="7"/>
    <x v="3"/>
    <s v="Loja Física"/>
    <s v="Camila Souza"/>
    <s v="Esporte"/>
    <s v="Esteira Compacta"/>
    <n v="1"/>
    <n v="2739.79"/>
    <n v="0.15"/>
    <n v="1965.79"/>
    <s v="Concluída"/>
    <n v="2739.79"/>
    <n v="410.96850000000001"/>
    <n v="2328.8215"/>
    <n v="1965.79"/>
    <n v="363.03150000000005"/>
    <n v="0.15588635711238497"/>
  </r>
  <r>
    <s v="VD-0632"/>
    <d v="2025-09-02T00:00:00"/>
    <x v="6"/>
    <x v="0"/>
    <s v="Marketplace"/>
    <s v="Ana Costa"/>
    <s v="Informática"/>
    <s v="Mouse Pro"/>
    <n v="1"/>
    <n v="174.69"/>
    <n v="0.15"/>
    <n v="78.56"/>
    <s v="Concluída"/>
    <n v="174.69"/>
    <n v="26.203499999999998"/>
    <n v="148.48650000000001"/>
    <n v="78.56"/>
    <n v="69.926500000000004"/>
    <n v="0.47092833355220848"/>
  </r>
  <r>
    <s v="VD-0638"/>
    <d v="2025-09-02T00:00:00"/>
    <x v="4"/>
    <x v="2"/>
    <s v="Loja Física"/>
    <s v="Elisa Rocha"/>
    <s v="Casa"/>
    <s v="Panela Pressão 6L"/>
    <n v="1"/>
    <n v="418.57"/>
    <n v="0"/>
    <n v="224.93"/>
    <s v="Concluída"/>
    <n v="418.57"/>
    <n v="0"/>
    <n v="418.57"/>
    <n v="224.93"/>
    <n v="193.64"/>
    <n v="0.46262273932675535"/>
  </r>
  <r>
    <s v="VD-0645"/>
    <d v="2025-09-02T00:00:00"/>
    <x v="1"/>
    <x v="0"/>
    <s v="E-commerce"/>
    <s v="Marcos Silva"/>
    <s v="Casa"/>
    <s v="Kit Lençol 4p"/>
    <n v="1"/>
    <n v="305.29000000000002"/>
    <n v="0.2"/>
    <n v="135.56"/>
    <s v="Concluída"/>
    <n v="305.29000000000002"/>
    <n v="61.058000000000007"/>
    <n v="244.23200000000003"/>
    <n v="135.56"/>
    <n v="108.67200000000003"/>
    <n v="0.44495397818467691"/>
  </r>
  <r>
    <s v="VD-0585"/>
    <d v="2025-09-04T00:00:00"/>
    <x v="5"/>
    <x v="1"/>
    <s v="Televendas"/>
    <s v="João Pedro"/>
    <s v="Informática"/>
    <s v="Notebook Nova 14"/>
    <n v="1"/>
    <n v="3748.31"/>
    <n v="0.1"/>
    <n v="2961.94"/>
    <s v="Concluída"/>
    <n v="3748.31"/>
    <n v="374.83100000000002"/>
    <n v="3373.4789999999998"/>
    <n v="2961.94"/>
    <n v="411.53899999999976"/>
    <n v="0.12199245941652513"/>
  </r>
  <r>
    <s v="VD-0611"/>
    <d v="2025-09-04T00:00:00"/>
    <x v="7"/>
    <x v="3"/>
    <s v="Marketplace"/>
    <s v="João Pedro"/>
    <s v="Acessórios"/>
    <s v="Relógio Fit"/>
    <n v="2"/>
    <n v="683.88"/>
    <n v="0.25"/>
    <n v="335.66"/>
    <s v="Concluída"/>
    <n v="1367.76"/>
    <n v="341.94"/>
    <n v="1025.82"/>
    <n v="671.32"/>
    <n v="354.49999999999989"/>
    <n v="0.34557719677916193"/>
  </r>
  <r>
    <s v="VD-0621"/>
    <d v="2025-09-04T00:00:00"/>
    <x v="7"/>
    <x v="3"/>
    <s v="Televendas"/>
    <s v="Larissa Freitas"/>
    <s v="Informática"/>
    <s v="Monitor 27 Ultra"/>
    <n v="1"/>
    <n v="1284.79"/>
    <n v="0.03"/>
    <n v="896.03"/>
    <s v="Concluída"/>
    <n v="1284.79"/>
    <n v="38.543699999999994"/>
    <n v="1246.2463"/>
    <n v="896.03"/>
    <n v="350.21630000000005"/>
    <n v="0.28101692257782435"/>
  </r>
  <r>
    <s v="VD-0586"/>
    <d v="2025-09-05T00:00:00"/>
    <x v="0"/>
    <x v="0"/>
    <s v="Marketplace"/>
    <s v="Bruno Lima"/>
    <s v="Beleza"/>
    <s v="Creme Facial"/>
    <n v="1"/>
    <n v="155.07"/>
    <n v="0.25"/>
    <n v="53.75"/>
    <s v="Concluída"/>
    <n v="155.07"/>
    <n v="38.767499999999998"/>
    <n v="116.30249999999999"/>
    <n v="53.75"/>
    <n v="62.552499999999995"/>
    <n v="0.53784312461039097"/>
  </r>
  <r>
    <s v="VD-0629"/>
    <d v="2025-09-06T00:00:00"/>
    <x v="0"/>
    <x v="0"/>
    <s v="Loja Física"/>
    <s v="Isabela Reis"/>
    <s v="Informática"/>
    <s v="Teclado Mecânico"/>
    <n v="1"/>
    <n v="417.56"/>
    <n v="0.08"/>
    <n v="242.28"/>
    <s v="Concluída"/>
    <n v="417.56"/>
    <n v="33.404800000000002"/>
    <n v="384.15519999999998"/>
    <n v="242.28"/>
    <n v="141.87519999999998"/>
    <n v="0.36931740088380943"/>
  </r>
  <r>
    <s v="VD-0630"/>
    <d v="2025-09-06T00:00:00"/>
    <x v="3"/>
    <x v="2"/>
    <s v="Marketplace"/>
    <s v="João Pedro"/>
    <s v="Informática"/>
    <s v="Fone Wave"/>
    <n v="2"/>
    <n v="237.73"/>
    <n v="0.1"/>
    <n v="109.67"/>
    <s v="Concluída"/>
    <n v="475.46"/>
    <n v="47.545999999999999"/>
    <n v="427.91399999999999"/>
    <n v="219.34"/>
    <n v="208.57399999999998"/>
    <n v="0.48742036951350037"/>
  </r>
  <r>
    <s v="VD-0597"/>
    <d v="2025-09-07T00:00:00"/>
    <x v="1"/>
    <x v="0"/>
    <s v="E-commerce"/>
    <s v="Bruno Lima"/>
    <s v="Casa"/>
    <s v="Kit Lençol 4p"/>
    <n v="1"/>
    <n v="269.92"/>
    <n v="0.03"/>
    <n v="122.2"/>
    <s v="Concluída"/>
    <n v="269.92"/>
    <n v="8.0975999999999999"/>
    <n v="261.82240000000002"/>
    <n v="122.2"/>
    <n v="139.62240000000003"/>
    <n v="0.53327140840508691"/>
  </r>
  <r>
    <s v="VD-0615"/>
    <d v="2025-09-07T00:00:00"/>
    <x v="3"/>
    <x v="2"/>
    <s v="Televendas"/>
    <s v="Isabela Reis"/>
    <s v="Casa"/>
    <s v="Air Fryer 5L"/>
    <n v="1"/>
    <n v="679.93"/>
    <n v="0.05"/>
    <n v="396.31"/>
    <s v="Concluída"/>
    <n v="679.93"/>
    <n v="33.996499999999997"/>
    <n v="645.93349999999998"/>
    <n v="396.31"/>
    <n v="249.62349999999998"/>
    <n v="0.38645386870320242"/>
  </r>
  <r>
    <s v="VD-0617"/>
    <d v="2025-09-07T00:00:00"/>
    <x v="4"/>
    <x v="2"/>
    <s v="Loja Física"/>
    <s v="Diego Alves"/>
    <s v="Esporte"/>
    <s v="Halteres 10kg"/>
    <n v="1"/>
    <n v="356.08"/>
    <n v="0.15"/>
    <n v="202.86"/>
    <s v="Concluída"/>
    <n v="356.08"/>
    <n v="53.411999999999999"/>
    <n v="302.66800000000001"/>
    <n v="202.86"/>
    <n v="99.807999999999993"/>
    <n v="0.32976066184730463"/>
  </r>
  <r>
    <s v="VD-0576"/>
    <d v="2025-09-08T00:00:00"/>
    <x v="0"/>
    <x v="0"/>
    <s v="E-commerce"/>
    <s v="Isabela Reis"/>
    <s v="Informática"/>
    <s v="Notebook Nova 14"/>
    <n v="1"/>
    <n v="4075.51"/>
    <n v="0.15"/>
    <n v="3062.29"/>
    <s v="Concluída"/>
    <n v="4075.51"/>
    <n v="611.32650000000001"/>
    <n v="3464.1835000000001"/>
    <n v="3062.29"/>
    <n v="401.89350000000013"/>
    <n v="0.11601391785394743"/>
  </r>
  <r>
    <s v="VD-0589"/>
    <d v="2025-09-08T00:00:00"/>
    <x v="7"/>
    <x v="3"/>
    <s v="Marketplace"/>
    <s v="Isabela Reis"/>
    <s v="Acessórios"/>
    <s v="Relógio Fit"/>
    <n v="1"/>
    <n v="677.61"/>
    <n v="0.15"/>
    <n v="325.12"/>
    <s v="Concluída"/>
    <n v="677.61"/>
    <n v="101.64149999999999"/>
    <n v="575.96850000000006"/>
    <n v="325.12"/>
    <n v="250.84850000000006"/>
    <n v="0.43552468581181092"/>
  </r>
  <r>
    <s v="VD-0604"/>
    <d v="2025-09-09T00:00:00"/>
    <x v="4"/>
    <x v="2"/>
    <s v="Loja Física"/>
    <s v="Larissa Freitas"/>
    <s v="Beleza"/>
    <s v="Balança Smart"/>
    <n v="1"/>
    <n v="237.46"/>
    <n v="0.05"/>
    <n v="105.78"/>
    <s v="Concluída"/>
    <n v="237.46"/>
    <n v="11.873000000000001"/>
    <n v="225.58700000000002"/>
    <n v="105.78"/>
    <n v="119.80700000000002"/>
    <n v="0.53109000075358959"/>
  </r>
  <r>
    <s v="VD-0605"/>
    <d v="2025-09-09T00:00:00"/>
    <x v="7"/>
    <x v="3"/>
    <s v="Loja Física"/>
    <s v="Heitor Nunes"/>
    <s v="Informática"/>
    <s v="Monitor 27 Ultra"/>
    <n v="1"/>
    <n v="1233.6099999999999"/>
    <n v="0.08"/>
    <n v="856.25"/>
    <s v="Concluída"/>
    <n v="1233.6099999999999"/>
    <n v="98.688800000000001"/>
    <n v="1134.9212"/>
    <n v="856.25"/>
    <n v="278.6712"/>
    <n v="0.24554233368801287"/>
  </r>
  <r>
    <s v="VD-0613"/>
    <d v="2025-09-09T00:00:00"/>
    <x v="3"/>
    <x v="2"/>
    <s v="Loja Física"/>
    <s v="Diego Alves"/>
    <s v="Beleza"/>
    <s v="Secador Pro"/>
    <n v="2"/>
    <n v="440.49"/>
    <n v="0"/>
    <n v="247.52"/>
    <s v="Concluída"/>
    <n v="880.98"/>
    <n v="0"/>
    <n v="880.98"/>
    <n v="495.04"/>
    <n v="385.94"/>
    <n v="0.43808031964403277"/>
  </r>
  <r>
    <s v="VD-0641"/>
    <d v="2025-09-09T00:00:00"/>
    <x v="5"/>
    <x v="1"/>
    <s v="E-commerce"/>
    <s v="João Pedro"/>
    <s v="Informática"/>
    <s v="Fone Wave"/>
    <n v="2"/>
    <n v="265.23"/>
    <n v="0.03"/>
    <n v="125.13"/>
    <s v="Concluída"/>
    <n v="530.46"/>
    <n v="15.9138"/>
    <n v="514.5462"/>
    <n v="250.26"/>
    <n v="264.28620000000001"/>
    <n v="0.51362967990046382"/>
  </r>
  <r>
    <s v="VD-0647"/>
    <d v="2025-09-09T00:00:00"/>
    <x v="1"/>
    <x v="0"/>
    <s v="Loja Física"/>
    <s v="Felipe Martins"/>
    <s v="Esporte"/>
    <s v="Esteira Compacta"/>
    <n v="1"/>
    <n v="2780.77"/>
    <n v="0.05"/>
    <n v="1940.4"/>
    <s v="Concluída"/>
    <n v="2780.77"/>
    <n v="139.0385"/>
    <n v="2641.7314999999999"/>
    <n v="1940.4"/>
    <n v="701.33149999999978"/>
    <n v="0.26548174937536229"/>
  </r>
  <r>
    <s v="VD-0580"/>
    <d v="2025-09-10T00:00:00"/>
    <x v="5"/>
    <x v="1"/>
    <s v="Loja Física"/>
    <s v="Heitor Nunes"/>
    <s v="Acessórios"/>
    <s v="Mochila Urban"/>
    <n v="2"/>
    <n v="323.12"/>
    <n v="0.15"/>
    <n v="152.44"/>
    <s v="Concluída"/>
    <n v="646.24"/>
    <n v="96.935999999999993"/>
    <n v="549.30399999999997"/>
    <n v="304.88"/>
    <n v="244.42399999999998"/>
    <n v="0.44497036249508465"/>
  </r>
  <r>
    <s v="VD-0581"/>
    <d v="2025-09-10T00:00:00"/>
    <x v="4"/>
    <x v="2"/>
    <s v="E-commerce"/>
    <s v="Diego Alves"/>
    <s v="Informática"/>
    <s v="Teclado Mecânico"/>
    <n v="1"/>
    <n v="393.07"/>
    <n v="0.05"/>
    <n v="236.42"/>
    <s v="Concluída"/>
    <n v="393.07"/>
    <n v="19.653500000000001"/>
    <n v="373.41649999999998"/>
    <n v="236.42"/>
    <n v="136.9965"/>
    <n v="0.36687318316142969"/>
  </r>
  <r>
    <s v="VD-0582"/>
    <d v="2025-09-10T00:00:00"/>
    <x v="0"/>
    <x v="0"/>
    <s v="E-commerce"/>
    <s v="João Pedro"/>
    <s v="Casa"/>
    <s v="Cadeira Escritório"/>
    <n v="1"/>
    <n v="1233.3599999999999"/>
    <n v="0.1"/>
    <n v="882.88"/>
    <s v="Concluída"/>
    <n v="1233.3599999999999"/>
    <n v="123.336"/>
    <n v="1110.0239999999999"/>
    <n v="882.88"/>
    <n v="227.14399999999989"/>
    <n v="0.20462980980591403"/>
  </r>
  <r>
    <s v="VD-0596"/>
    <d v="2025-09-10T00:00:00"/>
    <x v="6"/>
    <x v="0"/>
    <s v="E-commerce"/>
    <s v="Camila Souza"/>
    <s v="Esporte"/>
    <s v="Bike Urbana"/>
    <n v="1"/>
    <n v="2353.5300000000002"/>
    <n v="0.05"/>
    <n v="1639.2"/>
    <s v="Concluída"/>
    <n v="2353.5300000000002"/>
    <n v="117.67650000000002"/>
    <n v="2235.8535000000002"/>
    <n v="1639.2"/>
    <n v="596.65350000000012"/>
    <n v="0.26685715320793607"/>
  </r>
  <r>
    <s v="VD-0631"/>
    <d v="2025-09-10T00:00:00"/>
    <x v="0"/>
    <x v="0"/>
    <s v="E-commerce"/>
    <s v="João Pedro"/>
    <s v="Acessórios"/>
    <s v="Relógio Fit"/>
    <n v="1"/>
    <n v="672.26"/>
    <n v="0.03"/>
    <n v="322.58"/>
    <s v="Concluída"/>
    <n v="672.26"/>
    <n v="20.1678"/>
    <n v="652.09220000000005"/>
    <n v="322.58"/>
    <n v="329.51220000000006"/>
    <n v="0.50531535264491745"/>
  </r>
  <r>
    <s v="VD-0643"/>
    <d v="2025-09-10T00:00:00"/>
    <x v="5"/>
    <x v="1"/>
    <s v="Loja Física"/>
    <s v="Felipe Martins"/>
    <s v="Informática"/>
    <s v="Notebook Nova 14"/>
    <n v="2"/>
    <n v="4155.3500000000004"/>
    <n v="0.1"/>
    <n v="3363.39"/>
    <s v="Concluída"/>
    <n v="8310.7000000000007"/>
    <n v="831.07000000000016"/>
    <n v="7479.630000000001"/>
    <n v="6726.78"/>
    <n v="752.85000000000127"/>
    <n v="0.10065337456531956"/>
  </r>
  <r>
    <s v="VD-0644"/>
    <d v="2025-09-11T00:00:00"/>
    <x v="1"/>
    <x v="0"/>
    <s v="Marketplace"/>
    <s v="Larissa Freitas"/>
    <s v="Beleza"/>
    <s v="Balança Smart"/>
    <n v="1"/>
    <n v="222.46"/>
    <n v="0.15"/>
    <n v="94.59"/>
    <s v="Concluída"/>
    <n v="222.46"/>
    <n v="33.369"/>
    <n v="189.09100000000001"/>
    <n v="94.59"/>
    <n v="94.501000000000005"/>
    <n v="0.49976466357468097"/>
  </r>
  <r>
    <s v="VD-0601"/>
    <d v="2025-09-12T00:00:00"/>
    <x v="5"/>
    <x v="1"/>
    <s v="Marketplace"/>
    <s v="João Pedro"/>
    <s v="Informática"/>
    <s v="Monitor 27 Ultra"/>
    <n v="2"/>
    <n v="1304.32"/>
    <n v="0.2"/>
    <n v="915.81"/>
    <s v="Cancelada"/>
    <n v="2608.64"/>
    <n v="521.72799999999995"/>
    <n v="0"/>
    <n v="0"/>
    <n v="0"/>
    <s v=""/>
  </r>
  <r>
    <s v="VD-0595"/>
    <d v="2025-09-13T00:00:00"/>
    <x v="6"/>
    <x v="0"/>
    <s v="Marketplace"/>
    <s v="Elisa Rocha"/>
    <s v="Informática"/>
    <s v="Monitor 27 Ultra"/>
    <n v="1"/>
    <n v="1203.23"/>
    <n v="0.15"/>
    <n v="860.96"/>
    <s v="Concluída"/>
    <n v="1203.23"/>
    <n v="180.4845"/>
    <n v="1022.7455"/>
    <n v="860.96"/>
    <n v="161.78549999999996"/>
    <n v="0.15818744741482604"/>
  </r>
  <r>
    <s v="VD-0600"/>
    <d v="2025-09-13T00:00:00"/>
    <x v="5"/>
    <x v="1"/>
    <s v="Marketplace"/>
    <s v="Elisa Rocha"/>
    <s v="Informática"/>
    <s v="Teclado Mecânico"/>
    <n v="1"/>
    <n v="420.39"/>
    <n v="0.15"/>
    <n v="237.24"/>
    <s v="Concluída"/>
    <n v="420.39"/>
    <n v="63.058499999999995"/>
    <n v="357.33150000000001"/>
    <n v="237.24"/>
    <n v="120.0915"/>
    <n v="0.3360786832395129"/>
  </r>
  <r>
    <s v="VD-0628"/>
    <d v="2025-09-14T00:00:00"/>
    <x v="2"/>
    <x v="1"/>
    <s v="Marketplace"/>
    <s v="Larissa Freitas"/>
    <s v="Casa"/>
    <s v="Cadeira Escritório"/>
    <n v="1"/>
    <n v="1260.6300000000001"/>
    <n v="0.25"/>
    <n v="900.19"/>
    <s v="Concluída"/>
    <n v="1260.6300000000001"/>
    <n v="315.15750000000003"/>
    <n v="945.47250000000008"/>
    <n v="900.19"/>
    <n v="45.282500000000027"/>
    <n v="4.7894042396791049E-2"/>
  </r>
  <r>
    <s v="VD-0650"/>
    <d v="2025-09-14T00:00:00"/>
    <x v="0"/>
    <x v="0"/>
    <s v="Loja Física"/>
    <s v="Ana Costa"/>
    <s v="Informática"/>
    <s v="Notebook Nova 14"/>
    <n v="1"/>
    <n v="4172.41"/>
    <n v="0"/>
    <n v="3304.95"/>
    <s v="Concluída"/>
    <n v="4172.41"/>
    <n v="0"/>
    <n v="4172.41"/>
    <n v="3304.95"/>
    <n v="867.46"/>
    <n v="0.20790382536711399"/>
  </r>
  <r>
    <s v="VD-0588"/>
    <d v="2025-09-15T00:00:00"/>
    <x v="1"/>
    <x v="0"/>
    <s v="Loja Física"/>
    <s v="Giovana Melo"/>
    <s v="Esporte"/>
    <s v="Halteres 10kg"/>
    <n v="1"/>
    <n v="355.81"/>
    <n v="0.08"/>
    <n v="206.48"/>
    <s v="Concluída"/>
    <n v="355.81"/>
    <n v="28.4648"/>
    <n v="327.34519999999998"/>
    <n v="206.48"/>
    <n v="120.86519999999999"/>
    <n v="0.36922856971783913"/>
  </r>
  <r>
    <s v="VD-0612"/>
    <d v="2025-09-15T00:00:00"/>
    <x v="4"/>
    <x v="2"/>
    <s v="Loja Física"/>
    <s v="Felipe Martins"/>
    <s v="Casa"/>
    <s v="Panela Pressão 6L"/>
    <n v="2"/>
    <n v="473.49"/>
    <n v="0.05"/>
    <n v="270.64"/>
    <s v="Concluída"/>
    <n v="946.98"/>
    <n v="47.349000000000004"/>
    <n v="899.63099999999997"/>
    <n v="541.28"/>
    <n v="358.351"/>
    <n v="0.3983310935261235"/>
  </r>
  <r>
    <s v="VD-0616"/>
    <d v="2025-09-15T00:00:00"/>
    <x v="2"/>
    <x v="1"/>
    <s v="Televendas"/>
    <s v="Marcos Silva"/>
    <s v="Casa"/>
    <s v="Panela Pressão 6L"/>
    <n v="2"/>
    <n v="439.31"/>
    <n v="0.05"/>
    <n v="233.51"/>
    <s v="Concluída"/>
    <n v="878.62"/>
    <n v="43.931000000000004"/>
    <n v="834.68899999999996"/>
    <n v="467.02"/>
    <n v="367.66899999999998"/>
    <n v="0.44048621702214835"/>
  </r>
  <r>
    <s v="VD-0639"/>
    <d v="2025-09-15T00:00:00"/>
    <x v="0"/>
    <x v="0"/>
    <s v="Loja Física"/>
    <s v="Larissa Freitas"/>
    <s v="Casa"/>
    <s v="Air Fryer 5L"/>
    <n v="1"/>
    <n v="725.93"/>
    <n v="0.1"/>
    <n v="412.76"/>
    <s v="Concluída"/>
    <n v="725.93"/>
    <n v="72.593000000000004"/>
    <n v="653.33699999999999"/>
    <n v="412.76"/>
    <n v="240.577"/>
    <n v="0.36822803545490307"/>
  </r>
  <r>
    <s v="VD-0599"/>
    <d v="2025-09-16T00:00:00"/>
    <x v="1"/>
    <x v="0"/>
    <s v="Marketplace"/>
    <s v="Marcos Silva"/>
    <s v="Esporte"/>
    <s v="Bike Urbana"/>
    <n v="2"/>
    <n v="2178.17"/>
    <n v="0.1"/>
    <n v="1477.87"/>
    <s v="Concluída"/>
    <n v="4356.34"/>
    <n v="435.63400000000001"/>
    <n v="3920.7060000000001"/>
    <n v="2955.74"/>
    <n v="964.96600000000035"/>
    <n v="0.24612046911959232"/>
  </r>
  <r>
    <s v="VD-0606"/>
    <d v="2025-09-16T00:00:00"/>
    <x v="6"/>
    <x v="0"/>
    <s v="Loja Física"/>
    <s v="Giovana Melo"/>
    <s v="Beleza"/>
    <s v="Balança Smart"/>
    <n v="1"/>
    <n v="233.09"/>
    <n v="0"/>
    <n v="102.19"/>
    <s v="Concluída"/>
    <n v="233.09"/>
    <n v="0"/>
    <n v="233.09"/>
    <n v="102.19"/>
    <n v="130.9"/>
    <n v="0.56158565361019352"/>
  </r>
  <r>
    <s v="VD-0610"/>
    <d v="2025-09-16T00:00:00"/>
    <x v="7"/>
    <x v="3"/>
    <s v="Loja Física"/>
    <s v="Giovana Melo"/>
    <s v="Casa"/>
    <s v="Air Fryer 5L"/>
    <n v="1"/>
    <n v="743.67"/>
    <n v="0.08"/>
    <n v="433.14"/>
    <s v="Concluída"/>
    <n v="743.67"/>
    <n v="59.493600000000001"/>
    <n v="684.17639999999994"/>
    <n v="433.14"/>
    <n v="251.03639999999996"/>
    <n v="0.36691765456978637"/>
  </r>
  <r>
    <s v="VD-0614"/>
    <d v="2025-09-16T00:00:00"/>
    <x v="0"/>
    <x v="0"/>
    <s v="Marketplace"/>
    <s v="Elisa Rocha"/>
    <s v="Beleza"/>
    <s v="Balança Smart"/>
    <n v="1"/>
    <n v="257.83"/>
    <n v="0.1"/>
    <n v="108.28"/>
    <s v="Concluída"/>
    <n v="257.83"/>
    <n v="25.783000000000001"/>
    <n v="232.04699999999997"/>
    <n v="108.28"/>
    <n v="123.76699999999997"/>
    <n v="0.53337039479071047"/>
  </r>
  <r>
    <s v="VD-0648"/>
    <d v="2025-09-16T00:00:00"/>
    <x v="3"/>
    <x v="2"/>
    <s v="E-commerce"/>
    <s v="Camila Souza"/>
    <s v="Informática"/>
    <s v="Mouse Pro"/>
    <n v="1"/>
    <n v="202.84"/>
    <n v="0.05"/>
    <n v="96.82"/>
    <s v="Concluída"/>
    <n v="202.84"/>
    <n v="10.142000000000001"/>
    <n v="192.69800000000001"/>
    <n v="96.82"/>
    <n v="95.878000000000014"/>
    <n v="0.49755576082782388"/>
  </r>
  <r>
    <s v="VD-0577"/>
    <d v="2025-09-17T00:00:00"/>
    <x v="0"/>
    <x v="0"/>
    <s v="E-commerce"/>
    <s v="Ana Costa"/>
    <s v="Casa"/>
    <s v="Cadeira Escritório"/>
    <n v="1"/>
    <n v="1168.3599999999999"/>
    <n v="0.03"/>
    <n v="847.98"/>
    <s v="Concluída"/>
    <n v="1168.3599999999999"/>
    <n v="35.050799999999995"/>
    <n v="1133.3091999999999"/>
    <n v="847.98"/>
    <n v="285.3291999999999"/>
    <n v="0.25176641996729571"/>
  </r>
  <r>
    <s v="VD-0603"/>
    <d v="2025-09-17T00:00:00"/>
    <x v="5"/>
    <x v="1"/>
    <s v="Loja Física"/>
    <s v="Giovana Melo"/>
    <s v="Informática"/>
    <s v="Mouse Pro"/>
    <n v="1"/>
    <n v="175.69"/>
    <n v="0"/>
    <n v="78.349999999999994"/>
    <s v="Concluída"/>
    <n v="175.69"/>
    <n v="0"/>
    <n v="175.69"/>
    <n v="78.349999999999994"/>
    <n v="97.34"/>
    <n v="0.55404405486937225"/>
  </r>
  <r>
    <s v="VD-0607"/>
    <d v="2025-09-17T00:00:00"/>
    <x v="6"/>
    <x v="0"/>
    <s v="Loja Física"/>
    <s v="Elisa Rocha"/>
    <s v="Acessórios"/>
    <s v="Mochila Urban"/>
    <n v="1"/>
    <n v="307.47000000000003"/>
    <n v="0.05"/>
    <n v="141.36000000000001"/>
    <s v="Cancelada"/>
    <n v="307.47000000000003"/>
    <n v="15.373500000000002"/>
    <n v="0"/>
    <n v="0"/>
    <n v="0"/>
    <s v=""/>
  </r>
  <r>
    <s v="VD-0584"/>
    <d v="2025-09-18T00:00:00"/>
    <x v="6"/>
    <x v="0"/>
    <s v="E-commerce"/>
    <s v="Heitor Nunes"/>
    <s v="Esporte"/>
    <s v="Colchonete Pro"/>
    <n v="1"/>
    <n v="140.25"/>
    <n v="0.15"/>
    <n v="57.2"/>
    <s v="Concluída"/>
    <n v="140.25"/>
    <n v="21.037499999999998"/>
    <n v="119.21250000000001"/>
    <n v="57.2"/>
    <n v="62.012500000000003"/>
    <n v="0.52018454440599771"/>
  </r>
  <r>
    <s v="VD-0618"/>
    <d v="2025-09-18T00:00:00"/>
    <x v="7"/>
    <x v="3"/>
    <s v="E-commerce"/>
    <s v="João Pedro"/>
    <s v="Acessórios"/>
    <s v="Relógio Fit"/>
    <n v="3"/>
    <n v="708.22"/>
    <n v="0.03"/>
    <n v="346.03"/>
    <s v="Concluída"/>
    <n v="2124.66"/>
    <n v="63.739799999999995"/>
    <n v="2060.9202"/>
    <n v="1038.0899999999999"/>
    <n v="1022.8302000000001"/>
    <n v="0.49629781880928725"/>
  </r>
  <r>
    <s v="VD-0587"/>
    <d v="2025-09-19T00:00:00"/>
    <x v="2"/>
    <x v="1"/>
    <s v="Loja Física"/>
    <s v="Giovana Melo"/>
    <s v="Casa"/>
    <s v="Cadeira Escritório"/>
    <n v="2"/>
    <n v="1246.56"/>
    <n v="0.05"/>
    <n v="936.19"/>
    <s v="Concluída"/>
    <n v="2493.12"/>
    <n v="124.65600000000001"/>
    <n v="2368.4639999999999"/>
    <n v="1872.38"/>
    <n v="496.08399999999983"/>
    <n v="0.20945389079166912"/>
  </r>
  <r>
    <s v="VD-0652"/>
    <d v="2025-09-19T00:00:00"/>
    <x v="6"/>
    <x v="0"/>
    <s v="E-commerce"/>
    <s v="Ana Costa"/>
    <s v="Informática"/>
    <s v="Monitor 27 Ultra"/>
    <n v="1"/>
    <n v="1248.21"/>
    <n v="0.05"/>
    <n v="903.2"/>
    <s v="Concluída"/>
    <n v="1248.21"/>
    <n v="62.410500000000006"/>
    <n v="1185.7995000000001"/>
    <n v="903.2"/>
    <n v="282.59950000000003"/>
    <n v="0.23831980026977581"/>
  </r>
  <r>
    <s v="VD-0593"/>
    <d v="2025-09-20T00:00:00"/>
    <x v="5"/>
    <x v="1"/>
    <s v="Loja Física"/>
    <s v="Diego Alves"/>
    <s v="Acessórios"/>
    <s v="Óculos Sol"/>
    <n v="1"/>
    <n v="407.77"/>
    <n v="0.1"/>
    <n v="183.75"/>
    <s v="Concluída"/>
    <n v="407.77"/>
    <n v="40.777000000000001"/>
    <n v="366.99299999999999"/>
    <n v="183.75"/>
    <n v="183.24299999999999"/>
    <n v="0.49930925113013053"/>
  </r>
  <r>
    <s v="VD-0620"/>
    <d v="2025-09-20T00:00:00"/>
    <x v="1"/>
    <x v="0"/>
    <s v="Marketplace"/>
    <s v="Elisa Rocha"/>
    <s v="Informática"/>
    <s v="Teclado Mecânico"/>
    <n v="1"/>
    <n v="396.84"/>
    <n v="0.2"/>
    <n v="223.35"/>
    <s v="Concluída"/>
    <n v="396.84"/>
    <n v="79.367999999999995"/>
    <n v="317.47199999999998"/>
    <n v="223.35"/>
    <n v="94.121999999999986"/>
    <n v="0.29647338977925608"/>
  </r>
  <r>
    <s v="VD-0579"/>
    <d v="2025-09-21T00:00:00"/>
    <x v="6"/>
    <x v="0"/>
    <s v="Loja Física"/>
    <s v="Bruno Lima"/>
    <s v="Beleza"/>
    <s v="Secador Pro"/>
    <n v="1"/>
    <n v="428.49"/>
    <n v="0.15"/>
    <n v="226.64"/>
    <s v="Concluída"/>
    <n v="428.49"/>
    <n v="64.273499999999999"/>
    <n v="364.2165"/>
    <n v="226.64"/>
    <n v="137.57650000000001"/>
    <n v="0.37773274961458364"/>
  </r>
  <r>
    <s v="VD-0608"/>
    <d v="2025-09-21T00:00:00"/>
    <x v="3"/>
    <x v="2"/>
    <s v="Loja Física"/>
    <s v="João Pedro"/>
    <s v="Informática"/>
    <s v="Fone Wave"/>
    <n v="1"/>
    <n v="236.47"/>
    <n v="0.05"/>
    <n v="109.89"/>
    <s v="Concluída"/>
    <n v="236.47"/>
    <n v="11.823500000000001"/>
    <n v="224.6465"/>
    <n v="109.89"/>
    <n v="114.7565"/>
    <n v="0.51083146187454509"/>
  </r>
  <r>
    <s v="VD-0602"/>
    <d v="2025-09-22T00:00:00"/>
    <x v="1"/>
    <x v="0"/>
    <s v="E-commerce"/>
    <s v="Ana Costa"/>
    <s v="Esporte"/>
    <s v="Halteres 10kg"/>
    <n v="1"/>
    <n v="354.27"/>
    <n v="0.05"/>
    <n v="190.53"/>
    <s v="Concluída"/>
    <n v="354.27"/>
    <n v="17.7135"/>
    <n v="336.55649999999997"/>
    <n v="190.53"/>
    <n v="146.02649999999997"/>
    <n v="0.43388405810020009"/>
  </r>
  <r>
    <s v="VD-0627"/>
    <d v="2025-09-22T00:00:00"/>
    <x v="6"/>
    <x v="0"/>
    <s v="E-commerce"/>
    <s v="Elisa Rocha"/>
    <s v="Informática"/>
    <s v="Mouse Pro"/>
    <n v="1"/>
    <n v="183.5"/>
    <n v="0.1"/>
    <n v="81.849999999999994"/>
    <s v="Concluída"/>
    <n v="183.5"/>
    <n v="18.350000000000001"/>
    <n v="165.15"/>
    <n v="81.849999999999994"/>
    <n v="83.300000000000011"/>
    <n v="0.50438994853163799"/>
  </r>
  <r>
    <s v="VD-0651"/>
    <d v="2025-09-23T00:00:00"/>
    <x v="2"/>
    <x v="1"/>
    <s v="Loja Física"/>
    <s v="Bruno Lima"/>
    <s v="Beleza"/>
    <s v="Creme Facial"/>
    <n v="1"/>
    <n v="156.84"/>
    <n v="0.1"/>
    <n v="55.75"/>
    <s v="Concluída"/>
    <n v="156.84"/>
    <n v="15.684000000000001"/>
    <n v="141.15600000000001"/>
    <n v="55.75"/>
    <n v="85.406000000000006"/>
    <n v="0.60504689846694437"/>
  </r>
  <r>
    <s v="VD-0590"/>
    <d v="2025-09-24T00:00:00"/>
    <x v="4"/>
    <x v="2"/>
    <s v="Marketplace"/>
    <s v="Heitor Nunes"/>
    <s v="Casa"/>
    <s v="Panela Pressão 6L"/>
    <n v="1"/>
    <n v="474.88"/>
    <n v="0.25"/>
    <n v="263.48"/>
    <s v="Cancelada"/>
    <n v="474.88"/>
    <n v="118.72"/>
    <n v="0"/>
    <n v="0"/>
    <n v="0"/>
    <s v=""/>
  </r>
  <r>
    <s v="VD-0623"/>
    <d v="2025-09-24T00:00:00"/>
    <x v="3"/>
    <x v="2"/>
    <s v="Loja Física"/>
    <s v="Giovana Melo"/>
    <s v="Beleza"/>
    <s v="Secador Pro"/>
    <n v="1"/>
    <n v="452.37"/>
    <n v="0.08"/>
    <n v="252.01"/>
    <s v="Concluída"/>
    <n v="452.37"/>
    <n v="36.189599999999999"/>
    <n v="416.18040000000002"/>
    <n v="252.01"/>
    <n v="164.17040000000003"/>
    <n v="0.39446932147693647"/>
  </r>
  <r>
    <s v="VD-0625"/>
    <d v="2025-09-24T00:00:00"/>
    <x v="1"/>
    <x v="0"/>
    <s v="Televendas"/>
    <s v="Heitor Nunes"/>
    <s v="Beleza"/>
    <s v="Secador Pro"/>
    <n v="1"/>
    <n v="430.99"/>
    <n v="0.1"/>
    <n v="228.15"/>
    <s v="Concluída"/>
    <n v="430.99"/>
    <n v="43.099000000000004"/>
    <n v="387.89100000000002"/>
    <n v="228.15"/>
    <n v="159.74100000000001"/>
    <n v="0.41181929975173437"/>
  </r>
  <r>
    <s v="VD-0598"/>
    <d v="2025-09-25T00:00:00"/>
    <x v="0"/>
    <x v="0"/>
    <s v="Loja Física"/>
    <s v="Camila Souza"/>
    <s v="Beleza"/>
    <s v="Secador Pro"/>
    <n v="1"/>
    <n v="429.95"/>
    <n v="0"/>
    <n v="233.74"/>
    <s v="Concluída"/>
    <n v="429.95"/>
    <n v="0"/>
    <n v="429.95"/>
    <n v="233.74"/>
    <n v="196.20999999999998"/>
    <n v="0.45635539016164667"/>
  </r>
  <r>
    <s v="VD-0609"/>
    <d v="2025-09-25T00:00:00"/>
    <x v="0"/>
    <x v="0"/>
    <s v="E-commerce"/>
    <s v="Giovana Melo"/>
    <s v="Casa"/>
    <s v="Panela Pressão 6L"/>
    <n v="1"/>
    <n v="414.44"/>
    <n v="0.05"/>
    <n v="222.41"/>
    <s v="Concluída"/>
    <n v="414.44"/>
    <n v="20.722000000000001"/>
    <n v="393.71800000000002"/>
    <n v="222.41"/>
    <n v="171.30800000000002"/>
    <n v="0.43510329728384278"/>
  </r>
  <r>
    <s v="VD-0624"/>
    <d v="2025-09-25T00:00:00"/>
    <x v="0"/>
    <x v="0"/>
    <s v="E-commerce"/>
    <s v="Isabela Reis"/>
    <s v="Acessórios"/>
    <s v="Mochila Urban"/>
    <n v="2"/>
    <n v="333.94"/>
    <n v="0.05"/>
    <n v="150.63"/>
    <s v="Concluída"/>
    <n v="667.88"/>
    <n v="33.393999999999998"/>
    <n v="634.48599999999999"/>
    <n v="301.26"/>
    <n v="333.226"/>
    <n v="0.52519046913564682"/>
  </r>
  <r>
    <s v="VD-0637"/>
    <d v="2025-09-25T00:00:00"/>
    <x v="5"/>
    <x v="1"/>
    <s v="E-commerce"/>
    <s v="Diego Alves"/>
    <s v="Esporte"/>
    <s v="Colchonete Pro"/>
    <n v="2"/>
    <n v="138.05000000000001"/>
    <n v="0.1"/>
    <n v="53.93"/>
    <s v="Concluída"/>
    <n v="276.10000000000002"/>
    <n v="27.610000000000003"/>
    <n v="248.49"/>
    <n v="107.86"/>
    <n v="140.63"/>
    <n v="0.56593826713348627"/>
  </r>
  <r>
    <s v="VD-0640"/>
    <d v="2025-09-25T00:00:00"/>
    <x v="1"/>
    <x v="0"/>
    <s v="Loja Física"/>
    <s v="Giovana Melo"/>
    <s v="Esporte"/>
    <s v="Halteres 10kg"/>
    <n v="1"/>
    <n v="346.33"/>
    <n v="0.1"/>
    <n v="196.92"/>
    <s v="Concluída"/>
    <n v="346.33"/>
    <n v="34.633000000000003"/>
    <n v="311.697"/>
    <n v="196.92"/>
    <n v="114.77700000000002"/>
    <n v="0.36823261051598194"/>
  </r>
  <r>
    <s v="VD-0646"/>
    <d v="2025-09-25T00:00:00"/>
    <x v="2"/>
    <x v="1"/>
    <s v="Loja Física"/>
    <s v="Larissa Freitas"/>
    <s v="Beleza"/>
    <s v="Secador Pro"/>
    <n v="1"/>
    <n v="462.76"/>
    <n v="0.08"/>
    <n v="245.67"/>
    <s v="Concluída"/>
    <n v="462.76"/>
    <n v="37.020800000000001"/>
    <n v="425.73919999999998"/>
    <n v="245.67"/>
    <n v="180.0692"/>
    <n v="0.42295658938617819"/>
  </r>
  <r>
    <s v="VD-0653"/>
    <d v="2025-09-25T00:00:00"/>
    <x v="7"/>
    <x v="3"/>
    <s v="E-commerce"/>
    <s v="Giovana Melo"/>
    <s v="Esporte"/>
    <s v="Colchonete Pro"/>
    <n v="1"/>
    <n v="134.62"/>
    <n v="0.1"/>
    <n v="51.86"/>
    <s v="Concluída"/>
    <n v="134.62"/>
    <n v="13.462000000000002"/>
    <n v="121.158"/>
    <n v="51.86"/>
    <n v="69.298000000000002"/>
    <n v="0.57196388187325642"/>
  </r>
  <r>
    <s v="VD-0591"/>
    <d v="2025-09-26T00:00:00"/>
    <x v="2"/>
    <x v="1"/>
    <s v="Loja Física"/>
    <s v="Heitor Nunes"/>
    <s v="Casa"/>
    <s v="Tapete Sala"/>
    <n v="3"/>
    <n v="555.29"/>
    <n v="0"/>
    <n v="296.19"/>
    <s v="Concluída"/>
    <n v="1665.87"/>
    <n v="0"/>
    <n v="1665.87"/>
    <n v="888.56999999999994"/>
    <n v="777.3"/>
    <n v="0.46660303625132815"/>
  </r>
  <r>
    <s v="VD-0636"/>
    <d v="2025-09-26T00:00:00"/>
    <x v="5"/>
    <x v="1"/>
    <s v="Televendas"/>
    <s v="Diego Alves"/>
    <s v="Informática"/>
    <s v="Notebook Nova 14"/>
    <n v="1"/>
    <n v="4114.41"/>
    <n v="0.1"/>
    <n v="3216.82"/>
    <s v="Concluída"/>
    <n v="4114.41"/>
    <n v="411.44100000000003"/>
    <n v="3702.9690000000001"/>
    <n v="3216.82"/>
    <n v="486.14899999999989"/>
    <n v="0.13128627325802616"/>
  </r>
  <r>
    <s v="VD-0642"/>
    <d v="2025-09-26T00:00:00"/>
    <x v="6"/>
    <x v="0"/>
    <s v="E-commerce"/>
    <s v="Isabela Reis"/>
    <s v="Acessórios"/>
    <s v="Relógio Fit"/>
    <n v="1"/>
    <n v="744.74"/>
    <n v="0.15"/>
    <n v="364.62"/>
    <s v="Concluída"/>
    <n v="744.74"/>
    <n v="111.711"/>
    <n v="633.029"/>
    <n v="364.62"/>
    <n v="268.40899999999999"/>
    <n v="0.42400743093918286"/>
  </r>
  <r>
    <s v="VD-0626"/>
    <d v="2025-09-27T00:00:00"/>
    <x v="1"/>
    <x v="0"/>
    <s v="Televendas"/>
    <s v="Bruno Lima"/>
    <s v="Beleza"/>
    <s v="Creme Facial"/>
    <n v="2"/>
    <n v="146"/>
    <n v="0.1"/>
    <n v="49.06"/>
    <s v="Concluída"/>
    <n v="292"/>
    <n v="29.200000000000003"/>
    <n v="262.8"/>
    <n v="98.12"/>
    <n v="164.68"/>
    <n v="0.6266362252663622"/>
  </r>
  <r>
    <s v="VD-0649"/>
    <d v="2025-09-27T00:00:00"/>
    <x v="6"/>
    <x v="0"/>
    <s v="Marketplace"/>
    <s v="Isabela Reis"/>
    <s v="Informática"/>
    <s v="Monitor 27 Ultra"/>
    <n v="1"/>
    <n v="1364.25"/>
    <n v="0.2"/>
    <n v="957.43"/>
    <s v="Concluída"/>
    <n v="1364.25"/>
    <n v="272.85000000000002"/>
    <n v="1091.4000000000001"/>
    <n v="957.43"/>
    <n v="133.97000000000014"/>
    <n v="0.12275059556532905"/>
  </r>
  <r>
    <s v="VD-0592"/>
    <d v="2025-09-28T00:00:00"/>
    <x v="3"/>
    <x v="2"/>
    <s v="E-commerce"/>
    <s v="Larissa Freitas"/>
    <s v="Casa"/>
    <s v="Panela Pressão 6L"/>
    <n v="1"/>
    <n v="442.19"/>
    <n v="0.05"/>
    <n v="249.89"/>
    <s v="Concluída"/>
    <n v="442.19"/>
    <n v="22.109500000000001"/>
    <n v="420.08049999999997"/>
    <n v="249.89"/>
    <n v="170.19049999999999"/>
    <n v="0.40513782477406113"/>
  </r>
  <r>
    <s v="VD-0619"/>
    <d v="2025-09-28T00:00:00"/>
    <x v="0"/>
    <x v="0"/>
    <s v="E-commerce"/>
    <s v="Felipe Martins"/>
    <s v="Esporte"/>
    <s v="Halteres 10kg"/>
    <n v="1"/>
    <n v="353.38"/>
    <n v="0.1"/>
    <n v="190.65"/>
    <s v="Concluída"/>
    <n v="353.38"/>
    <n v="35.338000000000001"/>
    <n v="318.04199999999997"/>
    <n v="190.65"/>
    <n v="127.39199999999997"/>
    <n v="0.40055087063972677"/>
  </r>
  <r>
    <s v="VD-0622"/>
    <d v="2025-09-28T00:00:00"/>
    <x v="6"/>
    <x v="0"/>
    <s v="E-commerce"/>
    <s v="Heitor Nunes"/>
    <s v="Acessórios"/>
    <s v="Óculos Sol"/>
    <n v="1"/>
    <n v="378.72"/>
    <n v="0.1"/>
    <n v="171.65"/>
    <s v="Concluída"/>
    <n v="378.72"/>
    <n v="37.872000000000007"/>
    <n v="340.84800000000001"/>
    <n v="171.65"/>
    <n v="169.19800000000001"/>
    <n v="0.49640308876684036"/>
  </r>
  <r>
    <s v="VD-0634"/>
    <d v="2025-09-28T00:00:00"/>
    <x v="1"/>
    <x v="0"/>
    <s v="E-commerce"/>
    <s v="Diego Alves"/>
    <s v="Casa"/>
    <s v="Tapete Sala"/>
    <n v="1"/>
    <n v="546.13"/>
    <n v="0.03"/>
    <n v="275.69"/>
    <s v="Concluída"/>
    <n v="546.13"/>
    <n v="16.383900000000001"/>
    <n v="529.74609999999996"/>
    <n v="275.69"/>
    <n v="254.05609999999996"/>
    <n v="0.4795808784623426"/>
  </r>
  <r>
    <s v="VD-0721"/>
    <d v="2025-10-01T00:00:00"/>
    <x v="0"/>
    <x v="0"/>
    <s v="Televendas"/>
    <s v="Bruno Lima"/>
    <s v="Esporte"/>
    <s v="Esteira Compacta"/>
    <n v="1"/>
    <n v="2692.2"/>
    <n v="0.03"/>
    <n v="1816.49"/>
    <s v="Concluída"/>
    <n v="2692.2"/>
    <n v="80.765999999999991"/>
    <n v="2611.4339999999997"/>
    <n v="1816.49"/>
    <n v="794.94399999999973"/>
    <n v="0.30440899521106018"/>
  </r>
  <r>
    <s v="VD-0680"/>
    <d v="2025-10-02T00:00:00"/>
    <x v="5"/>
    <x v="1"/>
    <s v="Loja Física"/>
    <s v="Ana Costa"/>
    <s v="Casa"/>
    <s v="Air Fryer 5L"/>
    <n v="2"/>
    <n v="648.62"/>
    <n v="0.05"/>
    <n v="380.38"/>
    <s v="Concluída"/>
    <n v="1297.24"/>
    <n v="64.862000000000009"/>
    <n v="1232.3779999999999"/>
    <n v="760.76"/>
    <n v="471.61799999999994"/>
    <n v="0.38268940211526004"/>
  </r>
  <r>
    <s v="VD-0686"/>
    <d v="2025-10-03T00:00:00"/>
    <x v="6"/>
    <x v="0"/>
    <s v="Loja Física"/>
    <s v="Ana Costa"/>
    <s v="Acessórios"/>
    <s v="Óculos Sol"/>
    <n v="1"/>
    <n v="358.21"/>
    <n v="0.08"/>
    <n v="163.47999999999999"/>
    <s v="Concluída"/>
    <n v="358.21"/>
    <n v="28.6568"/>
    <n v="329.5532"/>
    <n v="163.47999999999999"/>
    <n v="166.07320000000001"/>
    <n v="0.50393441787244064"/>
  </r>
  <r>
    <s v="VD-0690"/>
    <d v="2025-10-03T00:00:00"/>
    <x v="3"/>
    <x v="2"/>
    <s v="Loja Física"/>
    <s v="João Pedro"/>
    <s v="Informática"/>
    <s v="Notebook Nova 14"/>
    <n v="1"/>
    <n v="3865.12"/>
    <n v="0.05"/>
    <n v="3123.76"/>
    <s v="Concluída"/>
    <n v="3865.12"/>
    <n v="193.256"/>
    <n v="3671.864"/>
    <n v="3123.76"/>
    <n v="548.10399999999981"/>
    <n v="0.14927132377451882"/>
  </r>
  <r>
    <s v="VD-0723"/>
    <d v="2025-10-03T00:00:00"/>
    <x v="1"/>
    <x v="0"/>
    <s v="E-commerce"/>
    <s v="Bruno Lima"/>
    <s v="Casa"/>
    <s v="Cadeira Escritório"/>
    <n v="1"/>
    <n v="1249.9000000000001"/>
    <n v="0.1"/>
    <n v="895.7"/>
    <s v="Concluída"/>
    <n v="1249.9000000000001"/>
    <n v="124.99000000000001"/>
    <n v="1124.9100000000001"/>
    <n v="895.7"/>
    <n v="229.21000000000004"/>
    <n v="0.20375852290405455"/>
  </r>
  <r>
    <s v="VD-0682"/>
    <d v="2025-10-04T00:00:00"/>
    <x v="6"/>
    <x v="0"/>
    <s v="E-commerce"/>
    <s v="Ana Costa"/>
    <s v="Esporte"/>
    <s v="Bike Urbana"/>
    <n v="2"/>
    <n v="2204.2800000000002"/>
    <n v="0.03"/>
    <n v="1579.59"/>
    <s v="Concluída"/>
    <n v="4408.5600000000004"/>
    <n v="132.2568"/>
    <n v="4276.3032000000003"/>
    <n v="3159.18"/>
    <n v="1117.1232000000005"/>
    <n v="0.26123573277030504"/>
  </r>
  <r>
    <s v="VD-0730"/>
    <d v="2025-10-04T00:00:00"/>
    <x v="4"/>
    <x v="2"/>
    <s v="E-commerce"/>
    <s v="Felipe Martins"/>
    <s v="Casa"/>
    <s v="Cadeira Escritório"/>
    <n v="2"/>
    <n v="1145.72"/>
    <n v="0.1"/>
    <n v="834.23"/>
    <s v="Concluída"/>
    <n v="2291.44"/>
    <n v="229.14400000000001"/>
    <n v="2062.2960000000003"/>
    <n v="1668.46"/>
    <n v="393.83600000000024"/>
    <n v="0.19096967651588337"/>
  </r>
  <r>
    <s v="VD-0675"/>
    <d v="2025-10-05T00:00:00"/>
    <x v="1"/>
    <x v="0"/>
    <s v="E-commerce"/>
    <s v="Diego Alves"/>
    <s v="Casa"/>
    <s v="Panela Pressão 6L"/>
    <n v="1"/>
    <n v="481.01"/>
    <n v="0.1"/>
    <n v="259.77"/>
    <s v="Concluída"/>
    <n v="481.01"/>
    <n v="48.100999999999999"/>
    <n v="432.90899999999999"/>
    <n v="259.77"/>
    <n v="173.13900000000001"/>
    <n v="0.39994317512456434"/>
  </r>
  <r>
    <s v="VD-0681"/>
    <d v="2025-10-05T00:00:00"/>
    <x v="5"/>
    <x v="1"/>
    <s v="Loja Física"/>
    <s v="Diego Alves"/>
    <s v="Beleza"/>
    <s v="Creme Facial"/>
    <n v="1"/>
    <n v="146.41999999999999"/>
    <n v="0.08"/>
    <n v="51.64"/>
    <s v="Concluída"/>
    <n v="146.41999999999999"/>
    <n v="11.7136"/>
    <n v="134.70639999999997"/>
    <n v="51.64"/>
    <n v="83.066399999999973"/>
    <n v="0.61664776135358079"/>
  </r>
  <r>
    <s v="VD-0707"/>
    <d v="2025-10-05T00:00:00"/>
    <x v="0"/>
    <x v="0"/>
    <s v="Loja Física"/>
    <s v="Giovana Melo"/>
    <s v="Acessórios"/>
    <s v="Mochila Urban"/>
    <n v="1"/>
    <n v="335.24"/>
    <n v="0"/>
    <n v="160.33000000000001"/>
    <s v="Cancelada"/>
    <n v="335.24"/>
    <n v="0"/>
    <n v="0"/>
    <n v="0"/>
    <n v="0"/>
    <s v=""/>
  </r>
  <r>
    <s v="VD-0720"/>
    <d v="2025-10-05T00:00:00"/>
    <x v="4"/>
    <x v="2"/>
    <s v="Loja Física"/>
    <s v="Marcos Silva"/>
    <s v="Casa"/>
    <s v="Tapete Sala"/>
    <n v="1"/>
    <n v="504.12"/>
    <n v="0.15"/>
    <n v="267.57"/>
    <s v="Concluída"/>
    <n v="504.12"/>
    <n v="75.617999999999995"/>
    <n v="428.50200000000001"/>
    <n v="267.57"/>
    <n v="160.93200000000002"/>
    <n v="0.37556884215242875"/>
  </r>
  <r>
    <s v="VD-0734"/>
    <d v="2025-10-05T00:00:00"/>
    <x v="2"/>
    <x v="1"/>
    <s v="E-commerce"/>
    <s v="João Pedro"/>
    <s v="Informática"/>
    <s v="Monitor 27 Ultra"/>
    <n v="1"/>
    <n v="1378.65"/>
    <n v="0.03"/>
    <n v="934.67"/>
    <s v="Concluída"/>
    <n v="1378.65"/>
    <n v="41.359500000000004"/>
    <n v="1337.2905000000001"/>
    <n v="934.67"/>
    <n v="402.62050000000011"/>
    <n v="0.30107183143827021"/>
  </r>
  <r>
    <s v="VD-0712"/>
    <d v="2025-10-06T00:00:00"/>
    <x v="4"/>
    <x v="2"/>
    <s v="Loja Física"/>
    <s v="Elisa Rocha"/>
    <s v="Informática"/>
    <s v="Mouse Pro"/>
    <n v="1"/>
    <n v="198.29"/>
    <n v="0.05"/>
    <n v="91.24"/>
    <s v="Concluída"/>
    <n v="198.29"/>
    <n v="9.9145000000000003"/>
    <n v="188.37549999999999"/>
    <n v="91.24"/>
    <n v="97.135499999999993"/>
    <n v="0.51564826636160221"/>
  </r>
  <r>
    <s v="VD-0717"/>
    <d v="2025-10-06T00:00:00"/>
    <x v="0"/>
    <x v="0"/>
    <s v="E-commerce"/>
    <s v="Isabela Reis"/>
    <s v="Informática"/>
    <s v="Fone Wave"/>
    <n v="1"/>
    <n v="256.81"/>
    <n v="0.05"/>
    <n v="126.09"/>
    <s v="Concluída"/>
    <n v="256.81"/>
    <n v="12.8405"/>
    <n v="243.96950000000001"/>
    <n v="126.09"/>
    <n v="117.87950000000001"/>
    <n v="0.48317310155572724"/>
  </r>
  <r>
    <s v="VD-0662"/>
    <d v="2025-10-07T00:00:00"/>
    <x v="5"/>
    <x v="1"/>
    <s v="Loja Física"/>
    <s v="Camila Souza"/>
    <s v="Beleza"/>
    <s v="Secador Pro"/>
    <n v="1"/>
    <n v="435.97"/>
    <n v="0.05"/>
    <n v="246.93"/>
    <s v="Concluída"/>
    <n v="435.97"/>
    <n v="21.798500000000004"/>
    <n v="414.17150000000004"/>
    <n v="246.93"/>
    <n v="167.24150000000003"/>
    <n v="0.40379770215961264"/>
  </r>
  <r>
    <s v="VD-0664"/>
    <d v="2025-10-07T00:00:00"/>
    <x v="2"/>
    <x v="1"/>
    <s v="Loja Física"/>
    <s v="Diego Alves"/>
    <s v="Esporte"/>
    <s v="Bike Urbana"/>
    <n v="1"/>
    <n v="2129.87"/>
    <n v="0.08"/>
    <n v="1435.61"/>
    <s v="Concluída"/>
    <n v="2129.87"/>
    <n v="170.3896"/>
    <n v="1959.4803999999999"/>
    <n v="1435.61"/>
    <n v="523.87040000000002"/>
    <n v="0.267351691805644"/>
  </r>
  <r>
    <s v="VD-0665"/>
    <d v="2025-10-07T00:00:00"/>
    <x v="4"/>
    <x v="2"/>
    <s v="Loja Física"/>
    <s v="Ana Costa"/>
    <s v="Informática"/>
    <s v="Monitor 27 Ultra"/>
    <n v="1"/>
    <n v="1368.79"/>
    <n v="0"/>
    <n v="935.61"/>
    <s v="Concluída"/>
    <n v="1368.79"/>
    <n v="0"/>
    <n v="1368.79"/>
    <n v="935.61"/>
    <n v="433.17999999999995"/>
    <n v="0.31646929039516652"/>
  </r>
  <r>
    <s v="VD-0674"/>
    <d v="2025-10-07T00:00:00"/>
    <x v="0"/>
    <x v="0"/>
    <s v="E-commerce"/>
    <s v="Isabela Reis"/>
    <s v="Esporte"/>
    <s v="Colchonete Pro"/>
    <n v="1"/>
    <n v="134.94"/>
    <n v="0.2"/>
    <n v="52.88"/>
    <s v="Concluída"/>
    <n v="134.94"/>
    <n v="26.988"/>
    <n v="107.952"/>
    <n v="52.88"/>
    <n v="55.071999999999996"/>
    <n v="0.51015266044167773"/>
  </r>
  <r>
    <s v="VD-0724"/>
    <d v="2025-10-07T00:00:00"/>
    <x v="5"/>
    <x v="1"/>
    <s v="Loja Física"/>
    <s v="Elisa Rocha"/>
    <s v="Acessórios"/>
    <s v="Relógio Fit"/>
    <n v="1"/>
    <n v="668.5"/>
    <n v="0.05"/>
    <n v="321.13"/>
    <s v="Concluída"/>
    <n v="668.5"/>
    <n v="33.425000000000004"/>
    <n v="635.07500000000005"/>
    <n v="321.13"/>
    <n v="313.94500000000005"/>
    <n v="0.49434318781246311"/>
  </r>
  <r>
    <s v="VD-0731"/>
    <d v="2025-10-07T00:00:00"/>
    <x v="5"/>
    <x v="1"/>
    <s v="Televendas"/>
    <s v="Isabela Reis"/>
    <s v="Casa"/>
    <s v="Kit Lençol 4p"/>
    <n v="1"/>
    <n v="270.26"/>
    <n v="0.1"/>
    <n v="118.21"/>
    <s v="Concluída"/>
    <n v="270.26"/>
    <n v="27.026"/>
    <n v="243.23399999999998"/>
    <n v="118.21"/>
    <n v="125.02399999999999"/>
    <n v="0.51400708782489291"/>
  </r>
  <r>
    <s v="VD-0669"/>
    <d v="2025-10-08T00:00:00"/>
    <x v="2"/>
    <x v="1"/>
    <s v="E-commerce"/>
    <s v="Diego Alves"/>
    <s v="Beleza"/>
    <s v="Creme Facial"/>
    <n v="1"/>
    <n v="138.81"/>
    <n v="0.15"/>
    <n v="46.8"/>
    <s v="Concluída"/>
    <n v="138.81"/>
    <n v="20.8215"/>
    <n v="117.9885"/>
    <n v="46.8"/>
    <n v="71.188500000000005"/>
    <n v="0.60335117405509864"/>
  </r>
  <r>
    <s v="VD-0689"/>
    <d v="2025-10-08T00:00:00"/>
    <x v="4"/>
    <x v="2"/>
    <s v="Marketplace"/>
    <s v="Giovana Melo"/>
    <s v="Informática"/>
    <s v="Fone Wave"/>
    <n v="1"/>
    <n v="250.78"/>
    <n v="0.2"/>
    <n v="119.23"/>
    <s v="Concluída"/>
    <n v="250.78"/>
    <n v="50.156000000000006"/>
    <n v="200.624"/>
    <n v="119.23"/>
    <n v="81.393999999999991"/>
    <n v="0.40570420288699255"/>
  </r>
  <r>
    <s v="VD-0655"/>
    <d v="2025-10-09T00:00:00"/>
    <x v="2"/>
    <x v="1"/>
    <s v="Televendas"/>
    <s v="Bruno Lima"/>
    <s v="Acessórios"/>
    <s v="Mochila Urban"/>
    <n v="3"/>
    <n v="304.57"/>
    <n v="0"/>
    <n v="134.87"/>
    <s v="Concluída"/>
    <n v="913.71"/>
    <n v="0"/>
    <n v="913.71"/>
    <n v="404.61"/>
    <n v="509.1"/>
    <n v="0.55717897363496072"/>
  </r>
  <r>
    <s v="VD-0699"/>
    <d v="2025-10-09T00:00:00"/>
    <x v="0"/>
    <x v="0"/>
    <s v="Marketplace"/>
    <s v="Ana Costa"/>
    <s v="Beleza"/>
    <s v="Balança Smart"/>
    <n v="1"/>
    <n v="240.09"/>
    <n v="0.05"/>
    <n v="105.99"/>
    <s v="Concluída"/>
    <n v="240.09"/>
    <n v="12.0045"/>
    <n v="228.0855"/>
    <n v="105.99"/>
    <n v="122.0955"/>
    <n v="0.53530583925764685"/>
  </r>
  <r>
    <s v="VD-0719"/>
    <d v="2025-10-09T00:00:00"/>
    <x v="7"/>
    <x v="3"/>
    <s v="Marketplace"/>
    <s v="Ana Costa"/>
    <s v="Informática"/>
    <s v="Mouse Pro"/>
    <n v="1"/>
    <n v="180.54"/>
    <n v="0.1"/>
    <n v="79.88"/>
    <s v="Concluída"/>
    <n v="180.54"/>
    <n v="18.053999999999998"/>
    <n v="162.48599999999999"/>
    <n v="79.88"/>
    <n v="82.605999999999995"/>
    <n v="0.5083884150019079"/>
  </r>
  <r>
    <s v="VD-0715"/>
    <d v="2025-10-10T00:00:00"/>
    <x v="3"/>
    <x v="2"/>
    <s v="E-commerce"/>
    <s v="Heitor Nunes"/>
    <s v="Casa"/>
    <s v="Panela Pressão 6L"/>
    <n v="2"/>
    <n v="425.81"/>
    <n v="0.1"/>
    <n v="234.58"/>
    <s v="Concluída"/>
    <n v="851.62"/>
    <n v="85.162000000000006"/>
    <n v="766.45799999999997"/>
    <n v="469.16"/>
    <n v="297.29799999999994"/>
    <n v="0.3878855723340352"/>
  </r>
  <r>
    <s v="VD-0716"/>
    <d v="2025-10-10T00:00:00"/>
    <x v="4"/>
    <x v="2"/>
    <s v="E-commerce"/>
    <s v="Isabela Reis"/>
    <s v="Informática"/>
    <s v="Notebook Nova 14"/>
    <n v="2"/>
    <n v="4073.49"/>
    <n v="0.1"/>
    <n v="3137.5"/>
    <s v="Concluída"/>
    <n v="8146.98"/>
    <n v="814.69799999999998"/>
    <n v="7332.2819999999992"/>
    <n v="6275"/>
    <n v="1057.2819999999992"/>
    <n v="0.1441954905716937"/>
  </r>
  <r>
    <s v="VD-0684"/>
    <d v="2025-10-11T00:00:00"/>
    <x v="7"/>
    <x v="3"/>
    <s v="Loja Física"/>
    <s v="Giovana Melo"/>
    <s v="Casa"/>
    <s v="Tapete Sala"/>
    <n v="1"/>
    <n v="495.84"/>
    <n v="0"/>
    <n v="254.4"/>
    <s v="Concluída"/>
    <n v="495.84"/>
    <n v="0"/>
    <n v="495.84"/>
    <n v="254.4"/>
    <n v="241.43999999999997"/>
    <n v="0.48693126815101639"/>
  </r>
  <r>
    <s v="VD-0702"/>
    <d v="2025-10-11T00:00:00"/>
    <x v="1"/>
    <x v="0"/>
    <s v="E-commerce"/>
    <s v="Camila Souza"/>
    <s v="Casa"/>
    <s v="Air Fryer 5L"/>
    <n v="1"/>
    <n v="679.53"/>
    <n v="0.1"/>
    <n v="389.57"/>
    <s v="Concluída"/>
    <n v="679.53"/>
    <n v="67.953000000000003"/>
    <n v="611.577"/>
    <n v="389.57"/>
    <n v="222.00700000000001"/>
    <n v="0.36300743814760855"/>
  </r>
  <r>
    <s v="VD-0729"/>
    <d v="2025-10-11T00:00:00"/>
    <x v="6"/>
    <x v="0"/>
    <s v="E-commerce"/>
    <s v="Diego Alves"/>
    <s v="Informática"/>
    <s v="Teclado Mecânico"/>
    <n v="1"/>
    <n v="408.14"/>
    <n v="0.05"/>
    <n v="238.15"/>
    <s v="Concluída"/>
    <n v="408.14"/>
    <n v="20.407"/>
    <n v="387.733"/>
    <n v="238.15"/>
    <n v="149.583"/>
    <n v="0.38578867416495372"/>
  </r>
  <r>
    <s v="VD-0673"/>
    <d v="2025-10-12T00:00:00"/>
    <x v="4"/>
    <x v="2"/>
    <s v="Loja Física"/>
    <s v="Elisa Rocha"/>
    <s v="Informática"/>
    <s v="Teclado Mecânico"/>
    <n v="2"/>
    <n v="409.38"/>
    <n v="0.15"/>
    <n v="230.86"/>
    <s v="Concluída"/>
    <n v="818.76"/>
    <n v="122.81399999999999"/>
    <n v="695.94600000000003"/>
    <n v="461.72"/>
    <n v="234.226"/>
    <n v="0.33655772143240997"/>
  </r>
  <r>
    <s v="VD-0693"/>
    <d v="2025-10-12T00:00:00"/>
    <x v="3"/>
    <x v="2"/>
    <s v="E-commerce"/>
    <s v="Felipe Martins"/>
    <s v="Acessórios"/>
    <s v="Relógio Fit"/>
    <n v="2"/>
    <n v="749.66"/>
    <n v="0.05"/>
    <n v="355.12"/>
    <s v="Concluída"/>
    <n v="1499.32"/>
    <n v="74.965999999999994"/>
    <n v="1424.354"/>
    <n v="710.24"/>
    <n v="714.11400000000003"/>
    <n v="0.50135991474029629"/>
  </r>
  <r>
    <s v="VD-0701"/>
    <d v="2025-10-12T00:00:00"/>
    <x v="0"/>
    <x v="0"/>
    <s v="Marketplace"/>
    <s v="Larissa Freitas"/>
    <s v="Acessórios"/>
    <s v="Relógio Fit"/>
    <n v="1"/>
    <n v="730.47"/>
    <n v="0.15"/>
    <n v="361.89"/>
    <s v="Concluída"/>
    <n v="730.47"/>
    <n v="109.5705"/>
    <n v="620.89949999999999"/>
    <n v="361.89"/>
    <n v="259.0095"/>
    <n v="0.41715205117736448"/>
  </r>
  <r>
    <s v="VD-0703"/>
    <d v="2025-10-13T00:00:00"/>
    <x v="6"/>
    <x v="0"/>
    <s v="Marketplace"/>
    <s v="João Pedro"/>
    <s v="Casa"/>
    <s v="Kit Lençol 4p"/>
    <n v="1"/>
    <n v="301.99"/>
    <n v="0.15"/>
    <n v="132.62"/>
    <s v="Concluída"/>
    <n v="301.99"/>
    <n v="45.298499999999997"/>
    <n v="256.69150000000002"/>
    <n v="132.62"/>
    <n v="124.07150000000001"/>
    <n v="0.48334868899048083"/>
  </r>
  <r>
    <s v="VD-0705"/>
    <d v="2025-10-13T00:00:00"/>
    <x v="4"/>
    <x v="2"/>
    <s v="Loja Física"/>
    <s v="Marcos Silva"/>
    <s v="Casa"/>
    <s v="Panela Pressão 6L"/>
    <n v="1"/>
    <n v="449.92"/>
    <n v="0.15"/>
    <n v="238.05"/>
    <s v="Concluída"/>
    <n v="449.92"/>
    <n v="67.488"/>
    <n v="382.43200000000002"/>
    <n v="238.05"/>
    <n v="144.38200000000001"/>
    <n v="0.37753639862772992"/>
  </r>
  <r>
    <s v="VD-0709"/>
    <d v="2025-10-13T00:00:00"/>
    <x v="6"/>
    <x v="0"/>
    <s v="Marketplace"/>
    <s v="Giovana Melo"/>
    <s v="Informática"/>
    <s v="Fone Wave"/>
    <n v="2"/>
    <n v="256.36"/>
    <n v="0.25"/>
    <n v="120.03"/>
    <s v="Concluída"/>
    <n v="512.72"/>
    <n v="128.18"/>
    <n v="384.54"/>
    <n v="240.06"/>
    <n v="144.48000000000002"/>
    <n v="0.3757216414417226"/>
  </r>
  <r>
    <s v="VD-0713"/>
    <d v="2025-10-13T00:00:00"/>
    <x v="4"/>
    <x v="2"/>
    <s v="Loja Física"/>
    <s v="Heitor Nunes"/>
    <s v="Informática"/>
    <s v="Teclado Mecânico"/>
    <n v="1"/>
    <n v="394.63"/>
    <n v="0.05"/>
    <n v="234.89"/>
    <s v="Concluída"/>
    <n v="394.63"/>
    <n v="19.7315"/>
    <n v="374.89850000000001"/>
    <n v="234.89"/>
    <n v="140.00850000000003"/>
    <n v="0.3734570823836319"/>
  </r>
  <r>
    <s v="VD-0668"/>
    <d v="2025-10-14T00:00:00"/>
    <x v="7"/>
    <x v="3"/>
    <s v="Loja Física"/>
    <s v="Ana Costa"/>
    <s v="Casa"/>
    <s v="Panela Pressão 6L"/>
    <n v="2"/>
    <n v="483.21"/>
    <n v="0.15"/>
    <n v="271.27999999999997"/>
    <s v="Concluída"/>
    <n v="966.42"/>
    <n v="144.96299999999999"/>
    <n v="821.45699999999999"/>
    <n v="542.55999999999995"/>
    <n v="278.89700000000005"/>
    <n v="0.33951503243626879"/>
  </r>
  <r>
    <s v="VD-0714"/>
    <d v="2025-10-14T00:00:00"/>
    <x v="6"/>
    <x v="0"/>
    <s v="Loja Física"/>
    <s v="Ana Costa"/>
    <s v="Beleza"/>
    <s v="Creme Facial"/>
    <n v="1"/>
    <n v="160.91"/>
    <n v="0.1"/>
    <n v="55.19"/>
    <s v="Concluída"/>
    <n v="160.91"/>
    <n v="16.091000000000001"/>
    <n v="144.81899999999999"/>
    <n v="55.19"/>
    <n v="89.628999999999991"/>
    <n v="0.61890359690372121"/>
  </r>
  <r>
    <s v="VD-0667"/>
    <d v="2025-10-15T00:00:00"/>
    <x v="4"/>
    <x v="2"/>
    <s v="Televendas"/>
    <s v="Bruno Lima"/>
    <s v="Informática"/>
    <s v="Monitor 27 Ultra"/>
    <n v="2"/>
    <n v="1241.27"/>
    <n v="0.12"/>
    <n v="900.91"/>
    <s v="Concluída"/>
    <n v="2482.54"/>
    <n v="297.90479999999997"/>
    <n v="2184.6352000000002"/>
    <n v="1801.82"/>
    <n v="382.81520000000023"/>
    <n v="0.17523072044247945"/>
  </r>
  <r>
    <s v="VD-0657"/>
    <d v="2025-10-16T00:00:00"/>
    <x v="0"/>
    <x v="0"/>
    <s v="Marketplace"/>
    <s v="Diego Alves"/>
    <s v="Beleza"/>
    <s v="Balança Smart"/>
    <n v="2"/>
    <n v="250.04"/>
    <n v="0.05"/>
    <n v="108.64"/>
    <s v="Concluída"/>
    <n v="500.08"/>
    <n v="25.004000000000001"/>
    <n v="475.07599999999996"/>
    <n v="217.28"/>
    <n v="257.79599999999994"/>
    <n v="0.54264159839688797"/>
  </r>
  <r>
    <s v="VD-0658"/>
    <d v="2025-10-16T00:00:00"/>
    <x v="3"/>
    <x v="2"/>
    <s v="Loja Física"/>
    <s v="Giovana Melo"/>
    <s v="Informática"/>
    <s v="Monitor 27 Ultra"/>
    <n v="1"/>
    <n v="1373.19"/>
    <n v="0.05"/>
    <n v="952.5"/>
    <s v="Concluída"/>
    <n v="1373.19"/>
    <n v="68.659500000000008"/>
    <n v="1304.5305000000001"/>
    <n v="952.5"/>
    <n v="352.03050000000007"/>
    <n v="0.2698522571913804"/>
  </r>
  <r>
    <s v="VD-0661"/>
    <d v="2025-10-16T00:00:00"/>
    <x v="7"/>
    <x v="3"/>
    <s v="Loja Física"/>
    <s v="Heitor Nunes"/>
    <s v="Casa"/>
    <s v="Kit Lençol 4p"/>
    <n v="2"/>
    <n v="269.97000000000003"/>
    <n v="0.1"/>
    <n v="115.51"/>
    <s v="Concluída"/>
    <n v="539.94000000000005"/>
    <n v="53.994000000000007"/>
    <n v="485.94600000000003"/>
    <n v="231.02"/>
    <n v="254.92600000000002"/>
    <n v="0.52459738324834448"/>
  </r>
  <r>
    <s v="VD-0677"/>
    <d v="2025-10-17T00:00:00"/>
    <x v="7"/>
    <x v="3"/>
    <s v="E-commerce"/>
    <s v="Camila Souza"/>
    <s v="Casa"/>
    <s v="Panela Pressão 6L"/>
    <n v="1"/>
    <n v="433.48"/>
    <n v="0.15"/>
    <n v="230.62"/>
    <s v="Concluída"/>
    <n v="433.48"/>
    <n v="65.022000000000006"/>
    <n v="368.45800000000003"/>
    <n v="230.62"/>
    <n v="137.83800000000002"/>
    <n v="0.37409419798185956"/>
  </r>
  <r>
    <s v="VD-0691"/>
    <d v="2025-10-17T00:00:00"/>
    <x v="5"/>
    <x v="1"/>
    <s v="E-commerce"/>
    <s v="Heitor Nunes"/>
    <s v="Acessórios"/>
    <s v="Relógio Fit"/>
    <n v="1"/>
    <n v="716.12"/>
    <n v="0.2"/>
    <n v="338.17"/>
    <s v="Concluída"/>
    <n v="716.12"/>
    <n v="143.22400000000002"/>
    <n v="572.89599999999996"/>
    <n v="338.17"/>
    <n v="234.72599999999994"/>
    <n v="0.40971834329441986"/>
  </r>
  <r>
    <s v="VD-0736"/>
    <d v="2025-10-17T00:00:00"/>
    <x v="5"/>
    <x v="1"/>
    <s v="Loja Física"/>
    <s v="Heitor Nunes"/>
    <s v="Informática"/>
    <s v="Monitor 27 Ultra"/>
    <n v="1"/>
    <n v="1320.7"/>
    <n v="0.15"/>
    <n v="899.8"/>
    <s v="Concluída"/>
    <n v="1320.7"/>
    <n v="198.10499999999999"/>
    <n v="1122.595"/>
    <n v="899.8"/>
    <n v="222.79500000000007"/>
    <n v="0.1984642725114579"/>
  </r>
  <r>
    <s v="VD-0663"/>
    <d v="2025-10-18T00:00:00"/>
    <x v="7"/>
    <x v="3"/>
    <s v="Loja Física"/>
    <s v="João Pedro"/>
    <s v="Casa"/>
    <s v="Air Fryer 5L"/>
    <n v="1"/>
    <n v="738.36"/>
    <n v="0.1"/>
    <n v="415.05"/>
    <s v="Concluída"/>
    <n v="738.36"/>
    <n v="73.835999999999999"/>
    <n v="664.524"/>
    <n v="415.05"/>
    <n v="249.47399999999999"/>
    <n v="0.37541759214114162"/>
  </r>
  <r>
    <s v="VD-0706"/>
    <d v="2025-10-18T00:00:00"/>
    <x v="1"/>
    <x v="0"/>
    <s v="Marketplace"/>
    <s v="Marcos Silva"/>
    <s v="Acessórios"/>
    <s v="Relógio Fit"/>
    <n v="1"/>
    <n v="731.76"/>
    <n v="0.25"/>
    <n v="341.66"/>
    <s v="Concluída"/>
    <n v="731.76"/>
    <n v="182.94"/>
    <n v="548.81999999999994"/>
    <n v="341.66"/>
    <n v="207.15999999999991"/>
    <n v="0.37746437812033079"/>
  </r>
  <r>
    <s v="VD-0672"/>
    <d v="2025-10-19T00:00:00"/>
    <x v="7"/>
    <x v="3"/>
    <s v="Loja Física"/>
    <s v="João Pedro"/>
    <s v="Casa"/>
    <s v="Tapete Sala"/>
    <n v="2"/>
    <n v="517.78"/>
    <n v="0.15"/>
    <n v="265.12"/>
    <s v="Concluída"/>
    <n v="1035.56"/>
    <n v="155.33399999999997"/>
    <n v="880.226"/>
    <n v="530.24"/>
    <n v="349.98599999999999"/>
    <n v="0.39760925035161421"/>
  </r>
  <r>
    <s v="VD-0683"/>
    <d v="2025-10-19T00:00:00"/>
    <x v="5"/>
    <x v="1"/>
    <s v="Loja Física"/>
    <s v="Heitor Nunes"/>
    <s v="Casa"/>
    <s v="Panela Pressão 6L"/>
    <n v="1"/>
    <n v="450.7"/>
    <n v="0.1"/>
    <n v="239.03"/>
    <s v="Concluída"/>
    <n v="450.7"/>
    <n v="45.07"/>
    <n v="405.63"/>
    <n v="239.03"/>
    <n v="166.6"/>
    <n v="0.41071912826960527"/>
  </r>
  <r>
    <s v="VD-0700"/>
    <d v="2025-10-19T00:00:00"/>
    <x v="4"/>
    <x v="2"/>
    <s v="Loja Física"/>
    <s v="Isabela Reis"/>
    <s v="Informática"/>
    <s v="Mouse Pro"/>
    <n v="2"/>
    <n v="177.61"/>
    <n v="0"/>
    <n v="82.38"/>
    <s v="Concluída"/>
    <n v="355.22"/>
    <n v="0"/>
    <n v="355.22"/>
    <n v="164.76"/>
    <n v="190.46000000000004"/>
    <n v="0.53617476493440686"/>
  </r>
  <r>
    <s v="VD-0732"/>
    <d v="2025-10-19T00:00:00"/>
    <x v="3"/>
    <x v="2"/>
    <s v="Loja Física"/>
    <s v="Larissa Freitas"/>
    <s v="Casa"/>
    <s v="Kit Lençol 4p"/>
    <n v="1"/>
    <n v="306.25"/>
    <n v="0.15"/>
    <n v="135.21"/>
    <s v="Concluída"/>
    <n v="306.25"/>
    <n v="45.9375"/>
    <n v="260.3125"/>
    <n v="135.21"/>
    <n v="125.10249999999999"/>
    <n v="0.48058583433373347"/>
  </r>
  <r>
    <s v="VD-0671"/>
    <d v="2025-10-20T00:00:00"/>
    <x v="0"/>
    <x v="0"/>
    <s v="E-commerce"/>
    <s v="Ana Costa"/>
    <s v="Casa"/>
    <s v="Panela Pressão 6L"/>
    <n v="1"/>
    <n v="456.69"/>
    <n v="0.05"/>
    <n v="253.31"/>
    <s v="Concluída"/>
    <n v="456.69"/>
    <n v="22.834500000000002"/>
    <n v="433.85550000000001"/>
    <n v="253.31"/>
    <n v="180.5455"/>
    <n v="0.41614201041591037"/>
  </r>
  <r>
    <s v="VD-0678"/>
    <d v="2025-10-20T00:00:00"/>
    <x v="0"/>
    <x v="0"/>
    <s v="Loja Física"/>
    <s v="João Pedro"/>
    <s v="Casa"/>
    <s v="Cadeira Escritório"/>
    <n v="1"/>
    <n v="1109.94"/>
    <n v="0"/>
    <n v="786.56"/>
    <s v="Concluída"/>
    <n v="1109.94"/>
    <n v="0"/>
    <n v="1109.94"/>
    <n v="786.56"/>
    <n v="323.38000000000011"/>
    <n v="0.29134908193235681"/>
  </r>
  <r>
    <s v="VD-0694"/>
    <d v="2025-10-20T00:00:00"/>
    <x v="0"/>
    <x v="0"/>
    <s v="E-commerce"/>
    <s v="João Pedro"/>
    <s v="Acessórios"/>
    <s v="Mochila Urban"/>
    <n v="2"/>
    <n v="313.64"/>
    <n v="0.1"/>
    <n v="143.72999999999999"/>
    <s v="Concluída"/>
    <n v="627.28"/>
    <n v="62.728000000000002"/>
    <n v="564.55200000000002"/>
    <n v="287.45999999999998"/>
    <n v="277.09200000000004"/>
    <n v="0.49081749776814187"/>
  </r>
  <r>
    <s v="VD-0722"/>
    <d v="2025-10-20T00:00:00"/>
    <x v="5"/>
    <x v="1"/>
    <s v="E-commerce"/>
    <s v="Giovana Melo"/>
    <s v="Acessórios"/>
    <s v="Relógio Fit"/>
    <n v="3"/>
    <n v="738.31"/>
    <n v="0.15"/>
    <n v="356.77"/>
    <s v="Concluída"/>
    <n v="2214.9299999999998"/>
    <n v="332.23949999999996"/>
    <n v="1882.6904999999999"/>
    <n v="1070.31"/>
    <n v="812.38049999999998"/>
    <n v="0.43149976058199691"/>
  </r>
  <r>
    <s v="VD-0733"/>
    <d v="2025-10-20T00:00:00"/>
    <x v="6"/>
    <x v="0"/>
    <s v="E-commerce"/>
    <s v="João Pedro"/>
    <s v="Informática"/>
    <s v="Monitor 27 Ultra"/>
    <n v="3"/>
    <n v="1254.8900000000001"/>
    <n v="0.1"/>
    <n v="868.02"/>
    <s v="Concluída"/>
    <n v="3764.67"/>
    <n v="376.46700000000004"/>
    <n v="3388.203"/>
    <n v="2604.06"/>
    <n v="784.14300000000003"/>
    <n v="0.23143329959863682"/>
  </r>
  <r>
    <s v="VD-0654"/>
    <d v="2025-10-21T00:00:00"/>
    <x v="0"/>
    <x v="0"/>
    <s v="Loja Física"/>
    <s v="Larissa Freitas"/>
    <s v="Acessórios"/>
    <s v="Mochila Urban"/>
    <n v="1"/>
    <n v="294.37"/>
    <n v="0.05"/>
    <n v="138.16999999999999"/>
    <s v="Concluída"/>
    <n v="294.37"/>
    <n v="14.718500000000001"/>
    <n v="279.6515"/>
    <n v="138.16999999999999"/>
    <n v="141.48150000000001"/>
    <n v="0.50592076209138881"/>
  </r>
  <r>
    <s v="VD-0656"/>
    <d v="2025-10-21T00:00:00"/>
    <x v="3"/>
    <x v="2"/>
    <s v="E-commerce"/>
    <s v="Elisa Rocha"/>
    <s v="Esporte"/>
    <s v="Colchonete Pro"/>
    <n v="1"/>
    <n v="147.43"/>
    <n v="0.2"/>
    <n v="59.3"/>
    <s v="Concluída"/>
    <n v="147.43"/>
    <n v="29.486000000000004"/>
    <n v="117.944"/>
    <n v="59.3"/>
    <n v="58.644000000000005"/>
    <n v="0.49721901919555045"/>
  </r>
  <r>
    <s v="VD-0659"/>
    <d v="2025-10-22T00:00:00"/>
    <x v="7"/>
    <x v="3"/>
    <s v="Loja Física"/>
    <s v="Felipe Martins"/>
    <s v="Beleza"/>
    <s v="Secador Pro"/>
    <n v="2"/>
    <n v="397.1"/>
    <n v="0"/>
    <n v="212.62"/>
    <s v="Concluída"/>
    <n v="794.2"/>
    <n v="0"/>
    <n v="794.2"/>
    <n v="425.24"/>
    <n v="368.96000000000004"/>
    <n v="0.4645681188617477"/>
  </r>
  <r>
    <s v="VD-0695"/>
    <d v="2025-10-22T00:00:00"/>
    <x v="4"/>
    <x v="2"/>
    <s v="Loja Física"/>
    <s v="Felipe Martins"/>
    <s v="Informática"/>
    <s v="Notebook Nova 14"/>
    <n v="1"/>
    <n v="3895.19"/>
    <n v="0.1"/>
    <n v="3050.38"/>
    <s v="Concluída"/>
    <n v="3895.19"/>
    <n v="389.51900000000001"/>
    <n v="3505.6710000000003"/>
    <n v="3050.38"/>
    <n v="455.29100000000017"/>
    <n v="0.12987271195728298"/>
  </r>
  <r>
    <s v="VD-0685"/>
    <d v="2025-10-23T00:00:00"/>
    <x v="6"/>
    <x v="0"/>
    <s v="Marketplace"/>
    <s v="Diego Alves"/>
    <s v="Informática"/>
    <s v="Mouse Pro"/>
    <n v="1"/>
    <n v="177.44"/>
    <n v="0.25"/>
    <n v="81.41"/>
    <s v="Concluída"/>
    <n v="177.44"/>
    <n v="44.36"/>
    <n v="133.07999999999998"/>
    <n v="81.41"/>
    <n v="51.669999999999987"/>
    <n v="0.38826269912834382"/>
  </r>
  <r>
    <s v="VD-0687"/>
    <d v="2025-10-23T00:00:00"/>
    <x v="1"/>
    <x v="0"/>
    <s v="Loja Física"/>
    <s v="Larissa Freitas"/>
    <s v="Esporte"/>
    <s v="Esteira Compacta"/>
    <n v="1"/>
    <n v="2887.89"/>
    <n v="0"/>
    <n v="1968.79"/>
    <s v="Concluída"/>
    <n v="2887.89"/>
    <n v="0"/>
    <n v="2887.89"/>
    <n v="1968.79"/>
    <n v="919.09999999999991"/>
    <n v="0.31826004453078199"/>
  </r>
  <r>
    <s v="VD-0704"/>
    <d v="2025-10-23T00:00:00"/>
    <x v="7"/>
    <x v="3"/>
    <s v="Loja Física"/>
    <s v="Bruno Lima"/>
    <s v="Acessórios"/>
    <s v="Mochila Urban"/>
    <n v="1"/>
    <n v="332.77"/>
    <n v="0.05"/>
    <n v="155.77000000000001"/>
    <s v="Concluída"/>
    <n v="332.77"/>
    <n v="16.638500000000001"/>
    <n v="316.13149999999996"/>
    <n v="155.77000000000001"/>
    <n v="160.36149999999995"/>
    <n v="0.50726200963839407"/>
  </r>
  <r>
    <s v="VD-0710"/>
    <d v="2025-10-23T00:00:00"/>
    <x v="0"/>
    <x v="0"/>
    <s v="Marketplace"/>
    <s v="João Pedro"/>
    <s v="Beleza"/>
    <s v="Creme Facial"/>
    <n v="1"/>
    <n v="143.84"/>
    <n v="0.05"/>
    <n v="52.05"/>
    <s v="Concluída"/>
    <n v="143.84"/>
    <n v="7.1920000000000002"/>
    <n v="136.648"/>
    <n v="52.05"/>
    <n v="84.597999999999999"/>
    <n v="0.61909431532111703"/>
  </r>
  <r>
    <s v="VD-0728"/>
    <d v="2025-10-23T00:00:00"/>
    <x v="6"/>
    <x v="0"/>
    <s v="Loja Física"/>
    <s v="Diego Alves"/>
    <s v="Acessórios"/>
    <s v="Óculos Sol"/>
    <n v="2"/>
    <n v="360.23"/>
    <n v="0.1"/>
    <n v="156.88999999999999"/>
    <s v="Concluída"/>
    <n v="720.46"/>
    <n v="72.046000000000006"/>
    <n v="648.41399999999999"/>
    <n v="313.77999999999997"/>
    <n v="334.63400000000001"/>
    <n v="0.51608077555388998"/>
  </r>
  <r>
    <s v="VD-0735"/>
    <d v="2025-10-23T00:00:00"/>
    <x v="2"/>
    <x v="1"/>
    <s v="E-commerce"/>
    <s v="Bruno Lima"/>
    <s v="Informática"/>
    <s v="Notebook Nova 14"/>
    <n v="1"/>
    <n v="4153.75"/>
    <n v="0.2"/>
    <n v="3230.4"/>
    <s v="Concluída"/>
    <n v="4153.75"/>
    <n v="830.75"/>
    <n v="3323"/>
    <n v="3230.4"/>
    <n v="92.599999999999909"/>
    <n v="2.7866385795967473E-2"/>
  </r>
  <r>
    <s v="VD-0670"/>
    <d v="2025-10-24T00:00:00"/>
    <x v="4"/>
    <x v="2"/>
    <s v="Marketplace"/>
    <s v="Larissa Freitas"/>
    <s v="Informática"/>
    <s v="Mouse Pro"/>
    <n v="2"/>
    <n v="175.11"/>
    <n v="0.15"/>
    <n v="81.67"/>
    <s v="Concluída"/>
    <n v="350.22"/>
    <n v="52.533000000000001"/>
    <n v="297.68700000000001"/>
    <n v="163.34"/>
    <n v="134.34700000000001"/>
    <n v="0.45130287852677475"/>
  </r>
  <r>
    <s v="VD-0679"/>
    <d v="2025-10-24T00:00:00"/>
    <x v="7"/>
    <x v="3"/>
    <s v="Loja Física"/>
    <s v="Heitor Nunes"/>
    <s v="Informática"/>
    <s v="Fone Wave"/>
    <n v="2"/>
    <n v="248.8"/>
    <n v="0.15"/>
    <n v="120.69"/>
    <s v="Concluída"/>
    <n v="497.6"/>
    <n v="74.64"/>
    <n v="422.96000000000004"/>
    <n v="241.38"/>
    <n v="181.58000000000004"/>
    <n v="0.42930773595611882"/>
  </r>
  <r>
    <s v="VD-0698"/>
    <d v="2025-10-24T00:00:00"/>
    <x v="7"/>
    <x v="3"/>
    <s v="E-commerce"/>
    <s v="Marcos Silva"/>
    <s v="Casa"/>
    <s v="Tapete Sala"/>
    <n v="1"/>
    <n v="501.6"/>
    <n v="0.05"/>
    <n v="259.26"/>
    <s v="Concluída"/>
    <n v="501.6"/>
    <n v="25.080000000000002"/>
    <n v="476.52000000000004"/>
    <n v="259.26"/>
    <n v="217.26000000000005"/>
    <n v="0.45593049609670117"/>
  </r>
  <r>
    <s v="VD-0711"/>
    <d v="2025-10-24T00:00:00"/>
    <x v="0"/>
    <x v="0"/>
    <s v="E-commerce"/>
    <s v="Larissa Freitas"/>
    <s v="Esporte"/>
    <s v="Halteres 10kg"/>
    <n v="1"/>
    <n v="387.09"/>
    <n v="0.15"/>
    <n v="209.63"/>
    <s v="Concluída"/>
    <n v="387.09"/>
    <n v="58.063499999999991"/>
    <n v="329.0265"/>
    <n v="209.63"/>
    <n v="119.3965"/>
    <n v="0.36287806605243045"/>
  </r>
  <r>
    <s v="VD-0726"/>
    <d v="2025-10-24T00:00:00"/>
    <x v="5"/>
    <x v="1"/>
    <s v="Loja Física"/>
    <s v="João Pedro"/>
    <s v="Esporte"/>
    <s v="Esteira Compacta"/>
    <n v="1"/>
    <n v="2881.14"/>
    <n v="0.08"/>
    <n v="2007.92"/>
    <s v="Concluída"/>
    <n v="2881.14"/>
    <n v="230.49119999999999"/>
    <n v="2650.6487999999999"/>
    <n v="2007.92"/>
    <n v="642.72879999999986"/>
    <n v="0.24247980343529474"/>
  </r>
  <r>
    <s v="VD-0727"/>
    <d v="2025-10-24T00:00:00"/>
    <x v="5"/>
    <x v="1"/>
    <s v="E-commerce"/>
    <s v="Isabela Reis"/>
    <s v="Informática"/>
    <s v="Teclado Mecânico"/>
    <n v="1"/>
    <n v="418.63"/>
    <n v="0.05"/>
    <n v="234.79"/>
    <s v="Concluída"/>
    <n v="418.63"/>
    <n v="20.9315"/>
    <n v="397.69849999999997"/>
    <n v="234.79"/>
    <n v="162.90849999999998"/>
    <n v="0.40962814795630353"/>
  </r>
  <r>
    <s v="VD-0676"/>
    <d v="2025-10-25T00:00:00"/>
    <x v="1"/>
    <x v="0"/>
    <s v="Marketplace"/>
    <s v="Camila Souza"/>
    <s v="Acessórios"/>
    <s v="Relógio Fit"/>
    <n v="1"/>
    <n v="748.68"/>
    <n v="0.15"/>
    <n v="365.83"/>
    <s v="Concluída"/>
    <n v="748.68"/>
    <n v="112.30199999999999"/>
    <n v="636.37799999999993"/>
    <n v="365.83"/>
    <n v="270.54799999999994"/>
    <n v="0.42513726118753314"/>
  </r>
  <r>
    <s v="VD-0697"/>
    <d v="2025-10-25T00:00:00"/>
    <x v="5"/>
    <x v="1"/>
    <s v="Marketplace"/>
    <s v="Elisa Rocha"/>
    <s v="Beleza"/>
    <s v="Creme Facial"/>
    <n v="1"/>
    <n v="140.74"/>
    <n v="0.25"/>
    <n v="50.1"/>
    <s v="Concluída"/>
    <n v="140.74"/>
    <n v="35.185000000000002"/>
    <n v="105.55500000000001"/>
    <n v="50.1"/>
    <n v="55.455000000000005"/>
    <n v="0.52536592297854201"/>
  </r>
  <r>
    <s v="VD-0666"/>
    <d v="2025-10-26T00:00:00"/>
    <x v="3"/>
    <x v="2"/>
    <s v="E-commerce"/>
    <s v="Elisa Rocha"/>
    <s v="Acessórios"/>
    <s v="Mochila Urban"/>
    <n v="2"/>
    <n v="320.75"/>
    <n v="0.03"/>
    <n v="144.28"/>
    <s v="Concluída"/>
    <n v="641.5"/>
    <n v="19.245000000000001"/>
    <n v="622.255"/>
    <n v="288.56"/>
    <n v="333.69499999999999"/>
    <n v="0.53626728591975958"/>
  </r>
  <r>
    <s v="VD-0688"/>
    <d v="2025-10-27T00:00:00"/>
    <x v="4"/>
    <x v="2"/>
    <s v="Loja Física"/>
    <s v="Diego Alves"/>
    <s v="Esporte"/>
    <s v="Halteres 10kg"/>
    <n v="1"/>
    <n v="363.81"/>
    <n v="0.1"/>
    <n v="196.07"/>
    <s v="Concluída"/>
    <n v="363.81"/>
    <n v="36.381"/>
    <n v="327.42899999999997"/>
    <n v="196.07"/>
    <n v="131.35899999999998"/>
    <n v="0.40118315726462833"/>
  </r>
  <r>
    <s v="VD-0692"/>
    <d v="2025-10-27T00:00:00"/>
    <x v="7"/>
    <x v="3"/>
    <s v="E-commerce"/>
    <s v="Bruno Lima"/>
    <s v="Beleza"/>
    <s v="Secador Pro"/>
    <n v="2"/>
    <n v="439.27"/>
    <n v="0.1"/>
    <n v="249.73"/>
    <s v="Concluída"/>
    <n v="878.54"/>
    <n v="87.853999999999999"/>
    <n v="790.68599999999992"/>
    <n v="499.46"/>
    <n v="291.22599999999994"/>
    <n v="0.36832067344053138"/>
  </r>
  <r>
    <s v="VD-0696"/>
    <d v="2025-10-27T00:00:00"/>
    <x v="2"/>
    <x v="1"/>
    <s v="Televendas"/>
    <s v="Ana Costa"/>
    <s v="Informática"/>
    <s v="Notebook Nova 14"/>
    <n v="1"/>
    <n v="3589.55"/>
    <n v="0.12"/>
    <n v="2737.61"/>
    <s v="Concluída"/>
    <n v="3589.55"/>
    <n v="430.74599999999998"/>
    <n v="3158.8040000000001"/>
    <n v="2737.61"/>
    <n v="421.19399999999996"/>
    <n v="0.13333970705368234"/>
  </r>
  <r>
    <s v="VD-0708"/>
    <d v="2025-10-27T00:00:00"/>
    <x v="3"/>
    <x v="2"/>
    <s v="Loja Física"/>
    <s v="Marcos Silva"/>
    <s v="Esporte"/>
    <s v="Bike Urbana"/>
    <n v="1"/>
    <n v="2342.2199999999998"/>
    <n v="0.1"/>
    <n v="1612.76"/>
    <s v="Concluída"/>
    <n v="2342.2199999999998"/>
    <n v="234.22199999999998"/>
    <n v="2107.9979999999996"/>
    <n v="1612.76"/>
    <n v="495.2379999999996"/>
    <n v="0.23493286046760942"/>
  </r>
  <r>
    <s v="VD-0718"/>
    <d v="2025-10-27T00:00:00"/>
    <x v="2"/>
    <x v="1"/>
    <s v="Televendas"/>
    <s v="Camila Souza"/>
    <s v="Casa"/>
    <s v="Cadeira Escritório"/>
    <n v="1"/>
    <n v="1150.3800000000001"/>
    <n v="0.12"/>
    <n v="828.7"/>
    <s v="Concluída"/>
    <n v="1150.3800000000001"/>
    <n v="138.04560000000001"/>
    <n v="1012.3344000000001"/>
    <n v="828.7"/>
    <n v="183.63440000000003"/>
    <n v="0.18139697712534517"/>
  </r>
  <r>
    <s v="VD-0725"/>
    <d v="2025-10-27T00:00:00"/>
    <x v="4"/>
    <x v="2"/>
    <s v="Loja Física"/>
    <s v="Heitor Nunes"/>
    <s v="Acessórios"/>
    <s v="Óculos Sol"/>
    <n v="1"/>
    <n v="380.91"/>
    <n v="0"/>
    <n v="164.21"/>
    <s v="Concluída"/>
    <n v="380.91"/>
    <n v="0"/>
    <n v="380.91"/>
    <n v="164.21"/>
    <n v="216.70000000000002"/>
    <n v="0.56890079021291118"/>
  </r>
  <r>
    <s v="VD-0660"/>
    <d v="2025-10-28T00:00:00"/>
    <x v="5"/>
    <x v="1"/>
    <s v="Marketplace"/>
    <s v="Bruno Lima"/>
    <s v="Informática"/>
    <s v="Mouse Pro"/>
    <n v="1"/>
    <n v="200.52"/>
    <n v="0.05"/>
    <n v="95.18"/>
    <s v="Concluída"/>
    <n v="200.52"/>
    <n v="10.026000000000002"/>
    <n v="190.494"/>
    <n v="95.18"/>
    <n v="95.313999999999993"/>
    <n v="0.50035171711444981"/>
  </r>
  <r>
    <s v="VD-0737"/>
    <d v="2025-10-28T00:00:00"/>
    <x v="0"/>
    <x v="0"/>
    <s v="Loja Física"/>
    <s v="Giovana Melo"/>
    <s v="Casa"/>
    <s v="Panela Pressão 6L"/>
    <n v="1"/>
    <n v="438.7"/>
    <n v="0.05"/>
    <n v="246.34"/>
    <s v="Concluída"/>
    <n v="438.7"/>
    <n v="21.935000000000002"/>
    <n v="416.76499999999999"/>
    <n v="246.34"/>
    <n v="170.42499999999998"/>
    <n v="0.4089234940554029"/>
  </r>
  <r>
    <s v="VD-0803"/>
    <d v="2025-11-01T00:00:00"/>
    <x v="6"/>
    <x v="0"/>
    <s v="Marketplace"/>
    <s v="Ana Costa"/>
    <s v="Beleza"/>
    <s v="Balança Smart"/>
    <n v="2"/>
    <n v="230.97"/>
    <n v="0.1"/>
    <n v="98.94"/>
    <s v="Concluída"/>
    <n v="461.94"/>
    <n v="46.194000000000003"/>
    <n v="415.74599999999998"/>
    <n v="197.88"/>
    <n v="217.86599999999999"/>
    <n v="0.52403631063197242"/>
  </r>
  <r>
    <s v="VD-0832"/>
    <d v="2025-11-01T00:00:00"/>
    <x v="3"/>
    <x v="2"/>
    <s v="Televendas"/>
    <s v="Heitor Nunes"/>
    <s v="Beleza"/>
    <s v="Creme Facial"/>
    <n v="1"/>
    <n v="137.09"/>
    <n v="0.1"/>
    <n v="49.55"/>
    <s v="Concluída"/>
    <n v="137.09"/>
    <n v="13.709000000000001"/>
    <n v="123.381"/>
    <n v="49.55"/>
    <n v="73.831000000000003"/>
    <n v="0.59839845681263726"/>
  </r>
  <r>
    <s v="VD-0740"/>
    <d v="2025-11-02T00:00:00"/>
    <x v="7"/>
    <x v="3"/>
    <s v="Marketplace"/>
    <s v="Giovana Melo"/>
    <s v="Acessórios"/>
    <s v="Mochila Urban"/>
    <n v="1"/>
    <n v="302.51"/>
    <n v="0.1"/>
    <n v="135.87"/>
    <s v="Concluída"/>
    <n v="302.51"/>
    <n v="30.251000000000001"/>
    <n v="272.25900000000001"/>
    <n v="135.87"/>
    <n v="136.38900000000001"/>
    <n v="0.50095313653543139"/>
  </r>
  <r>
    <s v="VD-0753"/>
    <d v="2025-11-02T00:00:00"/>
    <x v="6"/>
    <x v="0"/>
    <s v="Loja Física"/>
    <s v="Ana Costa"/>
    <s v="Informática"/>
    <s v="Teclado Mecânico"/>
    <n v="2"/>
    <n v="445.56"/>
    <n v="0.1"/>
    <n v="257.72000000000003"/>
    <s v="Concluída"/>
    <n v="891.12"/>
    <n v="89.112000000000009"/>
    <n v="802.00800000000004"/>
    <n v="515.44000000000005"/>
    <n v="286.56799999999998"/>
    <n v="0.35731314400853853"/>
  </r>
  <r>
    <s v="VD-0778"/>
    <d v="2025-11-02T00:00:00"/>
    <x v="5"/>
    <x v="1"/>
    <s v="Loja Física"/>
    <s v="Marcos Silva"/>
    <s v="Beleza"/>
    <s v="Creme Facial"/>
    <n v="1"/>
    <n v="159.09"/>
    <n v="0.05"/>
    <n v="53.65"/>
    <s v="Concluída"/>
    <n v="159.09"/>
    <n v="7.9545000000000003"/>
    <n v="151.13550000000001"/>
    <n v="53.65"/>
    <n v="97.485500000000002"/>
    <n v="0.64502052793685138"/>
  </r>
  <r>
    <s v="VD-0835"/>
    <d v="2025-11-02T00:00:00"/>
    <x v="0"/>
    <x v="0"/>
    <s v="E-commerce"/>
    <s v="Larissa Freitas"/>
    <s v="Esporte"/>
    <s v="Halteres 10kg"/>
    <n v="1"/>
    <n v="335.68"/>
    <n v="0.1"/>
    <n v="181.18"/>
    <s v="Concluída"/>
    <n v="335.68"/>
    <n v="33.568000000000005"/>
    <n v="302.11200000000002"/>
    <n v="181.18"/>
    <n v="120.93200000000002"/>
    <n v="0.40028863467852982"/>
  </r>
  <r>
    <s v="VD-0747"/>
    <d v="2025-11-03T00:00:00"/>
    <x v="5"/>
    <x v="1"/>
    <s v="Loja Física"/>
    <s v="Camila Souza"/>
    <s v="Beleza"/>
    <s v="Secador Pro"/>
    <n v="1"/>
    <n v="409.16"/>
    <n v="0.08"/>
    <n v="218.63"/>
    <s v="Concluída"/>
    <n v="409.16"/>
    <n v="32.732800000000005"/>
    <n v="376.42720000000003"/>
    <n v="218.63"/>
    <n v="157.79720000000003"/>
    <n v="0.41919712496865269"/>
  </r>
  <r>
    <s v="VD-0754"/>
    <d v="2025-11-03T00:00:00"/>
    <x v="2"/>
    <x v="1"/>
    <s v="Marketplace"/>
    <s v="Diego Alves"/>
    <s v="Casa"/>
    <s v="Air Fryer 5L"/>
    <n v="3"/>
    <n v="738.99"/>
    <n v="0.1"/>
    <n v="412"/>
    <s v="Concluída"/>
    <n v="2216.9700000000003"/>
    <n v="221.69700000000003"/>
    <n v="1995.2730000000001"/>
    <n v="1236"/>
    <n v="759.27300000000014"/>
    <n v="0.38053589659159426"/>
  </r>
  <r>
    <s v="VD-0780"/>
    <d v="2025-11-03T00:00:00"/>
    <x v="5"/>
    <x v="1"/>
    <s v="E-commerce"/>
    <s v="Elisa Rocha"/>
    <s v="Informática"/>
    <s v="Notebook Nova 14"/>
    <n v="2"/>
    <n v="3586.78"/>
    <n v="0.2"/>
    <n v="2882.13"/>
    <s v="Concluída"/>
    <n v="7173.56"/>
    <n v="1434.7120000000002"/>
    <n v="5738.848"/>
    <n v="5764.26"/>
    <n v="-25.412000000000262"/>
    <n v="-4.4280663993889122E-3"/>
  </r>
  <r>
    <s v="VD-0842"/>
    <d v="2025-11-03T00:00:00"/>
    <x v="6"/>
    <x v="0"/>
    <s v="Marketplace"/>
    <s v="Felipe Martins"/>
    <s v="Informática"/>
    <s v="Notebook Nova 14"/>
    <n v="1"/>
    <n v="3932.42"/>
    <n v="0.15"/>
    <n v="3045.15"/>
    <s v="Concluída"/>
    <n v="3932.42"/>
    <n v="589.86299999999994"/>
    <n v="3342.5570000000002"/>
    <n v="3045.15"/>
    <n v="297.40700000000015"/>
    <n v="8.8975894801494829E-2"/>
  </r>
  <r>
    <s v="VD-0843"/>
    <d v="2025-11-03T00:00:00"/>
    <x v="7"/>
    <x v="3"/>
    <s v="Loja Física"/>
    <s v="Giovana Melo"/>
    <s v="Casa"/>
    <s v="Air Fryer 5L"/>
    <n v="1"/>
    <n v="712.4"/>
    <n v="0.125"/>
    <n v="417.93"/>
    <s v="Concluída"/>
    <n v="712.4"/>
    <n v="89.05"/>
    <n v="623.35"/>
    <n v="417.93"/>
    <n v="205.42000000000002"/>
    <n v="0.3295419908558595"/>
  </r>
  <r>
    <s v="VD-0738"/>
    <d v="2025-11-04T00:00:00"/>
    <x v="0"/>
    <x v="0"/>
    <s v="E-commerce"/>
    <s v="Elisa Rocha"/>
    <s v="Acessórios"/>
    <s v="Óculos Sol"/>
    <n v="1"/>
    <n v="360.84"/>
    <n v="0.1"/>
    <n v="153.52000000000001"/>
    <s v="Concluída"/>
    <n v="360.84"/>
    <n v="36.083999999999996"/>
    <n v="324.75599999999997"/>
    <n v="153.52000000000001"/>
    <n v="171.23599999999996"/>
    <n v="0.52727586249368752"/>
  </r>
  <r>
    <s v="VD-0755"/>
    <d v="2025-11-04T00:00:00"/>
    <x v="3"/>
    <x v="2"/>
    <s v="Marketplace"/>
    <s v="Bruno Lima"/>
    <s v="Acessórios"/>
    <s v="Relógio Fit"/>
    <n v="1"/>
    <n v="661.03"/>
    <n v="0.2"/>
    <n v="316.70999999999998"/>
    <s v="Concluída"/>
    <n v="661.03"/>
    <n v="132.20599999999999"/>
    <n v="528.82399999999996"/>
    <n v="316.70999999999998"/>
    <n v="212.11399999999998"/>
    <n v="0.40110509356610136"/>
  </r>
  <r>
    <s v="VD-0758"/>
    <d v="2025-11-04T00:00:00"/>
    <x v="1"/>
    <x v="0"/>
    <s v="Loja Física"/>
    <s v="Camila Souza"/>
    <s v="Casa"/>
    <s v="Air Fryer 5L"/>
    <n v="1"/>
    <n v="679.6"/>
    <n v="2.5000000000000001E-2"/>
    <n v="397.56"/>
    <s v="Concluída"/>
    <n v="679.6"/>
    <n v="16.990000000000002"/>
    <n v="662.61"/>
    <n v="397.56"/>
    <n v="265.05"/>
    <n v="0.40000905510028523"/>
  </r>
  <r>
    <s v="VD-0762"/>
    <d v="2025-11-04T00:00:00"/>
    <x v="4"/>
    <x v="2"/>
    <s v="Televendas"/>
    <s v="Bruno Lima"/>
    <s v="Casa"/>
    <s v="Kit Lençol 4p"/>
    <n v="3"/>
    <n v="271.31"/>
    <n v="0"/>
    <n v="122.13"/>
    <s v="Concluída"/>
    <n v="813.93000000000006"/>
    <n v="0"/>
    <n v="813.93000000000006"/>
    <n v="366.39"/>
    <n v="447.54000000000008"/>
    <n v="0.54985072426375736"/>
  </r>
  <r>
    <s v="VD-0806"/>
    <d v="2025-11-04T00:00:00"/>
    <x v="5"/>
    <x v="1"/>
    <s v="E-commerce"/>
    <s v="Camila Souza"/>
    <s v="Acessórios"/>
    <s v="Mochila Urban"/>
    <n v="1"/>
    <n v="324.04000000000002"/>
    <n v="0.1"/>
    <n v="150.87"/>
    <s v="Concluída"/>
    <n v="324.04000000000002"/>
    <n v="32.404000000000003"/>
    <n v="291.63600000000002"/>
    <n v="150.87"/>
    <n v="140.76600000000002"/>
    <n v="0.48267703575690246"/>
  </r>
  <r>
    <s v="VD-0833"/>
    <d v="2025-11-04T00:00:00"/>
    <x v="2"/>
    <x v="1"/>
    <s v="Loja Física"/>
    <s v="Bruno Lima"/>
    <s v="Casa"/>
    <s v="Tapete Sala"/>
    <n v="1"/>
    <n v="490.77"/>
    <n v="0"/>
    <n v="262.58999999999997"/>
    <s v="Concluída"/>
    <n v="490.77"/>
    <n v="0"/>
    <n v="490.77"/>
    <n v="262.58999999999997"/>
    <n v="228.18"/>
    <n v="0.46494284491717103"/>
  </r>
  <r>
    <s v="VD-0841"/>
    <d v="2025-11-04T00:00:00"/>
    <x v="6"/>
    <x v="0"/>
    <s v="Loja Física"/>
    <s v="Ana Costa"/>
    <s v="Informática"/>
    <s v="Mouse Pro"/>
    <n v="1"/>
    <n v="191.39"/>
    <n v="0.05"/>
    <n v="86.55"/>
    <s v="Concluída"/>
    <n v="191.39"/>
    <n v="9.5694999999999997"/>
    <n v="181.82049999999998"/>
    <n v="86.55"/>
    <n v="95.270499999999984"/>
    <n v="0.52398106924136711"/>
  </r>
  <r>
    <s v="VD-0741"/>
    <d v="2025-11-05T00:00:00"/>
    <x v="3"/>
    <x v="2"/>
    <s v="Loja Física"/>
    <s v="Marcos Silva"/>
    <s v="Informática"/>
    <s v="Teclado Mecânico"/>
    <n v="1"/>
    <n v="452.43"/>
    <n v="0.05"/>
    <n v="267.51"/>
    <s v="Concluída"/>
    <n v="452.43"/>
    <n v="22.621500000000001"/>
    <n v="429.80849999999998"/>
    <n v="267.51"/>
    <n v="162.29849999999999"/>
    <n v="0.3776065387259675"/>
  </r>
  <r>
    <s v="VD-0744"/>
    <d v="2025-11-05T00:00:00"/>
    <x v="5"/>
    <x v="1"/>
    <s v="E-commerce"/>
    <s v="Camila Souza"/>
    <s v="Acessórios"/>
    <s v="Mochila Urban"/>
    <n v="1"/>
    <n v="321.86"/>
    <n v="0.05"/>
    <n v="152.81"/>
    <s v="Concluída"/>
    <n v="321.86"/>
    <n v="16.093"/>
    <n v="305.767"/>
    <n v="152.81"/>
    <n v="152.95699999999999"/>
    <n v="0.50024037911219976"/>
  </r>
  <r>
    <s v="VD-0770"/>
    <d v="2025-11-05T00:00:00"/>
    <x v="1"/>
    <x v="0"/>
    <s v="E-commerce"/>
    <s v="Larissa Freitas"/>
    <s v="Beleza"/>
    <s v="Creme Facial"/>
    <n v="1"/>
    <n v="148.38999999999999"/>
    <n v="0.15"/>
    <n v="53.16"/>
    <s v="Concluída"/>
    <n v="148.38999999999999"/>
    <n v="22.258499999999998"/>
    <n v="126.13149999999999"/>
    <n v="53.16"/>
    <n v="72.971499999999992"/>
    <n v="0.57853510027233479"/>
  </r>
  <r>
    <s v="VD-0800"/>
    <d v="2025-11-05T00:00:00"/>
    <x v="6"/>
    <x v="0"/>
    <s v="Loja Física"/>
    <s v="Ana Costa"/>
    <s v="Informática"/>
    <s v="Teclado Mecânico"/>
    <n v="1"/>
    <n v="388.79"/>
    <n v="0.08"/>
    <n v="222.45"/>
    <s v="Concluída"/>
    <n v="388.79"/>
    <n v="31.103200000000001"/>
    <n v="357.68680000000001"/>
    <n v="222.45"/>
    <n v="135.23680000000002"/>
    <n v="0.37808719807384567"/>
  </r>
  <r>
    <s v="VD-0801"/>
    <d v="2025-11-05T00:00:00"/>
    <x v="7"/>
    <x v="3"/>
    <s v="Marketplace"/>
    <s v="Elisa Rocha"/>
    <s v="Beleza"/>
    <s v="Secador Pro"/>
    <n v="3"/>
    <n v="419.08"/>
    <n v="0.05"/>
    <n v="222.51"/>
    <s v="Concluída"/>
    <n v="1257.24"/>
    <n v="62.862000000000002"/>
    <n v="1194.3779999999999"/>
    <n v="667.53"/>
    <n v="526.84799999999996"/>
    <n v="0.44110658434766881"/>
  </r>
  <r>
    <s v="VD-0830"/>
    <d v="2025-11-05T00:00:00"/>
    <x v="1"/>
    <x v="0"/>
    <s v="E-commerce"/>
    <s v="Felipe Martins"/>
    <s v="Beleza"/>
    <s v="Secador Pro"/>
    <n v="1"/>
    <n v="394.79"/>
    <n v="0.2"/>
    <n v="209.07"/>
    <s v="Concluída"/>
    <n v="394.79"/>
    <n v="78.958000000000013"/>
    <n v="315.83199999999999"/>
    <n v="209.07"/>
    <n v="106.762"/>
    <n v="0.33803414473517568"/>
  </r>
  <r>
    <s v="VD-0836"/>
    <d v="2025-11-05T00:00:00"/>
    <x v="4"/>
    <x v="2"/>
    <s v="E-commerce"/>
    <s v="Heitor Nunes"/>
    <s v="Acessórios"/>
    <s v="Óculos Sol"/>
    <n v="1"/>
    <n v="349.64"/>
    <n v="0.15"/>
    <n v="157.09"/>
    <s v="Concluída"/>
    <n v="349.64"/>
    <n v="52.445999999999998"/>
    <n v="297.19399999999996"/>
    <n v="157.09"/>
    <n v="140.10399999999996"/>
    <n v="0.47142270705330519"/>
  </r>
  <r>
    <s v="VD-0743"/>
    <d v="2025-11-06T00:00:00"/>
    <x v="5"/>
    <x v="1"/>
    <s v="E-commerce"/>
    <s v="Ana Costa"/>
    <s v="Informática"/>
    <s v="Mouse Pro"/>
    <n v="1"/>
    <n v="189.38"/>
    <n v="0.125"/>
    <n v="90.3"/>
    <s v="Concluída"/>
    <n v="189.38"/>
    <n v="23.672499999999999"/>
    <n v="165.70749999999998"/>
    <n v="90.3"/>
    <n v="75.407499999999985"/>
    <n v="0.45506389270250286"/>
  </r>
  <r>
    <s v="VD-0766"/>
    <d v="2025-11-06T00:00:00"/>
    <x v="5"/>
    <x v="1"/>
    <s v="E-commerce"/>
    <s v="Larissa Freitas"/>
    <s v="Informática"/>
    <s v="Teclado Mecânico"/>
    <n v="1"/>
    <n v="406.39"/>
    <n v="0.03"/>
    <n v="235.06"/>
    <s v="Concluída"/>
    <n v="406.39"/>
    <n v="12.191699999999999"/>
    <n v="394.19829999999996"/>
    <n v="235.06"/>
    <n v="159.13829999999996"/>
    <n v="0.40370113214592751"/>
  </r>
  <r>
    <s v="VD-0822"/>
    <d v="2025-11-06T00:00:00"/>
    <x v="1"/>
    <x v="0"/>
    <s v="Loja Física"/>
    <s v="João Pedro"/>
    <s v="Beleza"/>
    <s v="Creme Facial"/>
    <n v="1"/>
    <n v="144.16"/>
    <n v="0.1"/>
    <n v="49.22"/>
    <s v="Concluída"/>
    <n v="144.16"/>
    <n v="14.416"/>
    <n v="129.744"/>
    <n v="49.22"/>
    <n v="80.524000000000001"/>
    <n v="0.62063756320138119"/>
  </r>
  <r>
    <s v="VD-0844"/>
    <d v="2025-11-06T00:00:00"/>
    <x v="7"/>
    <x v="3"/>
    <s v="Televendas"/>
    <s v="Felipe Martins"/>
    <s v="Casa"/>
    <s v="Cadeira Escritório"/>
    <n v="1"/>
    <n v="1104.8399999999999"/>
    <n v="0.14499999999999999"/>
    <n v="791.05"/>
    <s v="Concluída"/>
    <n v="1104.8399999999999"/>
    <n v="160.20179999999996"/>
    <n v="944.63819999999998"/>
    <n v="791.05"/>
    <n v="153.58820000000003"/>
    <n v="0.16258944429729819"/>
  </r>
  <r>
    <s v="VD-0845"/>
    <d v="2025-11-06T00:00:00"/>
    <x v="5"/>
    <x v="1"/>
    <s v="E-commerce"/>
    <s v="Bruno Lima"/>
    <s v="Esporte"/>
    <s v="Bike Urbana"/>
    <n v="1"/>
    <n v="2191.38"/>
    <n v="0.03"/>
    <n v="1454.66"/>
    <s v="Concluída"/>
    <n v="2191.38"/>
    <n v="65.741399999999999"/>
    <n v="2125.6386000000002"/>
    <n v="1454.66"/>
    <n v="670.97860000000014"/>
    <n v="0.31565977396157563"/>
  </r>
  <r>
    <s v="VD-0764"/>
    <d v="2025-11-07T00:00:00"/>
    <x v="3"/>
    <x v="2"/>
    <s v="E-commerce"/>
    <s v="Felipe Martins"/>
    <s v="Informática"/>
    <s v="Teclado Mecânico"/>
    <n v="1"/>
    <n v="413.84"/>
    <n v="0.05"/>
    <n v="235.69"/>
    <s v="Concluída"/>
    <n v="413.84"/>
    <n v="20.692"/>
    <n v="393.14799999999997"/>
    <n v="235.69"/>
    <n v="157.45799999999997"/>
    <n v="0.40050566198988674"/>
  </r>
  <r>
    <s v="VD-0786"/>
    <d v="2025-11-07T00:00:00"/>
    <x v="1"/>
    <x v="0"/>
    <s v="Televendas"/>
    <s v="João Pedro"/>
    <s v="Informática"/>
    <s v="Teclado Mecânico"/>
    <n v="1"/>
    <n v="422.03"/>
    <n v="0.05"/>
    <n v="253.29"/>
    <s v="Concluída"/>
    <n v="422.03"/>
    <n v="21.101500000000001"/>
    <n v="400.92849999999999"/>
    <n v="253.29"/>
    <n v="147.63849999999999"/>
    <n v="0.36824146948894876"/>
  </r>
  <r>
    <s v="VD-0808"/>
    <d v="2025-11-07T00:00:00"/>
    <x v="7"/>
    <x v="3"/>
    <s v="Marketplace"/>
    <s v="Ana Costa"/>
    <s v="Acessórios"/>
    <s v="Óculos Sol"/>
    <n v="1"/>
    <n v="398.78"/>
    <n v="0.2"/>
    <n v="182.33"/>
    <s v="Concluída"/>
    <n v="398.78"/>
    <n v="79.756"/>
    <n v="319.024"/>
    <n v="182.33"/>
    <n v="136.69399999999999"/>
    <n v="0.42847560058177436"/>
  </r>
  <r>
    <s v="VD-0781"/>
    <d v="2025-11-08T00:00:00"/>
    <x v="6"/>
    <x v="0"/>
    <s v="Loja Física"/>
    <s v="Diego Alves"/>
    <s v="Informática"/>
    <s v="Mouse Pro"/>
    <n v="1"/>
    <n v="184.21"/>
    <n v="0.05"/>
    <n v="87.91"/>
    <s v="Concluída"/>
    <n v="184.21"/>
    <n v="9.2105000000000015"/>
    <n v="174.99950000000001"/>
    <n v="87.91"/>
    <n v="87.089500000000015"/>
    <n v="0.49765570758773603"/>
  </r>
  <r>
    <s v="VD-0782"/>
    <d v="2025-11-08T00:00:00"/>
    <x v="3"/>
    <x v="2"/>
    <s v="Loja Física"/>
    <s v="Heitor Nunes"/>
    <s v="Esporte"/>
    <s v="Esteira Compacta"/>
    <n v="1"/>
    <n v="2579.33"/>
    <n v="0.1"/>
    <n v="1868.82"/>
    <s v="Concluída"/>
    <n v="2579.33"/>
    <n v="257.93299999999999"/>
    <n v="2321.3969999999999"/>
    <n v="1868.82"/>
    <n v="452.577"/>
    <n v="0.19495889759485344"/>
  </r>
  <r>
    <s v="VD-0792"/>
    <d v="2025-11-08T00:00:00"/>
    <x v="6"/>
    <x v="0"/>
    <s v="Loja Física"/>
    <s v="Elisa Rocha"/>
    <s v="Casa"/>
    <s v="Kit Lençol 4p"/>
    <n v="2"/>
    <n v="277.69"/>
    <n v="2.5000000000000001E-2"/>
    <n v="118.33"/>
    <s v="Concluída"/>
    <n v="555.38"/>
    <n v="13.884500000000001"/>
    <n v="541.49549999999999"/>
    <n v="236.66"/>
    <n v="304.83550000000002"/>
    <n v="0.56295112332420127"/>
  </r>
  <r>
    <s v="VD-0739"/>
    <d v="2025-11-09T00:00:00"/>
    <x v="4"/>
    <x v="2"/>
    <s v="Marketplace"/>
    <s v="Giovana Melo"/>
    <s v="Beleza"/>
    <s v="Balança Smart"/>
    <n v="2"/>
    <n v="245.6"/>
    <n v="0.2"/>
    <n v="103.66"/>
    <s v="Concluída"/>
    <n v="491.2"/>
    <n v="98.240000000000009"/>
    <n v="392.96"/>
    <n v="207.32"/>
    <n v="185.64"/>
    <n v="0.47241449511400652"/>
  </r>
  <r>
    <s v="VD-0748"/>
    <d v="2025-11-09T00:00:00"/>
    <x v="6"/>
    <x v="0"/>
    <s v="Marketplace"/>
    <s v="Larissa Freitas"/>
    <s v="Acessórios"/>
    <s v="Mochila Urban"/>
    <n v="1"/>
    <n v="318.89"/>
    <n v="0.15"/>
    <n v="147.32"/>
    <s v="Concluída"/>
    <n v="318.89"/>
    <n v="47.833499999999994"/>
    <n v="271.05649999999997"/>
    <n v="147.32"/>
    <n v="123.73649999999998"/>
    <n v="0.45649707717763638"/>
  </r>
  <r>
    <s v="VD-0775"/>
    <d v="2025-11-09T00:00:00"/>
    <x v="2"/>
    <x v="1"/>
    <s v="Loja Física"/>
    <s v="Marcos Silva"/>
    <s v="Esporte"/>
    <s v="Halteres 10kg"/>
    <n v="2"/>
    <n v="363.84"/>
    <n v="0.05"/>
    <n v="196.35"/>
    <s v="Concluída"/>
    <n v="727.68"/>
    <n v="36.384"/>
    <n v="691.29599999999994"/>
    <n v="392.7"/>
    <n v="298.59599999999995"/>
    <n v="0.43193653659213993"/>
  </r>
  <r>
    <s v="VD-0777"/>
    <d v="2025-11-09T00:00:00"/>
    <x v="2"/>
    <x v="1"/>
    <s v="Marketplace"/>
    <s v="João Pedro"/>
    <s v="Acessórios"/>
    <s v="Mochila Urban"/>
    <n v="2"/>
    <n v="304.24"/>
    <n v="0.05"/>
    <n v="140.58000000000001"/>
    <s v="Concluída"/>
    <n v="608.48"/>
    <n v="30.424000000000003"/>
    <n v="578.05600000000004"/>
    <n v="281.16000000000003"/>
    <n v="296.89600000000002"/>
    <n v="0.51361113802122982"/>
  </r>
  <r>
    <s v="VD-0839"/>
    <d v="2025-11-09T00:00:00"/>
    <x v="7"/>
    <x v="3"/>
    <s v="Marketplace"/>
    <s v="João Pedro"/>
    <s v="Informática"/>
    <s v="Teclado Mecânico"/>
    <n v="1"/>
    <n v="437.71"/>
    <n v="0.05"/>
    <n v="263.13"/>
    <s v="Concluída"/>
    <n v="437.71"/>
    <n v="21.8855"/>
    <n v="415.8245"/>
    <n v="263.13"/>
    <n v="152.69450000000001"/>
    <n v="0.36720900283653324"/>
  </r>
  <r>
    <s v="VD-0849"/>
    <d v="2025-11-09T00:00:00"/>
    <x v="0"/>
    <x v="0"/>
    <s v="Loja Física"/>
    <s v="Elisa Rocha"/>
    <s v="Informática"/>
    <s v="Fone Wave"/>
    <n v="1"/>
    <n v="263.33"/>
    <n v="0"/>
    <n v="127.93"/>
    <s v="Concluída"/>
    <n v="263.33"/>
    <n v="0"/>
    <n v="263.33"/>
    <n v="127.93"/>
    <n v="135.39999999999998"/>
    <n v="0.51418372384460553"/>
  </r>
  <r>
    <s v="VD-0824"/>
    <d v="2025-11-10T00:00:00"/>
    <x v="3"/>
    <x v="2"/>
    <s v="Loja Física"/>
    <s v="João Pedro"/>
    <s v="Informática"/>
    <s v="Mouse Pro"/>
    <n v="1"/>
    <n v="194.4"/>
    <n v="0.15"/>
    <n v="91.47"/>
    <s v="Concluída"/>
    <n v="194.4"/>
    <n v="29.16"/>
    <n v="165.24"/>
    <n v="91.47"/>
    <n v="73.77000000000001"/>
    <n v="0.44644153957879451"/>
  </r>
  <r>
    <s v="VD-0848"/>
    <d v="2025-11-10T00:00:00"/>
    <x v="6"/>
    <x v="0"/>
    <s v="Televendas"/>
    <s v="Bruno Lima"/>
    <s v="Acessórios"/>
    <s v="Relógio Fit"/>
    <n v="1"/>
    <n v="732.9"/>
    <n v="0"/>
    <n v="353.86"/>
    <s v="Concluída"/>
    <n v="732.9"/>
    <n v="0"/>
    <n v="732.9"/>
    <n v="353.86"/>
    <n v="379.03999999999996"/>
    <n v="0.51717833265111202"/>
  </r>
  <r>
    <s v="VD-0774"/>
    <d v="2025-11-11T00:00:00"/>
    <x v="1"/>
    <x v="0"/>
    <s v="Loja Física"/>
    <s v="Marcos Silva"/>
    <s v="Casa"/>
    <s v="Kit Lençol 4p"/>
    <n v="2"/>
    <n v="275.61"/>
    <n v="0.15"/>
    <n v="121.01"/>
    <s v="Concluída"/>
    <n v="551.22"/>
    <n v="82.683000000000007"/>
    <n v="468.53700000000003"/>
    <n v="242.02"/>
    <n v="226.51700000000002"/>
    <n v="0.48345594904991496"/>
  </r>
  <r>
    <s v="VD-0799"/>
    <d v="2025-11-11T00:00:00"/>
    <x v="2"/>
    <x v="1"/>
    <s v="E-commerce"/>
    <s v="Elisa Rocha"/>
    <s v="Beleza"/>
    <s v="Balança Smart"/>
    <n v="1"/>
    <n v="239.45"/>
    <n v="0.2"/>
    <n v="106.18"/>
    <s v="Concluída"/>
    <n v="239.45"/>
    <n v="47.89"/>
    <n v="191.56"/>
    <n v="106.18"/>
    <n v="85.38"/>
    <n v="0.44570891626644388"/>
  </r>
  <r>
    <s v="VD-0823"/>
    <d v="2025-11-11T00:00:00"/>
    <x v="5"/>
    <x v="1"/>
    <s v="Loja Física"/>
    <s v="Bruno Lima"/>
    <s v="Esporte"/>
    <s v="Bike Urbana"/>
    <n v="1"/>
    <n v="2419.4299999999998"/>
    <n v="0"/>
    <n v="1654.91"/>
    <s v="Concluída"/>
    <n v="2419.4299999999998"/>
    <n v="0"/>
    <n v="2419.4299999999998"/>
    <n v="1654.91"/>
    <n v="764.51999999999975"/>
    <n v="0.31599178318860222"/>
  </r>
  <r>
    <s v="VD-0825"/>
    <d v="2025-11-11T00:00:00"/>
    <x v="2"/>
    <x v="1"/>
    <s v="Loja Física"/>
    <s v="Bruno Lima"/>
    <s v="Casa"/>
    <s v="Panela Pressão 6L"/>
    <n v="1"/>
    <n v="440.19"/>
    <n v="0.05"/>
    <n v="239.48"/>
    <s v="Concluída"/>
    <n v="440.19"/>
    <n v="22.009500000000003"/>
    <n v="418.18049999999999"/>
    <n v="239.48"/>
    <n v="178.70050000000001"/>
    <n v="0.42732862962285428"/>
  </r>
  <r>
    <s v="VD-0769"/>
    <d v="2025-11-12T00:00:00"/>
    <x v="7"/>
    <x v="3"/>
    <s v="Marketplace"/>
    <s v="Diego Alves"/>
    <s v="Beleza"/>
    <s v="Balança Smart"/>
    <n v="1"/>
    <n v="227.25"/>
    <n v="0.2"/>
    <n v="100.31"/>
    <s v="Concluída"/>
    <n v="227.25"/>
    <n v="45.45"/>
    <n v="181.8"/>
    <n v="100.31"/>
    <n v="81.490000000000009"/>
    <n v="0.44823982398239826"/>
  </r>
  <r>
    <s v="VD-0829"/>
    <d v="2025-11-12T00:00:00"/>
    <x v="3"/>
    <x v="2"/>
    <s v="Loja Física"/>
    <s v="Giovana Melo"/>
    <s v="Acessórios"/>
    <s v="Óculos Sol"/>
    <n v="3"/>
    <n v="403.7"/>
    <n v="0.1"/>
    <n v="174.96"/>
    <s v="Concluída"/>
    <n v="1211.0999999999999"/>
    <n v="121.11"/>
    <n v="1089.99"/>
    <n v="524.88"/>
    <n v="565.11"/>
    <n v="0.51845429774585083"/>
  </r>
  <r>
    <s v="VD-0834"/>
    <d v="2025-11-12T00:00:00"/>
    <x v="6"/>
    <x v="0"/>
    <s v="Marketplace"/>
    <s v="Diego Alves"/>
    <s v="Informática"/>
    <s v="Notebook Nova 14"/>
    <n v="1"/>
    <n v="4068.91"/>
    <n v="7.5000000000000011E-2"/>
    <n v="3214.34"/>
    <s v="Concluída"/>
    <n v="4068.91"/>
    <n v="305.16825000000006"/>
    <n v="3763.7417499999997"/>
    <n v="3214.34"/>
    <n v="549.40174999999954"/>
    <n v="0.14597222298793469"/>
  </r>
  <r>
    <s v="VD-0838"/>
    <d v="2025-11-12T00:00:00"/>
    <x v="2"/>
    <x v="1"/>
    <s v="E-commerce"/>
    <s v="Isabela Reis"/>
    <s v="Esporte"/>
    <s v="Colchonete Pro"/>
    <n v="1"/>
    <n v="148.93"/>
    <n v="0.05"/>
    <n v="59.38"/>
    <s v="Concluída"/>
    <n v="148.93"/>
    <n v="7.4465000000000003"/>
    <n v="141.48349999999999"/>
    <n v="59.38"/>
    <n v="82.103499999999997"/>
    <n v="0.58030441712284475"/>
  </r>
  <r>
    <s v="VD-0846"/>
    <d v="2025-11-12T00:00:00"/>
    <x v="4"/>
    <x v="2"/>
    <s v="E-commerce"/>
    <s v="João Pedro"/>
    <s v="Informática"/>
    <s v="Teclado Mecânico"/>
    <n v="1"/>
    <n v="450.23"/>
    <n v="0.03"/>
    <n v="261.14"/>
    <s v="Concluída"/>
    <n v="450.23"/>
    <n v="13.5069"/>
    <n v="436.72310000000004"/>
    <n v="261.14"/>
    <n v="175.58310000000006"/>
    <n v="0.40204674311938171"/>
  </r>
  <r>
    <s v="VD-0756"/>
    <d v="2025-11-13T00:00:00"/>
    <x v="0"/>
    <x v="0"/>
    <s v="Loja Física"/>
    <s v="Marcos Silva"/>
    <s v="Informática"/>
    <s v="Fone Wave"/>
    <n v="1"/>
    <n v="258.18"/>
    <n v="0.15"/>
    <n v="124.57"/>
    <s v="Concluída"/>
    <n v="258.18"/>
    <n v="38.726999999999997"/>
    <n v="219.453"/>
    <n v="124.57"/>
    <n v="94.88300000000001"/>
    <n v="0.43236137122755219"/>
  </r>
  <r>
    <s v="VD-0759"/>
    <d v="2025-11-13T00:00:00"/>
    <x v="0"/>
    <x v="0"/>
    <s v="Loja Física"/>
    <s v="Diego Alves"/>
    <s v="Casa"/>
    <s v="Cadeira Escritório"/>
    <n v="1"/>
    <n v="1120.02"/>
    <n v="0.08"/>
    <n v="849.63"/>
    <s v="Concluída"/>
    <n v="1120.02"/>
    <n v="89.601600000000005"/>
    <n v="1030.4184"/>
    <n v="849.63"/>
    <n v="180.78840000000002"/>
    <n v="0.17545144768377585"/>
  </r>
  <r>
    <s v="VD-0813"/>
    <d v="2025-11-13T00:00:00"/>
    <x v="7"/>
    <x v="3"/>
    <s v="E-commerce"/>
    <s v="Felipe Martins"/>
    <s v="Beleza"/>
    <s v="Secador Pro"/>
    <n v="2"/>
    <n v="423.89"/>
    <n v="0.05"/>
    <n v="224.8"/>
    <s v="Concluída"/>
    <n v="847.78"/>
    <n v="42.389000000000003"/>
    <n v="805.39099999999996"/>
    <n v="449.6"/>
    <n v="355.79099999999994"/>
    <n v="0.44176182748503517"/>
  </r>
  <r>
    <s v="VD-0742"/>
    <d v="2025-11-14T00:00:00"/>
    <x v="4"/>
    <x v="2"/>
    <s v="E-commerce"/>
    <s v="Felipe Martins"/>
    <s v="Casa"/>
    <s v="Kit Lençol 4p"/>
    <n v="1"/>
    <n v="274.99"/>
    <n v="0.1"/>
    <n v="123.26"/>
    <s v="Concluída"/>
    <n v="274.99"/>
    <n v="27.499000000000002"/>
    <n v="247.49100000000001"/>
    <n v="123.26"/>
    <n v="124.23100000000001"/>
    <n v="0.50196168749570691"/>
  </r>
  <r>
    <s v="VD-0761"/>
    <d v="2025-11-14T00:00:00"/>
    <x v="2"/>
    <x v="1"/>
    <s v="Loja Física"/>
    <s v="Diego Alves"/>
    <s v="Casa"/>
    <s v="Cadeira Escritório"/>
    <n v="1"/>
    <n v="1258.32"/>
    <n v="7.5000000000000011E-2"/>
    <n v="913.9"/>
    <s v="Concluída"/>
    <n v="1258.32"/>
    <n v="94.374000000000009"/>
    <n v="1163.9459999999999"/>
    <n v="913.9"/>
    <n v="250.04599999999994"/>
    <n v="0.21482611736283294"/>
  </r>
  <r>
    <s v="VD-0793"/>
    <d v="2025-11-14T00:00:00"/>
    <x v="6"/>
    <x v="0"/>
    <s v="E-commerce"/>
    <s v="Elisa Rocha"/>
    <s v="Beleza"/>
    <s v="Balança Smart"/>
    <n v="1"/>
    <n v="230.23"/>
    <n v="0.1"/>
    <n v="99.05"/>
    <s v="Concluída"/>
    <n v="230.23"/>
    <n v="23.023"/>
    <n v="207.20699999999999"/>
    <n v="99.05"/>
    <n v="108.157"/>
    <n v="0.52197560893213069"/>
  </r>
  <r>
    <s v="VD-0811"/>
    <d v="2025-11-14T00:00:00"/>
    <x v="0"/>
    <x v="0"/>
    <s v="E-commerce"/>
    <s v="Isabela Reis"/>
    <s v="Casa"/>
    <s v="Panela Pressão 6L"/>
    <n v="2"/>
    <n v="437.14"/>
    <n v="0.05"/>
    <n v="237.49"/>
    <s v="Concluída"/>
    <n v="874.28"/>
    <n v="43.713999999999999"/>
    <n v="830.56600000000003"/>
    <n v="474.98"/>
    <n v="355.58600000000001"/>
    <n v="0.42812491722512119"/>
  </r>
  <r>
    <s v="VD-0826"/>
    <d v="2025-11-14T00:00:00"/>
    <x v="2"/>
    <x v="1"/>
    <s v="E-commerce"/>
    <s v="Diego Alves"/>
    <s v="Beleza"/>
    <s v="Creme Facial"/>
    <n v="1"/>
    <n v="159.07"/>
    <n v="0.03"/>
    <n v="54.36"/>
    <s v="Concluída"/>
    <n v="159.07"/>
    <n v="4.7721"/>
    <n v="154.2979"/>
    <n v="54.36"/>
    <n v="99.937899999999999"/>
    <n v="0.64769449227760068"/>
  </r>
  <r>
    <s v="VD-0831"/>
    <d v="2025-11-14T00:00:00"/>
    <x v="6"/>
    <x v="0"/>
    <s v="Marketplace"/>
    <s v="Elisa Rocha"/>
    <s v="Casa"/>
    <s v="Cadeira Escritório"/>
    <n v="1"/>
    <n v="1125.27"/>
    <n v="0.125"/>
    <n v="795.68"/>
    <s v="Concluída"/>
    <n v="1125.27"/>
    <n v="140.65875"/>
    <n v="984.61124999999993"/>
    <n v="795.68"/>
    <n v="188.93124999999998"/>
    <n v="0.19188410654458801"/>
  </r>
  <r>
    <s v="VD-0837"/>
    <d v="2025-11-14T00:00:00"/>
    <x v="5"/>
    <x v="1"/>
    <s v="Loja Física"/>
    <s v="Camila Souza"/>
    <s v="Informática"/>
    <s v="Teclado Mecânico"/>
    <n v="1"/>
    <n v="428.02"/>
    <n v="0.05"/>
    <n v="245"/>
    <s v="Concluída"/>
    <n v="428.02"/>
    <n v="21.401"/>
    <n v="406.61899999999997"/>
    <n v="245"/>
    <n v="161.61899999999997"/>
    <n v="0.39747035923063107"/>
  </r>
  <r>
    <s v="VD-0847"/>
    <d v="2025-11-14T00:00:00"/>
    <x v="6"/>
    <x v="0"/>
    <s v="Televendas"/>
    <s v="Larissa Freitas"/>
    <s v="Casa"/>
    <s v="Air Fryer 5L"/>
    <n v="3"/>
    <n v="647.73"/>
    <n v="2.5000000000000001E-2"/>
    <n v="373.99"/>
    <s v="Concluída"/>
    <n v="1943.19"/>
    <n v="48.579750000000004"/>
    <n v="1894.61025"/>
    <n v="1121.97"/>
    <n v="772.64024999999992"/>
    <n v="0.40780960094562979"/>
  </r>
  <r>
    <s v="VD-0776"/>
    <d v="2025-11-15T00:00:00"/>
    <x v="3"/>
    <x v="2"/>
    <s v="Loja Física"/>
    <s v="Marcos Silva"/>
    <s v="Casa"/>
    <s v="Air Fryer 5L"/>
    <n v="2"/>
    <n v="664.43"/>
    <n v="0.05"/>
    <n v="372.2"/>
    <s v="Concluída"/>
    <n v="1328.86"/>
    <n v="66.442999999999998"/>
    <n v="1262.4169999999999"/>
    <n v="744.4"/>
    <n v="518.01699999999994"/>
    <n v="0.41033747169120821"/>
  </r>
  <r>
    <s v="VD-0779"/>
    <d v="2025-11-15T00:00:00"/>
    <x v="4"/>
    <x v="2"/>
    <s v="Loja Física"/>
    <s v="Elisa Rocha"/>
    <s v="Esporte"/>
    <s v="Colchonete Pro"/>
    <n v="1"/>
    <n v="130.31"/>
    <n v="0.08"/>
    <n v="50.38"/>
    <s v="Concluída"/>
    <n v="130.31"/>
    <n v="10.424800000000001"/>
    <n v="119.8852"/>
    <n v="50.38"/>
    <n v="69.505200000000002"/>
    <n v="0.57976464150704177"/>
  </r>
  <r>
    <s v="VD-0784"/>
    <d v="2025-11-15T00:00:00"/>
    <x v="5"/>
    <x v="1"/>
    <s v="Televendas"/>
    <s v="Diego Alves"/>
    <s v="Acessórios"/>
    <s v="Relógio Fit"/>
    <n v="1"/>
    <n v="686.95"/>
    <n v="0.03"/>
    <n v="324.56"/>
    <s v="Concluída"/>
    <n v="686.95"/>
    <n v="20.608499999999999"/>
    <n v="666.3415"/>
    <n v="324.56"/>
    <n v="341.78149999999999"/>
    <n v="0.51292242791421516"/>
  </r>
  <r>
    <s v="VD-0819"/>
    <d v="2025-11-15T00:00:00"/>
    <x v="0"/>
    <x v="0"/>
    <s v="Loja Física"/>
    <s v="Felipe Martins"/>
    <s v="Informática"/>
    <s v="Mouse Pro"/>
    <n v="1"/>
    <n v="197.72"/>
    <n v="0.1"/>
    <n v="87.48"/>
    <s v="Concluída"/>
    <n v="197.72"/>
    <n v="19.772000000000002"/>
    <n v="177.94800000000001"/>
    <n v="87.48"/>
    <n v="90.468000000000004"/>
    <n v="0.50839571110661541"/>
  </r>
  <r>
    <s v="VD-0820"/>
    <d v="2025-11-15T00:00:00"/>
    <x v="2"/>
    <x v="1"/>
    <s v="Televendas"/>
    <s v="Heitor Nunes"/>
    <s v="Informática"/>
    <s v="Mouse Pro"/>
    <n v="1"/>
    <n v="190.37"/>
    <n v="0"/>
    <n v="90.17"/>
    <s v="Concluída"/>
    <n v="190.37"/>
    <n v="0"/>
    <n v="190.37"/>
    <n v="90.17"/>
    <n v="100.2"/>
    <n v="0.52634343646582971"/>
  </r>
  <r>
    <s v="VD-0745"/>
    <d v="2025-11-16T00:00:00"/>
    <x v="7"/>
    <x v="3"/>
    <s v="Marketplace"/>
    <s v="Larissa Freitas"/>
    <s v="Informática"/>
    <s v="Notebook Nova 14"/>
    <n v="2"/>
    <n v="3650.09"/>
    <n v="0.17499999999999999"/>
    <n v="2856.01"/>
    <s v="Concluída"/>
    <n v="7300.18"/>
    <n v="1277.5315000000001"/>
    <n v="6022.6485000000002"/>
    <n v="5712.02"/>
    <n v="310.6284999999998"/>
    <n v="5.1576727414857401E-2"/>
  </r>
  <r>
    <s v="VD-0760"/>
    <d v="2025-11-16T00:00:00"/>
    <x v="5"/>
    <x v="1"/>
    <s v="Marketplace"/>
    <s v="Larissa Freitas"/>
    <s v="Beleza"/>
    <s v="Balança Smart"/>
    <n v="1"/>
    <n v="238.74"/>
    <n v="0.15"/>
    <n v="102.12"/>
    <s v="Concluída"/>
    <n v="238.74"/>
    <n v="35.811"/>
    <n v="202.929"/>
    <n v="102.12"/>
    <n v="100.809"/>
    <n v="0.4967698061883713"/>
  </r>
  <r>
    <s v="VD-0773"/>
    <d v="2025-11-16T00:00:00"/>
    <x v="1"/>
    <x v="0"/>
    <s v="Marketplace"/>
    <s v="Marcos Silva"/>
    <s v="Casa"/>
    <s v="Cadeira Escritório"/>
    <n v="1"/>
    <n v="1129.1400000000001"/>
    <n v="0.22500000000000001"/>
    <n v="843.2"/>
    <s v="Concluída"/>
    <n v="1129.1400000000001"/>
    <n v="254.05650000000003"/>
    <n v="875.08350000000007"/>
    <n v="843.2"/>
    <n v="31.883500000000026"/>
    <n v="3.64348087925324E-2"/>
  </r>
  <r>
    <s v="VD-0790"/>
    <d v="2025-11-16T00:00:00"/>
    <x v="5"/>
    <x v="1"/>
    <s v="Loja Física"/>
    <s v="Camila Souza"/>
    <s v="Casa"/>
    <s v="Tapete Sala"/>
    <n v="1"/>
    <n v="556.85"/>
    <n v="0.08"/>
    <n v="294.64999999999998"/>
    <s v="Concluída"/>
    <n v="556.85"/>
    <n v="44.548000000000002"/>
    <n v="512.30200000000002"/>
    <n v="294.64999999999998"/>
    <n v="217.65200000000004"/>
    <n v="0.42485096681254425"/>
  </r>
  <r>
    <s v="VD-0791"/>
    <d v="2025-11-17T00:00:00"/>
    <x v="5"/>
    <x v="1"/>
    <s v="Loja Física"/>
    <s v="Bruno Lima"/>
    <s v="Beleza"/>
    <s v="Secador Pro"/>
    <n v="1"/>
    <n v="413.45"/>
    <n v="0.05"/>
    <n v="223.35"/>
    <s v="Concluída"/>
    <n v="413.45"/>
    <n v="20.672499999999999"/>
    <n v="392.77749999999997"/>
    <n v="223.35"/>
    <n v="169.42749999999998"/>
    <n v="0.43135744791898717"/>
  </r>
  <r>
    <s v="VD-0797"/>
    <d v="2025-11-17T00:00:00"/>
    <x v="6"/>
    <x v="0"/>
    <s v="E-commerce"/>
    <s v="Elisa Rocha"/>
    <s v="Casa"/>
    <s v="Panela Pressão 6L"/>
    <n v="1"/>
    <n v="455.42"/>
    <n v="0.1"/>
    <n v="241.07"/>
    <s v="Concluída"/>
    <n v="455.42"/>
    <n v="45.542000000000002"/>
    <n v="409.87800000000004"/>
    <n v="241.07"/>
    <n v="168.80800000000005"/>
    <n v="0.41184937957148232"/>
  </r>
  <r>
    <s v="VD-0798"/>
    <d v="2025-11-17T00:00:00"/>
    <x v="5"/>
    <x v="1"/>
    <s v="Televendas"/>
    <s v="Heitor Nunes"/>
    <s v="Acessórios"/>
    <s v="Mochila Urban"/>
    <n v="2"/>
    <n v="343.75"/>
    <n v="0.1"/>
    <n v="159.11000000000001"/>
    <s v="Concluída"/>
    <n v="687.5"/>
    <n v="68.75"/>
    <n v="618.75"/>
    <n v="318.22000000000003"/>
    <n v="300.52999999999997"/>
    <n v="0.48570505050505047"/>
  </r>
  <r>
    <s v="VD-0810"/>
    <d v="2025-11-17T00:00:00"/>
    <x v="0"/>
    <x v="0"/>
    <s v="E-commerce"/>
    <s v="Camila Souza"/>
    <s v="Beleza"/>
    <s v="Creme Facial"/>
    <n v="2"/>
    <n v="144.76"/>
    <n v="0.1"/>
    <n v="51.42"/>
    <s v="Concluída"/>
    <n v="289.52"/>
    <n v="28.951999999999998"/>
    <n v="260.56799999999998"/>
    <n v="102.84"/>
    <n v="157.72799999999998"/>
    <n v="0.60532375425992446"/>
  </r>
  <r>
    <s v="VD-0812"/>
    <d v="2025-11-17T00:00:00"/>
    <x v="2"/>
    <x v="1"/>
    <s v="Loja Física"/>
    <s v="Elisa Rocha"/>
    <s v="Beleza"/>
    <s v="Secador Pro"/>
    <n v="2"/>
    <n v="408.32"/>
    <n v="0.05"/>
    <n v="222.04"/>
    <s v="Concluída"/>
    <n v="816.64"/>
    <n v="40.832000000000001"/>
    <n v="775.80799999999999"/>
    <n v="444.08"/>
    <n v="331.72800000000001"/>
    <n v="0.42759033162844418"/>
  </r>
  <r>
    <s v="VD-0746"/>
    <d v="2025-11-18T00:00:00"/>
    <x v="1"/>
    <x v="0"/>
    <s v="E-commerce"/>
    <s v="Marcos Silva"/>
    <s v="Casa"/>
    <s v="Air Fryer 5L"/>
    <n v="2"/>
    <n v="683.94"/>
    <n v="0.05"/>
    <n v="398.69"/>
    <s v="Concluída"/>
    <n v="1367.88"/>
    <n v="68.394000000000005"/>
    <n v="1299.4860000000001"/>
    <n v="797.38"/>
    <n v="502.10600000000011"/>
    <n v="0.38638815654805059"/>
  </r>
  <r>
    <s v="VD-0795"/>
    <d v="2025-11-18T00:00:00"/>
    <x v="5"/>
    <x v="1"/>
    <s v="Loja Física"/>
    <s v="Felipe Martins"/>
    <s v="Casa"/>
    <s v="Cadeira Escritório"/>
    <n v="2"/>
    <n v="1152.78"/>
    <n v="0"/>
    <n v="857.65"/>
    <s v="Concluída"/>
    <n v="2305.56"/>
    <n v="0"/>
    <n v="2305.56"/>
    <n v="1715.3"/>
    <n v="590.26"/>
    <n v="0.25601589201755753"/>
  </r>
  <r>
    <s v="VD-0804"/>
    <d v="2025-11-19T00:00:00"/>
    <x v="1"/>
    <x v="0"/>
    <s v="E-commerce"/>
    <s v="Camila Souza"/>
    <s v="Casa"/>
    <s v="Air Fryer 5L"/>
    <n v="2"/>
    <n v="637.19000000000005"/>
    <n v="0.03"/>
    <n v="374.59"/>
    <s v="Concluída"/>
    <n v="1274.3800000000001"/>
    <n v="38.231400000000001"/>
    <n v="1236.1486000000002"/>
    <n v="749.18"/>
    <n v="486.96860000000027"/>
    <n v="0.39394017838955625"/>
  </r>
  <r>
    <s v="VD-0816"/>
    <d v="2025-11-19T00:00:00"/>
    <x v="5"/>
    <x v="1"/>
    <s v="Loja Física"/>
    <s v="Ana Costa"/>
    <s v="Esporte"/>
    <s v="Bike Urbana"/>
    <n v="1"/>
    <n v="2258.52"/>
    <n v="0.08"/>
    <n v="1575.87"/>
    <s v="Concluída"/>
    <n v="2258.52"/>
    <n v="180.6816"/>
    <n v="2077.8384000000001"/>
    <n v="1575.87"/>
    <n v="501.9684000000002"/>
    <n v="0.24158202100798606"/>
  </r>
  <r>
    <s v="VD-0818"/>
    <d v="2025-11-19T00:00:00"/>
    <x v="0"/>
    <x v="0"/>
    <s v="Loja Física"/>
    <s v="Ana Costa"/>
    <s v="Acessórios"/>
    <s v="Óculos Sol"/>
    <n v="1"/>
    <n v="377.44"/>
    <n v="0.05"/>
    <n v="171.35"/>
    <s v="Concluída"/>
    <n v="377.44"/>
    <n v="18.872"/>
    <n v="358.56799999999998"/>
    <n v="171.35"/>
    <n v="187.21799999999999"/>
    <n v="0.52212690479908974"/>
  </r>
  <r>
    <s v="VD-0750"/>
    <d v="2025-11-20T00:00:00"/>
    <x v="0"/>
    <x v="0"/>
    <s v="Marketplace"/>
    <s v="Isabela Reis"/>
    <s v="Acessórios"/>
    <s v="Mochila Urban"/>
    <n v="2"/>
    <n v="297.54000000000002"/>
    <n v="0.125"/>
    <n v="134.69999999999999"/>
    <s v="Concluída"/>
    <n v="595.08000000000004"/>
    <n v="74.385000000000005"/>
    <n v="520.69500000000005"/>
    <n v="269.39999999999998"/>
    <n v="251.29500000000007"/>
    <n v="0.4826145824330943"/>
  </r>
  <r>
    <s v="VD-0796"/>
    <d v="2025-11-20T00:00:00"/>
    <x v="4"/>
    <x v="2"/>
    <s v="Marketplace"/>
    <s v="Marcos Silva"/>
    <s v="Informática"/>
    <s v="Monitor 27 Ultra"/>
    <n v="1"/>
    <n v="1345.53"/>
    <n v="0.05"/>
    <n v="944.83"/>
    <s v="Concluída"/>
    <n v="1345.53"/>
    <n v="67.276499999999999"/>
    <n v="1278.2535"/>
    <n v="944.83"/>
    <n v="333.42349999999999"/>
    <n v="0.26084301744528765"/>
  </r>
  <r>
    <s v="VD-0817"/>
    <d v="2025-11-20T00:00:00"/>
    <x v="6"/>
    <x v="0"/>
    <s v="Televendas"/>
    <s v="Elisa Rocha"/>
    <s v="Beleza"/>
    <s v="Secador Pro"/>
    <n v="1"/>
    <n v="424.6"/>
    <n v="0.03"/>
    <n v="232.55"/>
    <s v="Concluída"/>
    <n v="424.6"/>
    <n v="12.738"/>
    <n v="411.86200000000002"/>
    <n v="232.55"/>
    <n v="179.31200000000001"/>
    <n v="0.43536912849449572"/>
  </r>
  <r>
    <s v="VD-0763"/>
    <d v="2025-11-21T00:00:00"/>
    <x v="2"/>
    <x v="1"/>
    <s v="Loja Física"/>
    <s v="Camila Souza"/>
    <s v="Informática"/>
    <s v="Teclado Mecânico"/>
    <n v="1"/>
    <n v="436.53"/>
    <n v="0.05"/>
    <n v="249.75"/>
    <s v="Concluída"/>
    <n v="436.53"/>
    <n v="21.826499999999999"/>
    <n v="414.70349999999996"/>
    <n v="249.75"/>
    <n v="164.95349999999996"/>
    <n v="0.39776249778456169"/>
  </r>
  <r>
    <s v="VD-0767"/>
    <d v="2025-11-21T00:00:00"/>
    <x v="6"/>
    <x v="0"/>
    <s v="Loja Física"/>
    <s v="João Pedro"/>
    <s v="Informática"/>
    <s v="Monitor 27 Ultra"/>
    <n v="1"/>
    <n v="1247.26"/>
    <n v="0.05"/>
    <n v="878.99"/>
    <s v="Concluída"/>
    <n v="1247.26"/>
    <n v="62.363"/>
    <n v="1184.8969999999999"/>
    <n v="878.99"/>
    <n v="305.90699999999993"/>
    <n v="0.25817180733852813"/>
  </r>
  <r>
    <s v="VD-0772"/>
    <d v="2025-11-21T00:00:00"/>
    <x v="2"/>
    <x v="1"/>
    <s v="Marketplace"/>
    <s v="Diego Alves"/>
    <s v="Acessórios"/>
    <s v="Óculos Sol"/>
    <n v="1"/>
    <n v="402.58"/>
    <n v="0.15"/>
    <n v="180.59"/>
    <s v="Concluída"/>
    <n v="402.58"/>
    <n v="60.386999999999993"/>
    <n v="342.19299999999998"/>
    <n v="180.59"/>
    <n v="161.60299999999998"/>
    <n v="0.47225688427291029"/>
  </r>
  <r>
    <s v="VD-0785"/>
    <d v="2025-11-21T00:00:00"/>
    <x v="5"/>
    <x v="1"/>
    <s v="Loja Física"/>
    <s v="Giovana Melo"/>
    <s v="Informática"/>
    <s v="Fone Wave"/>
    <n v="1"/>
    <n v="253.61"/>
    <n v="0"/>
    <n v="119.5"/>
    <s v="Concluída"/>
    <n v="253.61"/>
    <n v="0"/>
    <n v="253.61"/>
    <n v="119.5"/>
    <n v="134.11000000000001"/>
    <n v="0.52880406924017198"/>
  </r>
  <r>
    <s v="VD-0809"/>
    <d v="2025-11-21T00:00:00"/>
    <x v="6"/>
    <x v="0"/>
    <s v="E-commerce"/>
    <s v="Bruno Lima"/>
    <s v="Esporte"/>
    <s v="Colchonete Pro"/>
    <n v="1"/>
    <n v="143.57"/>
    <n v="5.5E-2"/>
    <n v="57.41"/>
    <s v="Concluída"/>
    <n v="143.57"/>
    <n v="7.89635"/>
    <n v="135.67364999999998"/>
    <n v="57.41"/>
    <n v="78.263649999999984"/>
    <n v="0.57685224802310542"/>
  </r>
  <r>
    <s v="VD-0787"/>
    <d v="2025-11-22T00:00:00"/>
    <x v="4"/>
    <x v="2"/>
    <s v="E-commerce"/>
    <s v="Diego Alves"/>
    <s v="Informática"/>
    <s v="Teclado Mecânico"/>
    <n v="1"/>
    <n v="409.78"/>
    <n v="0.03"/>
    <n v="230.8"/>
    <s v="Concluída"/>
    <n v="409.78"/>
    <n v="12.293399999999998"/>
    <n v="397.48659999999995"/>
    <n v="230.8"/>
    <n v="166.68659999999994"/>
    <n v="0.41935149511958381"/>
  </r>
  <r>
    <s v="VD-0788"/>
    <d v="2025-11-22T00:00:00"/>
    <x v="5"/>
    <x v="1"/>
    <s v="Loja Física"/>
    <s v="Isabela Reis"/>
    <s v="Informática"/>
    <s v="Mouse Pro"/>
    <n v="1"/>
    <n v="201.01"/>
    <n v="0.10500000000000001"/>
    <n v="91.6"/>
    <s v="Concluída"/>
    <n v="201.01"/>
    <n v="21.10605"/>
    <n v="179.90394999999998"/>
    <n v="91.6"/>
    <n v="88.303949999999986"/>
    <n v="0.49083941736687825"/>
  </r>
  <r>
    <s v="VD-0789"/>
    <d v="2025-11-22T00:00:00"/>
    <x v="0"/>
    <x v="0"/>
    <s v="Loja Física"/>
    <s v="Felipe Martins"/>
    <s v="Casa"/>
    <s v="Cadeira Escritório"/>
    <n v="1"/>
    <n v="1203.02"/>
    <n v="0"/>
    <n v="897.73"/>
    <s v="Concluída"/>
    <n v="1203.02"/>
    <n v="0"/>
    <n v="1203.02"/>
    <n v="897.73"/>
    <n v="305.28999999999996"/>
    <n v="0.2537696796395737"/>
  </r>
  <r>
    <s v="VD-0805"/>
    <d v="2025-11-22T00:00:00"/>
    <x v="1"/>
    <x v="0"/>
    <s v="E-commerce"/>
    <s v="João Pedro"/>
    <s v="Informática"/>
    <s v="Teclado Mecânico"/>
    <n v="1"/>
    <n v="395.74"/>
    <n v="0.1"/>
    <n v="232.72"/>
    <s v="Concluída"/>
    <n v="395.74"/>
    <n v="39.574000000000005"/>
    <n v="356.166"/>
    <n v="232.72"/>
    <n v="123.446"/>
    <n v="0.34659681159908584"/>
  </r>
  <r>
    <s v="VD-0814"/>
    <d v="2025-11-23T00:00:00"/>
    <x v="4"/>
    <x v="2"/>
    <s v="Loja Física"/>
    <s v="Felipe Martins"/>
    <s v="Acessórios"/>
    <s v="Mochila Urban"/>
    <n v="2"/>
    <n v="338.03"/>
    <n v="0.15"/>
    <n v="157.08000000000001"/>
    <s v="Concluída"/>
    <n v="676.06"/>
    <n v="101.40899999999999"/>
    <n v="574.65099999999995"/>
    <n v="314.16000000000003"/>
    <n v="260.49099999999993"/>
    <n v="0.45330296127562636"/>
  </r>
  <r>
    <s v="VD-0794"/>
    <d v="2025-11-24T00:00:00"/>
    <x v="3"/>
    <x v="2"/>
    <s v="Marketplace"/>
    <s v="Larissa Freitas"/>
    <s v="Casa"/>
    <s v="Air Fryer 5L"/>
    <n v="1"/>
    <n v="667.88"/>
    <n v="0.22500000000000001"/>
    <n v="376.88"/>
    <s v="Concluída"/>
    <n v="667.88"/>
    <n v="150.273"/>
    <n v="517.60699999999997"/>
    <n v="376.88"/>
    <n v="140.72699999999998"/>
    <n v="0.27188001707859433"/>
  </r>
  <r>
    <s v="VD-0749"/>
    <d v="2025-11-25T00:00:00"/>
    <x v="4"/>
    <x v="2"/>
    <s v="Marketplace"/>
    <s v="Isabela Reis"/>
    <s v="Informática"/>
    <s v="Teclado Mecânico"/>
    <n v="1"/>
    <n v="394.31"/>
    <n v="0.15"/>
    <n v="226.51"/>
    <s v="Concluída"/>
    <n v="394.31"/>
    <n v="59.146499999999996"/>
    <n v="335.1635"/>
    <n v="226.51"/>
    <n v="108.65350000000001"/>
    <n v="0.32418058648987735"/>
  </r>
  <r>
    <s v="VD-0757"/>
    <d v="2025-11-25T00:00:00"/>
    <x v="7"/>
    <x v="3"/>
    <s v="Loja Física"/>
    <s v="Marcos Silva"/>
    <s v="Informática"/>
    <s v="Fone Wave"/>
    <n v="1"/>
    <n v="244.13"/>
    <n v="0.05"/>
    <n v="118.53"/>
    <s v="Concluída"/>
    <n v="244.13"/>
    <n v="12.2065"/>
    <n v="231.92349999999999"/>
    <n v="118.53"/>
    <n v="113.39349999999999"/>
    <n v="0.48892630544123383"/>
  </r>
  <r>
    <s v="VD-0802"/>
    <d v="2025-11-25T00:00:00"/>
    <x v="5"/>
    <x v="1"/>
    <s v="Loja Física"/>
    <s v="Heitor Nunes"/>
    <s v="Beleza"/>
    <s v="Creme Facial"/>
    <n v="1"/>
    <n v="156.13999999999999"/>
    <n v="2.5000000000000001E-2"/>
    <n v="55.03"/>
    <s v="Concluída"/>
    <n v="156.13999999999999"/>
    <n v="3.9034999999999997"/>
    <n v="152.23649999999998"/>
    <n v="55.03"/>
    <n v="97.206499999999977"/>
    <n v="0.63852295605850107"/>
  </r>
  <r>
    <s v="VD-0815"/>
    <d v="2025-11-25T00:00:00"/>
    <x v="6"/>
    <x v="0"/>
    <s v="E-commerce"/>
    <s v="Bruno Lima"/>
    <s v="Informática"/>
    <s v="Teclado Mecânico"/>
    <n v="2"/>
    <n v="406.2"/>
    <n v="0.15"/>
    <n v="234.93"/>
    <s v="Concluída"/>
    <n v="812.4"/>
    <n v="121.85999999999999"/>
    <n v="690.54"/>
    <n v="469.86"/>
    <n v="220.67999999999995"/>
    <n v="0.31957598401251192"/>
  </r>
  <r>
    <s v="VD-0751"/>
    <d v="2025-11-26T00:00:00"/>
    <x v="0"/>
    <x v="0"/>
    <s v="Marketplace"/>
    <s v="Elisa Rocha"/>
    <s v="Esporte"/>
    <s v="Esteira Compacta"/>
    <n v="1"/>
    <n v="2865.57"/>
    <n v="0.25"/>
    <n v="2077.73"/>
    <s v="Concluída"/>
    <n v="2865.57"/>
    <n v="716.39250000000004"/>
    <n v="2149.1775000000002"/>
    <n v="2077.73"/>
    <n v="71.447500000000218"/>
    <n v="3.3244113154916342E-2"/>
  </r>
  <r>
    <s v="VD-0752"/>
    <d v="2025-11-26T00:00:00"/>
    <x v="6"/>
    <x v="0"/>
    <s v="Loja Física"/>
    <s v="Felipe Martins"/>
    <s v="Casa"/>
    <s v="Panela Pressão 6L"/>
    <n v="2"/>
    <n v="478.82"/>
    <n v="0.15"/>
    <n v="268.85000000000002"/>
    <s v="Concluída"/>
    <n v="957.64"/>
    <n v="143.64599999999999"/>
    <n v="813.99400000000003"/>
    <n v="537.70000000000005"/>
    <n v="276.29399999999998"/>
    <n v="0.33943002036870046"/>
  </r>
  <r>
    <s v="VD-0807"/>
    <d v="2025-11-26T00:00:00"/>
    <x v="5"/>
    <x v="1"/>
    <s v="Marketplace"/>
    <s v="Ana Costa"/>
    <s v="Casa"/>
    <s v="Panela Pressão 6L"/>
    <n v="1"/>
    <n v="476.97"/>
    <n v="0.2"/>
    <n v="253.7"/>
    <s v="Concluída"/>
    <n v="476.97"/>
    <n v="95.394000000000005"/>
    <n v="381.57600000000002"/>
    <n v="253.7"/>
    <n v="127.87600000000003"/>
    <n v="0.33512589890349503"/>
  </r>
  <r>
    <s v="VD-0765"/>
    <d v="2025-11-27T00:00:00"/>
    <x v="1"/>
    <x v="0"/>
    <s v="Loja Física"/>
    <s v="João Pedro"/>
    <s v="Esporte"/>
    <s v="Colchonete Pro"/>
    <n v="1"/>
    <n v="143.96"/>
    <n v="0.08"/>
    <n v="57.72"/>
    <s v="Concluída"/>
    <n v="143.96"/>
    <n v="11.516800000000002"/>
    <n v="132.44320000000002"/>
    <n v="57.72"/>
    <n v="74.72320000000002"/>
    <n v="0.56419053601845925"/>
  </r>
  <r>
    <s v="VD-0783"/>
    <d v="2025-11-27T00:00:00"/>
    <x v="6"/>
    <x v="0"/>
    <s v="Loja Física"/>
    <s v="Larissa Freitas"/>
    <s v="Esporte"/>
    <s v="Halteres 10kg"/>
    <n v="1"/>
    <n v="338.3"/>
    <n v="0.05"/>
    <n v="192.13"/>
    <s v="Concluída"/>
    <n v="338.3"/>
    <n v="16.915000000000003"/>
    <n v="321.38499999999999"/>
    <n v="192.13"/>
    <n v="129.255"/>
    <n v="0.40218118456057378"/>
  </r>
  <r>
    <s v="VD-0821"/>
    <d v="2025-11-27T00:00:00"/>
    <x v="7"/>
    <x v="3"/>
    <s v="Loja Física"/>
    <s v="Felipe Martins"/>
    <s v="Acessórios"/>
    <s v="Mochila Urban"/>
    <n v="1"/>
    <n v="342.91"/>
    <n v="0.1"/>
    <n v="156.87"/>
    <s v="Concluída"/>
    <n v="342.91"/>
    <n v="34.291000000000004"/>
    <n v="308.61900000000003"/>
    <n v="156.87"/>
    <n v="151.74900000000002"/>
    <n v="0.49170336239829698"/>
  </r>
  <r>
    <s v="VD-0827"/>
    <d v="2025-11-27T00:00:00"/>
    <x v="4"/>
    <x v="2"/>
    <s v="Marketplace"/>
    <s v="Ana Costa"/>
    <s v="Informática"/>
    <s v="Monitor 27 Ultra"/>
    <n v="1"/>
    <n v="1206.28"/>
    <n v="0.25"/>
    <n v="860.96"/>
    <s v="Concluída"/>
    <n v="1206.28"/>
    <n v="301.57"/>
    <n v="904.71"/>
    <n v="860.96"/>
    <n v="43.75"/>
    <n v="4.8358037382144552E-2"/>
  </r>
  <r>
    <s v="VD-0840"/>
    <d v="2025-11-27T00:00:00"/>
    <x v="1"/>
    <x v="0"/>
    <s v="Loja Física"/>
    <s v="Felipe Martins"/>
    <s v="Esporte"/>
    <s v="Halteres 10kg"/>
    <n v="2"/>
    <n v="382.29"/>
    <n v="0.05"/>
    <n v="218.52"/>
    <s v="Concluída"/>
    <n v="764.58"/>
    <n v="38.229000000000006"/>
    <n v="726.351"/>
    <n v="437.04"/>
    <n v="289.31099999999998"/>
    <n v="0.3983074298789428"/>
  </r>
  <r>
    <s v="VD-0768"/>
    <d v="2025-11-28T00:00:00"/>
    <x v="1"/>
    <x v="0"/>
    <s v="E-commerce"/>
    <s v="Larissa Freitas"/>
    <s v="Casa"/>
    <s v="Panela Pressão 6L"/>
    <n v="1"/>
    <n v="416.45"/>
    <n v="0.1"/>
    <n v="229.93"/>
    <s v="Concluída"/>
    <n v="416.45"/>
    <n v="41.645000000000003"/>
    <n v="374.80500000000001"/>
    <n v="229.93"/>
    <n v="144.875"/>
    <n v="0.38653433118554981"/>
  </r>
  <r>
    <s v="VD-0771"/>
    <d v="2025-11-28T00:00:00"/>
    <x v="5"/>
    <x v="1"/>
    <s v="E-commerce"/>
    <s v="Giovana Melo"/>
    <s v="Beleza"/>
    <s v="Secador Pro"/>
    <n v="2"/>
    <n v="429.29"/>
    <n v="0.2"/>
    <n v="230.22"/>
    <s v="Concluída"/>
    <n v="858.58"/>
    <n v="171.71600000000001"/>
    <n v="686.86400000000003"/>
    <n v="460.44"/>
    <n v="226.42400000000004"/>
    <n v="0.32964895525169469"/>
  </r>
  <r>
    <s v="VD-0828"/>
    <d v="2025-11-28T00:00:00"/>
    <x v="1"/>
    <x v="0"/>
    <s v="Marketplace"/>
    <s v="Larissa Freitas"/>
    <s v="Esporte"/>
    <s v="Halteres 10kg"/>
    <n v="1"/>
    <n v="349.67"/>
    <n v="0.05"/>
    <n v="202.17"/>
    <s v="Concluída"/>
    <n v="349.67"/>
    <n v="17.483500000000003"/>
    <n v="332.18650000000002"/>
    <n v="202.17"/>
    <n v="130.01650000000004"/>
    <n v="0.39139609827611904"/>
  </r>
  <r>
    <s v="VD-0854"/>
    <d v="2025-12-01T00:00:00"/>
    <x v="6"/>
    <x v="0"/>
    <s v="Televendas"/>
    <s v="Giovana Melo"/>
    <s v="Casa"/>
    <s v="Cadeira Escritório"/>
    <n v="1"/>
    <n v="1149.5"/>
    <n v="0.03"/>
    <n v="812.65"/>
    <s v="Concluída"/>
    <n v="1149.5"/>
    <n v="34.484999999999999"/>
    <n v="1115.0150000000001"/>
    <n v="812.65"/>
    <n v="302.36500000000012"/>
    <n v="0.27117572409339791"/>
  </r>
  <r>
    <s v="VD-0892"/>
    <d v="2025-12-01T00:00:00"/>
    <x v="3"/>
    <x v="2"/>
    <s v="E-commerce"/>
    <s v="Larissa Freitas"/>
    <s v="Esporte"/>
    <s v="Halteres 10kg"/>
    <n v="1"/>
    <n v="371.07"/>
    <n v="0.1"/>
    <n v="215.16"/>
    <s v="Concluída"/>
    <n v="371.07"/>
    <n v="37.106999999999999"/>
    <n v="333.96299999999997"/>
    <n v="215.16"/>
    <n v="118.80299999999997"/>
    <n v="0.35573701278285313"/>
  </r>
  <r>
    <s v="VD-0893"/>
    <d v="2025-12-01T00:00:00"/>
    <x v="6"/>
    <x v="0"/>
    <s v="Marketplace"/>
    <s v="Marcos Silva"/>
    <s v="Casa"/>
    <s v="Tapete Sala"/>
    <n v="1"/>
    <n v="566.70000000000005"/>
    <n v="0.2"/>
    <n v="299.73"/>
    <s v="Concluída"/>
    <n v="566.70000000000005"/>
    <n v="113.34000000000002"/>
    <n v="453.36"/>
    <n v="299.73"/>
    <n v="153.63"/>
    <n v="0.33886977236633137"/>
  </r>
  <r>
    <s v="VD-0898"/>
    <d v="2025-12-01T00:00:00"/>
    <x v="6"/>
    <x v="0"/>
    <s v="Loja Física"/>
    <s v="Giovana Melo"/>
    <s v="Esporte"/>
    <s v="Esteira Compacta"/>
    <n v="1"/>
    <n v="2992.2"/>
    <n v="0"/>
    <n v="2119.46"/>
    <s v="Concluída"/>
    <n v="2992.2"/>
    <n v="0"/>
    <n v="2992.2"/>
    <n v="2119.46"/>
    <n v="872.73999999999978"/>
    <n v="0.29167167970055474"/>
  </r>
  <r>
    <s v="VD-0899"/>
    <d v="2025-12-01T00:00:00"/>
    <x v="0"/>
    <x v="0"/>
    <s v="E-commerce"/>
    <s v="Elisa Rocha"/>
    <s v="Beleza"/>
    <s v="Secador Pro"/>
    <n v="1"/>
    <n v="448.4"/>
    <n v="0.03"/>
    <n v="248.79"/>
    <s v="Concluída"/>
    <n v="448.4"/>
    <n v="13.451999999999998"/>
    <n v="434.94799999999998"/>
    <n v="248.79"/>
    <n v="186.15799999999999"/>
    <n v="0.42800058857610562"/>
  </r>
  <r>
    <s v="VD-0904"/>
    <d v="2025-12-01T00:00:00"/>
    <x v="5"/>
    <x v="1"/>
    <s v="Marketplace"/>
    <s v="João Pedro"/>
    <s v="Informática"/>
    <s v="Notebook Nova 14"/>
    <n v="2"/>
    <n v="3638.32"/>
    <n v="0.1"/>
    <n v="2814.79"/>
    <s v="Concluída"/>
    <n v="7276.64"/>
    <n v="727.6640000000001"/>
    <n v="6548.9760000000006"/>
    <n v="5629.58"/>
    <n v="919.39600000000064"/>
    <n v="0.1403877491687251"/>
  </r>
  <r>
    <s v="VD-0945"/>
    <d v="2025-12-01T00:00:00"/>
    <x v="7"/>
    <x v="3"/>
    <s v="Loja Física"/>
    <s v="Larissa Freitas"/>
    <s v="Informática"/>
    <s v="Fone Wave"/>
    <n v="1"/>
    <n v="255.16"/>
    <n v="0.05"/>
    <n v="123.14"/>
    <s v="Concluída"/>
    <n v="255.16"/>
    <n v="12.758000000000001"/>
    <n v="242.40199999999999"/>
    <n v="123.14"/>
    <n v="119.26199999999999"/>
    <n v="0.49200089108175671"/>
  </r>
  <r>
    <s v="VD-0866"/>
    <d v="2025-12-02T00:00:00"/>
    <x v="0"/>
    <x v="0"/>
    <s v="E-commerce"/>
    <s v="Felipe Martins"/>
    <s v="Informática"/>
    <s v="Notebook Nova 14"/>
    <n v="1"/>
    <n v="3718.99"/>
    <n v="0.125"/>
    <n v="2889.27"/>
    <s v="Concluída"/>
    <n v="3718.99"/>
    <n v="464.87374999999997"/>
    <n v="3254.11625"/>
    <n v="2889.27"/>
    <n v="364.84625000000005"/>
    <n v="0.11211838237186519"/>
  </r>
  <r>
    <s v="VD-0901"/>
    <d v="2025-12-02T00:00:00"/>
    <x v="5"/>
    <x v="1"/>
    <s v="Loja Física"/>
    <s v="Giovana Melo"/>
    <s v="Acessórios"/>
    <s v="Óculos Sol"/>
    <n v="2"/>
    <n v="359.95"/>
    <n v="0"/>
    <n v="158.66"/>
    <s v="Concluída"/>
    <n v="719.9"/>
    <n v="0"/>
    <n v="719.9"/>
    <n v="317.32"/>
    <n v="402.58"/>
    <n v="0.5592165578552577"/>
  </r>
  <r>
    <s v="VD-0903"/>
    <d v="2025-12-02T00:00:00"/>
    <x v="4"/>
    <x v="2"/>
    <s v="Loja Física"/>
    <s v="Giovana Melo"/>
    <s v="Acessórios"/>
    <s v="Óculos Sol"/>
    <n v="1"/>
    <n v="395.1"/>
    <n v="0.05"/>
    <n v="177.82"/>
    <s v="Concluída"/>
    <n v="395.1"/>
    <n v="19.755000000000003"/>
    <n v="375.34500000000003"/>
    <n v="177.82"/>
    <n v="197.52500000000003"/>
    <n v="0.52624918408397614"/>
  </r>
  <r>
    <s v="VD-0908"/>
    <d v="2025-12-02T00:00:00"/>
    <x v="5"/>
    <x v="1"/>
    <s v="Televendas"/>
    <s v="Diego Alves"/>
    <s v="Esporte"/>
    <s v="Colchonete Pro"/>
    <n v="2"/>
    <n v="144.99"/>
    <n v="0.1"/>
    <n v="59.63"/>
    <s v="Concluída"/>
    <n v="289.98"/>
    <n v="28.998000000000005"/>
    <n v="260.98200000000003"/>
    <n v="119.26"/>
    <n v="141.72200000000004"/>
    <n v="0.5430336191768016"/>
  </r>
  <r>
    <s v="VD-0850"/>
    <d v="2025-12-03T00:00:00"/>
    <x v="4"/>
    <x v="2"/>
    <s v="Loja Física"/>
    <s v="João Pedro"/>
    <s v="Informática"/>
    <s v="Fone Wave"/>
    <n v="2"/>
    <n v="248.67"/>
    <n v="0.17499999999999999"/>
    <n v="116.24"/>
    <s v="Concluída"/>
    <n v="497.34"/>
    <n v="87.034499999999994"/>
    <n v="410.30549999999999"/>
    <n v="232.48"/>
    <n v="177.82550000000001"/>
    <n v="0.43339779749479351"/>
  </r>
  <r>
    <s v="VD-0881"/>
    <d v="2025-12-03T00:00:00"/>
    <x v="0"/>
    <x v="0"/>
    <s v="Marketplace"/>
    <s v="Ana Costa"/>
    <s v="Informática"/>
    <s v="Mouse Pro"/>
    <n v="1"/>
    <n v="186.47"/>
    <n v="0.25"/>
    <n v="84.58"/>
    <s v="Concluída"/>
    <n v="186.47"/>
    <n v="46.6175"/>
    <n v="139.85249999999999"/>
    <n v="84.58"/>
    <n v="55.272499999999994"/>
    <n v="0.39521996389052749"/>
  </r>
  <r>
    <s v="VD-0910"/>
    <d v="2025-12-03T00:00:00"/>
    <x v="7"/>
    <x v="3"/>
    <s v="Marketplace"/>
    <s v="Camila Souza"/>
    <s v="Acessórios"/>
    <s v="Relógio Fit"/>
    <n v="1"/>
    <n v="658.48"/>
    <n v="0.25"/>
    <n v="325.48"/>
    <s v="Concluída"/>
    <n v="658.48"/>
    <n v="164.62"/>
    <n v="493.86"/>
    <n v="325.48"/>
    <n v="168.38"/>
    <n v="0.3409468270360021"/>
  </r>
  <r>
    <s v="VD-0940"/>
    <d v="2025-12-03T00:00:00"/>
    <x v="0"/>
    <x v="0"/>
    <s v="E-commerce"/>
    <s v="João Pedro"/>
    <s v="Casa"/>
    <s v="Air Fryer 5L"/>
    <n v="1"/>
    <n v="680.56"/>
    <n v="0.05"/>
    <n v="379.22"/>
    <s v="Concluída"/>
    <n v="680.56"/>
    <n v="34.027999999999999"/>
    <n v="646.53199999999993"/>
    <n v="379.22"/>
    <n v="267.3119999999999"/>
    <n v="0.41345517313914848"/>
  </r>
  <r>
    <s v="VD-0857"/>
    <d v="2025-12-04T00:00:00"/>
    <x v="1"/>
    <x v="0"/>
    <s v="Televendas"/>
    <s v="Heitor Nunes"/>
    <s v="Informática"/>
    <s v="Mouse Pro"/>
    <n v="2"/>
    <n v="186.28"/>
    <n v="0.1"/>
    <n v="84.89"/>
    <s v="Concluída"/>
    <n v="372.56"/>
    <n v="37.256"/>
    <n v="335.30399999999997"/>
    <n v="169.78"/>
    <n v="165.52399999999997"/>
    <n v="0.49365352038746924"/>
  </r>
  <r>
    <s v="VD-0865"/>
    <d v="2025-12-04T00:00:00"/>
    <x v="6"/>
    <x v="0"/>
    <s v="Marketplace"/>
    <s v="João Pedro"/>
    <s v="Beleza"/>
    <s v="Creme Facial"/>
    <n v="1"/>
    <n v="140.13999999999999"/>
    <n v="0.15"/>
    <n v="48.47"/>
    <s v="Concluída"/>
    <n v="140.13999999999999"/>
    <n v="21.020999999999997"/>
    <n v="119.11899999999999"/>
    <n v="48.47"/>
    <n v="70.648999999999987"/>
    <n v="0.59309597965060146"/>
  </r>
  <r>
    <s v="VD-0911"/>
    <d v="2025-12-04T00:00:00"/>
    <x v="1"/>
    <x v="0"/>
    <s v="Marketplace"/>
    <s v="Bruno Lima"/>
    <s v="Casa"/>
    <s v="Cadeira Escritório"/>
    <n v="1"/>
    <n v="1193.6300000000001"/>
    <n v="0.2"/>
    <n v="896.94"/>
    <s v="Concluída"/>
    <n v="1193.6300000000001"/>
    <n v="238.72600000000003"/>
    <n v="954.90400000000011"/>
    <n v="896.94"/>
    <n v="57.964000000000055"/>
    <n v="6.0701389877935427E-2"/>
  </r>
  <r>
    <s v="VD-0919"/>
    <d v="2025-12-04T00:00:00"/>
    <x v="5"/>
    <x v="1"/>
    <s v="Televendas"/>
    <s v="Larissa Freitas"/>
    <s v="Esporte"/>
    <s v="Colchonete Pro"/>
    <n v="1"/>
    <n v="144.87"/>
    <n v="5.5E-2"/>
    <n v="57.36"/>
    <s v="Concluída"/>
    <n v="144.87"/>
    <n v="7.9678500000000003"/>
    <n v="136.90215000000001"/>
    <n v="57.36"/>
    <n v="79.542150000000007"/>
    <n v="0.58101461518318009"/>
  </r>
  <r>
    <s v="VD-0925"/>
    <d v="2025-12-04T00:00:00"/>
    <x v="3"/>
    <x v="2"/>
    <s v="Loja Física"/>
    <s v="Elisa Rocha"/>
    <s v="Casa"/>
    <s v="Air Fryer 5L"/>
    <n v="1"/>
    <n v="678.39"/>
    <n v="0.15"/>
    <n v="400.87"/>
    <s v="Concluída"/>
    <n v="678.39"/>
    <n v="101.7585"/>
    <n v="576.63149999999996"/>
    <n v="400.87"/>
    <n v="175.76149999999996"/>
    <n v="0.30480731628431673"/>
  </r>
  <r>
    <s v="VD-0877"/>
    <d v="2025-12-05T00:00:00"/>
    <x v="0"/>
    <x v="0"/>
    <s v="E-commerce"/>
    <s v="Marcos Silva"/>
    <s v="Informática"/>
    <s v="Notebook Nova 14"/>
    <n v="1"/>
    <n v="4157.05"/>
    <n v="0.15"/>
    <n v="3299.32"/>
    <s v="Concluída"/>
    <n v="4157.05"/>
    <n v="623.5575"/>
    <n v="3533.4925000000003"/>
    <n v="3299.32"/>
    <n v="234.17250000000013"/>
    <n v="6.627225047173585E-2"/>
  </r>
  <r>
    <s v="VD-0889"/>
    <d v="2025-12-05T00:00:00"/>
    <x v="0"/>
    <x v="0"/>
    <s v="Marketplace"/>
    <s v="Isabela Reis"/>
    <s v="Beleza"/>
    <s v="Secador Pro"/>
    <n v="1"/>
    <n v="428.38"/>
    <n v="0.25"/>
    <n v="244.46"/>
    <s v="Concluída"/>
    <n v="428.38"/>
    <n v="107.095"/>
    <n v="321.28499999999997"/>
    <n v="244.46"/>
    <n v="76.82499999999996"/>
    <n v="0.23911791711408864"/>
  </r>
  <r>
    <s v="VD-0926"/>
    <d v="2025-12-05T00:00:00"/>
    <x v="2"/>
    <x v="1"/>
    <s v="E-commerce"/>
    <s v="Diego Alves"/>
    <s v="Esporte"/>
    <s v="Colchonete Pro"/>
    <n v="1"/>
    <n v="143.31"/>
    <n v="0.1"/>
    <n v="57.12"/>
    <s v="Concluída"/>
    <n v="143.31"/>
    <n v="14.331000000000001"/>
    <n v="128.97900000000001"/>
    <n v="57.12"/>
    <n v="71.859000000000009"/>
    <n v="0.55713720838276004"/>
  </r>
  <r>
    <s v="VD-0900"/>
    <d v="2025-12-06T00:00:00"/>
    <x v="2"/>
    <x v="1"/>
    <s v="E-commerce"/>
    <s v="Elisa Rocha"/>
    <s v="Informática"/>
    <s v="Notebook Nova 14"/>
    <n v="1"/>
    <n v="3685.38"/>
    <n v="0.03"/>
    <n v="2966.63"/>
    <s v="Concluída"/>
    <n v="3685.38"/>
    <n v="110.56140000000001"/>
    <n v="3574.8186000000001"/>
    <n v="2966.63"/>
    <n v="608.18859999999995"/>
    <n v="0.17013131799191153"/>
  </r>
  <r>
    <s v="VD-0909"/>
    <d v="2025-12-06T00:00:00"/>
    <x v="3"/>
    <x v="2"/>
    <s v="Marketplace"/>
    <s v="Bruno Lima"/>
    <s v="Casa"/>
    <s v="Tapete Sala"/>
    <n v="1"/>
    <n v="548.91"/>
    <n v="0.05"/>
    <n v="280.10000000000002"/>
    <s v="Concluída"/>
    <n v="548.91"/>
    <n v="27.445499999999999"/>
    <n v="521.46449999999993"/>
    <n v="280.10000000000002"/>
    <n v="241.36449999999991"/>
    <n v="0.46285892903543757"/>
  </r>
  <r>
    <s v="VD-0928"/>
    <d v="2025-12-06T00:00:00"/>
    <x v="4"/>
    <x v="2"/>
    <s v="Televendas"/>
    <s v="Isabela Reis"/>
    <s v="Informática"/>
    <s v="Mouse Pro"/>
    <n v="3"/>
    <n v="203.79"/>
    <n v="0.1"/>
    <n v="94.46"/>
    <s v="Concluída"/>
    <n v="611.37"/>
    <n v="61.137"/>
    <n v="550.23299999999995"/>
    <n v="283.38"/>
    <n v="266.85299999999995"/>
    <n v="0.48498181679397634"/>
  </r>
  <r>
    <s v="VD-0938"/>
    <d v="2025-12-06T00:00:00"/>
    <x v="6"/>
    <x v="0"/>
    <s v="Loja Física"/>
    <s v="Camila Souza"/>
    <s v="Informática"/>
    <s v="Monitor 27 Ultra"/>
    <n v="1"/>
    <n v="1385.5"/>
    <n v="0.08"/>
    <n v="938.61"/>
    <s v="Concluída"/>
    <n v="1385.5"/>
    <n v="110.84"/>
    <n v="1274.6600000000001"/>
    <n v="938.61"/>
    <n v="336.05000000000007"/>
    <n v="0.26363893116595799"/>
  </r>
  <r>
    <s v="VD-0912"/>
    <d v="2025-12-07T00:00:00"/>
    <x v="2"/>
    <x v="1"/>
    <s v="Loja Física"/>
    <s v="Isabela Reis"/>
    <s v="Beleza"/>
    <s v="Creme Facial"/>
    <n v="1"/>
    <n v="140.93"/>
    <n v="0"/>
    <n v="50.6"/>
    <s v="Concluída"/>
    <n v="140.93"/>
    <n v="0"/>
    <n v="140.93"/>
    <n v="50.6"/>
    <n v="90.330000000000013"/>
    <n v="0.64095650322855324"/>
  </r>
  <r>
    <s v="VD-0949"/>
    <d v="2025-12-07T00:00:00"/>
    <x v="1"/>
    <x v="0"/>
    <s v="Marketplace"/>
    <s v="Bruno Lima"/>
    <s v="Informática"/>
    <s v="Teclado Mecânico"/>
    <n v="1"/>
    <n v="419.25"/>
    <n v="0.1"/>
    <n v="245.89"/>
    <s v="Concluída"/>
    <n v="419.25"/>
    <n v="41.925000000000004"/>
    <n v="377.32499999999999"/>
    <n v="245.89"/>
    <n v="131.435"/>
    <n v="0.34833366461273441"/>
  </r>
  <r>
    <s v="VD-0856"/>
    <d v="2025-12-08T00:00:00"/>
    <x v="5"/>
    <x v="1"/>
    <s v="Marketplace"/>
    <s v="Heitor Nunes"/>
    <s v="Beleza"/>
    <s v="Balança Smart"/>
    <n v="1"/>
    <n v="220.35"/>
    <n v="0.25"/>
    <n v="92.3"/>
    <s v="Concluída"/>
    <n v="220.35"/>
    <n v="55.087499999999999"/>
    <n v="165.26249999999999"/>
    <n v="92.3"/>
    <n v="72.962499999999991"/>
    <n v="0.4414945919370698"/>
  </r>
  <r>
    <s v="VD-0873"/>
    <d v="2025-12-08T00:00:00"/>
    <x v="7"/>
    <x v="3"/>
    <s v="E-commerce"/>
    <s v="Elisa Rocha"/>
    <s v="Acessórios"/>
    <s v="Relógio Fit"/>
    <n v="1"/>
    <n v="720.75"/>
    <n v="0.03"/>
    <n v="353.4"/>
    <s v="Concluída"/>
    <n v="720.75"/>
    <n v="21.622499999999999"/>
    <n v="699.12750000000005"/>
    <n v="353.4"/>
    <n v="345.72750000000008"/>
    <n v="0.49451280345859666"/>
  </r>
  <r>
    <s v="VD-0884"/>
    <d v="2025-12-08T00:00:00"/>
    <x v="4"/>
    <x v="2"/>
    <s v="E-commerce"/>
    <s v="Bruno Lima"/>
    <s v="Beleza"/>
    <s v="Balança Smart"/>
    <n v="1"/>
    <n v="230.61"/>
    <n v="0.1"/>
    <n v="98.21"/>
    <s v="Concluída"/>
    <n v="230.61"/>
    <n v="23.061000000000003"/>
    <n v="207.54900000000001"/>
    <n v="98.21"/>
    <n v="109.33900000000001"/>
    <n v="0.52681053630708896"/>
  </r>
  <r>
    <s v="VD-0894"/>
    <d v="2025-12-08T00:00:00"/>
    <x v="2"/>
    <x v="1"/>
    <s v="Marketplace"/>
    <s v="Bruno Lima"/>
    <s v="Casa"/>
    <s v="Air Fryer 5L"/>
    <n v="1"/>
    <n v="658.13"/>
    <n v="0.25"/>
    <n v="374.14"/>
    <s v="Concluída"/>
    <n v="658.13"/>
    <n v="164.5325"/>
    <n v="493.59749999999997"/>
    <n v="374.14"/>
    <n v="119.45749999999998"/>
    <n v="0.24201398913082012"/>
  </r>
  <r>
    <s v="VD-0934"/>
    <d v="2025-12-08T00:00:00"/>
    <x v="2"/>
    <x v="1"/>
    <s v="E-commerce"/>
    <s v="Ana Costa"/>
    <s v="Beleza"/>
    <s v="Secador Pro"/>
    <n v="3"/>
    <n v="408.51"/>
    <n v="0.2"/>
    <n v="223.77"/>
    <s v="Concluída"/>
    <n v="1225.53"/>
    <n v="245.10599999999999"/>
    <n v="980.42399999999998"/>
    <n v="671.31000000000006"/>
    <n v="309.11399999999992"/>
    <n v="0.31528603950943668"/>
  </r>
  <r>
    <s v="VD-0859"/>
    <d v="2025-12-09T00:00:00"/>
    <x v="6"/>
    <x v="0"/>
    <s v="Loja Física"/>
    <s v="Ana Costa"/>
    <s v="Esporte"/>
    <s v="Colchonete Pro"/>
    <n v="2"/>
    <n v="140.74"/>
    <n v="0.1"/>
    <n v="56.81"/>
    <s v="Concluída"/>
    <n v="281.48"/>
    <n v="28.148000000000003"/>
    <n v="253.33200000000002"/>
    <n v="113.62"/>
    <n v="139.71200000000002"/>
    <n v="0.55149763946126029"/>
  </r>
  <r>
    <s v="VD-0914"/>
    <d v="2025-12-09T00:00:00"/>
    <x v="5"/>
    <x v="1"/>
    <s v="Loja Física"/>
    <s v="Larissa Freitas"/>
    <s v="Casa"/>
    <s v="Panela Pressão 6L"/>
    <n v="2"/>
    <n v="462.77"/>
    <n v="0"/>
    <n v="257.08999999999997"/>
    <s v="Concluída"/>
    <n v="925.54"/>
    <n v="0"/>
    <n v="925.54"/>
    <n v="514.17999999999995"/>
    <n v="411.36"/>
    <n v="0.44445404844739289"/>
  </r>
  <r>
    <s v="VD-0920"/>
    <d v="2025-12-09T00:00:00"/>
    <x v="7"/>
    <x v="3"/>
    <s v="Loja Física"/>
    <s v="Giovana Melo"/>
    <s v="Beleza"/>
    <s v="Creme Facial"/>
    <n v="2"/>
    <n v="156.05000000000001"/>
    <n v="0"/>
    <n v="55.96"/>
    <s v="Concluída"/>
    <n v="312.10000000000002"/>
    <n v="0"/>
    <n v="312.10000000000002"/>
    <n v="111.92"/>
    <n v="200.18"/>
    <n v="0.64139698814482538"/>
  </r>
  <r>
    <s v="VD-0867"/>
    <d v="2025-12-10T00:00:00"/>
    <x v="2"/>
    <x v="1"/>
    <s v="Loja Física"/>
    <s v="Diego Alves"/>
    <s v="Beleza"/>
    <s v="Creme Facial"/>
    <n v="1"/>
    <n v="142.85"/>
    <n v="0.15"/>
    <n v="49"/>
    <s v="Concluída"/>
    <n v="142.85"/>
    <n v="21.427499999999998"/>
    <n v="121.4225"/>
    <n v="49"/>
    <n v="72.422499999999999"/>
    <n v="0.59645041075583194"/>
  </r>
  <r>
    <s v="VD-0886"/>
    <d v="2025-12-10T00:00:00"/>
    <x v="4"/>
    <x v="2"/>
    <s v="E-commerce"/>
    <s v="Giovana Melo"/>
    <s v="Esporte"/>
    <s v="Colchonete Pro"/>
    <n v="2"/>
    <n v="142.07"/>
    <n v="0.05"/>
    <n v="54.58"/>
    <s v="Concluída"/>
    <n v="284.14"/>
    <n v="14.207000000000001"/>
    <n v="269.93299999999999"/>
    <n v="109.16"/>
    <n v="160.773"/>
    <n v="0.59560335342473869"/>
  </r>
  <r>
    <s v="VD-0907"/>
    <d v="2025-12-10T00:00:00"/>
    <x v="7"/>
    <x v="3"/>
    <s v="Loja Física"/>
    <s v="Marcos Silva"/>
    <s v="Acessórios"/>
    <s v="Óculos Sol"/>
    <n v="1"/>
    <n v="394.27"/>
    <n v="0"/>
    <n v="175.74"/>
    <s v="Concluída"/>
    <n v="394.27"/>
    <n v="0"/>
    <n v="394.27"/>
    <n v="175.74"/>
    <n v="218.52999999999997"/>
    <n v="0.55426484388870567"/>
  </r>
  <r>
    <s v="VD-0947"/>
    <d v="2025-12-10T00:00:00"/>
    <x v="3"/>
    <x v="2"/>
    <s v="Loja Física"/>
    <s v="Camila Souza"/>
    <s v="Informática"/>
    <s v="Monitor 27 Ultra"/>
    <n v="1"/>
    <n v="1268.27"/>
    <n v="0.10500000000000001"/>
    <n v="867.96"/>
    <s v="Concluída"/>
    <n v="1268.27"/>
    <n v="133.16835"/>
    <n v="1135.1016500000001"/>
    <n v="867.96"/>
    <n v="267.14165000000003"/>
    <n v="0.23534601504631766"/>
  </r>
  <r>
    <s v="VD-0855"/>
    <d v="2025-12-11T00:00:00"/>
    <x v="4"/>
    <x v="2"/>
    <s v="Loja Física"/>
    <s v="Camila Souza"/>
    <s v="Informática"/>
    <s v="Mouse Pro"/>
    <n v="1"/>
    <n v="193.35"/>
    <n v="0.08"/>
    <n v="86.78"/>
    <s v="Concluída"/>
    <n v="193.35"/>
    <n v="15.468"/>
    <n v="177.88200000000001"/>
    <n v="86.78"/>
    <n v="91.102000000000004"/>
    <n v="0.51214850294015135"/>
  </r>
  <r>
    <s v="VD-0863"/>
    <d v="2025-12-11T00:00:00"/>
    <x v="4"/>
    <x v="2"/>
    <s v="E-commerce"/>
    <s v="Camila Souza"/>
    <s v="Esporte"/>
    <s v="Colchonete Pro"/>
    <n v="2"/>
    <n v="149.58000000000001"/>
    <n v="0.15"/>
    <n v="60.4"/>
    <s v="Concluída"/>
    <n v="299.16000000000003"/>
    <n v="44.874000000000002"/>
    <n v="254.28600000000003"/>
    <n v="120.8"/>
    <n v="133.48600000000005"/>
    <n v="0.52494435399510797"/>
  </r>
  <r>
    <s v="VD-0869"/>
    <d v="2025-12-11T00:00:00"/>
    <x v="6"/>
    <x v="0"/>
    <s v="E-commerce"/>
    <s v="Heitor Nunes"/>
    <s v="Beleza"/>
    <s v="Creme Facial"/>
    <n v="1"/>
    <n v="148.61000000000001"/>
    <n v="0.05"/>
    <n v="53.71"/>
    <s v="Cancelada"/>
    <n v="148.61000000000001"/>
    <n v="7.4305000000000012"/>
    <n v="0"/>
    <n v="0"/>
    <n v="0"/>
    <s v=""/>
  </r>
  <r>
    <s v="VD-0878"/>
    <d v="2025-12-11T00:00:00"/>
    <x v="1"/>
    <x v="0"/>
    <s v="Loja Física"/>
    <s v="Camila Souza"/>
    <s v="Esporte"/>
    <s v="Halteres 10kg"/>
    <n v="1"/>
    <n v="372.17"/>
    <n v="0.15"/>
    <n v="204.4"/>
    <s v="Concluída"/>
    <n v="372.17"/>
    <n v="55.825499999999998"/>
    <n v="316.34450000000004"/>
    <n v="204.4"/>
    <n v="111.94450000000003"/>
    <n v="0.35386896247603489"/>
  </r>
  <r>
    <s v="VD-0879"/>
    <d v="2025-12-11T00:00:00"/>
    <x v="6"/>
    <x v="0"/>
    <s v="E-commerce"/>
    <s v="João Pedro"/>
    <s v="Beleza"/>
    <s v="Secador Pro"/>
    <n v="2"/>
    <n v="441.52"/>
    <n v="0.05"/>
    <n v="244.31"/>
    <s v="Concluída"/>
    <n v="883.04"/>
    <n v="44.152000000000001"/>
    <n v="838.88799999999992"/>
    <n v="488.62"/>
    <n v="350.26799999999992"/>
    <n v="0.41753845566988673"/>
  </r>
  <r>
    <s v="VD-0883"/>
    <d v="2025-12-11T00:00:00"/>
    <x v="4"/>
    <x v="2"/>
    <s v="Marketplace"/>
    <s v="Giovana Melo"/>
    <s v="Acessórios"/>
    <s v="Óculos Sol"/>
    <n v="1"/>
    <n v="390.53"/>
    <n v="0.2"/>
    <n v="170.77"/>
    <s v="Concluída"/>
    <n v="390.53"/>
    <n v="78.105999999999995"/>
    <n v="312.42399999999998"/>
    <n v="170.77"/>
    <n v="141.65399999999997"/>
    <n v="0.4534030676260466"/>
  </r>
  <r>
    <s v="VD-0887"/>
    <d v="2025-12-11T00:00:00"/>
    <x v="3"/>
    <x v="2"/>
    <s v="Marketplace"/>
    <s v="Ana Costa"/>
    <s v="Casa"/>
    <s v="Tapete Sala"/>
    <n v="1"/>
    <n v="559.95000000000005"/>
    <n v="0.15"/>
    <n v="296.16000000000003"/>
    <s v="Cancelada"/>
    <n v="559.95000000000005"/>
    <n v="83.992500000000007"/>
    <n v="0"/>
    <n v="0"/>
    <n v="0"/>
    <s v=""/>
  </r>
  <r>
    <s v="VD-0895"/>
    <d v="2025-12-11T00:00:00"/>
    <x v="0"/>
    <x v="0"/>
    <s v="Televendas"/>
    <s v="Elisa Rocha"/>
    <s v="Esporte"/>
    <s v="Halteres 10kg"/>
    <n v="1"/>
    <n v="350.22"/>
    <n v="0.05"/>
    <n v="191.75"/>
    <s v="Concluída"/>
    <n v="350.22"/>
    <n v="17.511000000000003"/>
    <n v="332.709"/>
    <n v="191.75"/>
    <n v="140.959"/>
    <n v="0.42367053491189"/>
  </r>
  <r>
    <s v="VD-0948"/>
    <d v="2025-12-11T00:00:00"/>
    <x v="2"/>
    <x v="1"/>
    <s v="Loja Física"/>
    <s v="Camila Souza"/>
    <s v="Informática"/>
    <s v="Fone Wave"/>
    <n v="1"/>
    <n v="236.3"/>
    <n v="0.15"/>
    <n v="109.32"/>
    <s v="Concluída"/>
    <n v="236.3"/>
    <n v="35.445"/>
    <n v="200.85500000000002"/>
    <n v="109.32"/>
    <n v="91.535000000000025"/>
    <n v="0.45572676806651574"/>
  </r>
  <r>
    <s v="VD-0868"/>
    <d v="2025-12-12T00:00:00"/>
    <x v="2"/>
    <x v="1"/>
    <s v="E-commerce"/>
    <s v="Diego Alves"/>
    <s v="Casa"/>
    <s v="Kit Lençol 4p"/>
    <n v="1"/>
    <n v="291.16000000000003"/>
    <n v="0.03"/>
    <n v="125.63"/>
    <s v="Concluída"/>
    <n v="291.16000000000003"/>
    <n v="8.7347999999999999"/>
    <n v="282.42520000000002"/>
    <n v="125.63"/>
    <n v="156.79520000000002"/>
    <n v="0.55517425498857753"/>
  </r>
  <r>
    <s v="VD-0902"/>
    <d v="2025-12-12T00:00:00"/>
    <x v="1"/>
    <x v="0"/>
    <s v="Loja Física"/>
    <s v="Bruno Lima"/>
    <s v="Informática"/>
    <s v="Mouse Pro"/>
    <n v="1"/>
    <n v="188.57"/>
    <n v="0.15"/>
    <n v="88.82"/>
    <s v="Concluída"/>
    <n v="188.57"/>
    <n v="28.285499999999999"/>
    <n v="160.28449999999998"/>
    <n v="88.82"/>
    <n v="71.464499999999987"/>
    <n v="0.44586032960142741"/>
  </r>
  <r>
    <s v="VD-0918"/>
    <d v="2025-12-12T00:00:00"/>
    <x v="0"/>
    <x v="0"/>
    <s v="Loja Física"/>
    <s v="Elisa Rocha"/>
    <s v="Casa"/>
    <s v="Kit Lençol 4p"/>
    <n v="1"/>
    <n v="281.8"/>
    <n v="0"/>
    <n v="123.32"/>
    <s v="Concluída"/>
    <n v="281.8"/>
    <n v="0"/>
    <n v="281.8"/>
    <n v="123.32"/>
    <n v="158.48000000000002"/>
    <n v="0.5623846699787084"/>
  </r>
  <r>
    <s v="VD-0874"/>
    <d v="2025-12-13T00:00:00"/>
    <x v="0"/>
    <x v="0"/>
    <s v="Loja Física"/>
    <s v="Heitor Nunes"/>
    <s v="Informática"/>
    <s v="Fone Wave"/>
    <n v="1"/>
    <n v="241.93"/>
    <n v="0.08"/>
    <n v="120.04"/>
    <s v="Concluída"/>
    <n v="241.93"/>
    <n v="19.354400000000002"/>
    <n v="222.57560000000001"/>
    <n v="120.04"/>
    <n v="102.5356"/>
    <n v="0.46067763043208687"/>
  </r>
  <r>
    <s v="VD-0897"/>
    <d v="2025-12-13T00:00:00"/>
    <x v="5"/>
    <x v="1"/>
    <s v="Loja Física"/>
    <s v="Isabela Reis"/>
    <s v="Esporte"/>
    <s v="Halteres 10kg"/>
    <n v="1"/>
    <n v="332.57"/>
    <n v="0.15"/>
    <n v="180.34"/>
    <s v="Concluída"/>
    <n v="332.57"/>
    <n v="49.8855"/>
    <n v="282.68450000000001"/>
    <n v="180.34"/>
    <n v="102.34450000000001"/>
    <n v="0.36204496532353209"/>
  </r>
  <r>
    <s v="VD-0950"/>
    <d v="2025-12-13T00:00:00"/>
    <x v="4"/>
    <x v="2"/>
    <s v="Loja Física"/>
    <s v="Isabela Reis"/>
    <s v="Acessórios"/>
    <s v="Relógio Fit"/>
    <n v="2"/>
    <n v="740.78"/>
    <n v="0.05"/>
    <n v="363.16"/>
    <s v="Concluída"/>
    <n v="1481.56"/>
    <n v="74.078000000000003"/>
    <n v="1407.482"/>
    <n v="726.32"/>
    <n v="681.16199999999992"/>
    <n v="0.48395787654833239"/>
  </r>
  <r>
    <s v="VD-0864"/>
    <d v="2025-12-14T00:00:00"/>
    <x v="6"/>
    <x v="0"/>
    <s v="E-commerce"/>
    <s v="Bruno Lima"/>
    <s v="Acessórios"/>
    <s v="Mochila Urban"/>
    <n v="1"/>
    <n v="305.10000000000002"/>
    <n v="0.2"/>
    <n v="135.43"/>
    <s v="Concluída"/>
    <n v="305.10000000000002"/>
    <n v="61.02000000000001"/>
    <n v="244.08"/>
    <n v="135.43"/>
    <n v="108.65"/>
    <n v="0.44514093739757454"/>
  </r>
  <r>
    <s v="VD-0876"/>
    <d v="2025-12-14T00:00:00"/>
    <x v="7"/>
    <x v="3"/>
    <s v="Loja Física"/>
    <s v="Marcos Silva"/>
    <s v="Esporte"/>
    <s v="Colchonete Pro"/>
    <n v="1"/>
    <n v="130.86000000000001"/>
    <n v="0"/>
    <n v="53.29"/>
    <s v="Cancelada"/>
    <n v="130.86000000000001"/>
    <n v="0"/>
    <n v="0"/>
    <n v="0"/>
    <n v="0"/>
    <s v=""/>
  </r>
  <r>
    <s v="VD-0882"/>
    <d v="2025-12-14T00:00:00"/>
    <x v="5"/>
    <x v="1"/>
    <s v="Televendas"/>
    <s v="Felipe Martins"/>
    <s v="Informática"/>
    <s v="Mouse Pro"/>
    <n v="1"/>
    <n v="202.69"/>
    <n v="0.1"/>
    <n v="92.85"/>
    <s v="Concluída"/>
    <n v="202.69"/>
    <n v="20.269000000000002"/>
    <n v="182.42099999999999"/>
    <n v="92.85"/>
    <n v="89.570999999999998"/>
    <n v="0.49101254789744603"/>
  </r>
  <r>
    <s v="VD-0921"/>
    <d v="2025-12-14T00:00:00"/>
    <x v="5"/>
    <x v="1"/>
    <s v="Loja Física"/>
    <s v="Isabela Reis"/>
    <s v="Casa"/>
    <s v="Kit Lençol 4p"/>
    <n v="2"/>
    <n v="275.67"/>
    <n v="0.15"/>
    <n v="122.85"/>
    <s v="Concluída"/>
    <n v="551.34"/>
    <n v="82.701000000000008"/>
    <n v="468.63900000000001"/>
    <n v="245.7"/>
    <n v="222.93900000000002"/>
    <n v="0.47571584951316476"/>
  </r>
  <r>
    <s v="VD-0932"/>
    <d v="2025-12-14T00:00:00"/>
    <x v="6"/>
    <x v="0"/>
    <s v="Loja Física"/>
    <s v="Larissa Freitas"/>
    <s v="Acessórios"/>
    <s v="Óculos Sol"/>
    <n v="3"/>
    <n v="367.43"/>
    <n v="0.1"/>
    <n v="159.63999999999999"/>
    <s v="Concluída"/>
    <n v="1102.29"/>
    <n v="110.229"/>
    <n v="992.06099999999992"/>
    <n v="478.91999999999996"/>
    <n v="513.14099999999996"/>
    <n v="0.51724742732553741"/>
  </r>
  <r>
    <s v="VD-0944"/>
    <d v="2025-12-14T00:00:00"/>
    <x v="2"/>
    <x v="1"/>
    <s v="E-commerce"/>
    <s v="Isabela Reis"/>
    <s v="Acessórios"/>
    <s v="Relógio Fit"/>
    <n v="1"/>
    <n v="666.63"/>
    <n v="0.2"/>
    <n v="314.36"/>
    <s v="Concluída"/>
    <n v="666.63"/>
    <n v="133.32599999999999"/>
    <n v="533.30399999999997"/>
    <n v="314.36"/>
    <n v="218.94399999999996"/>
    <n v="0.41054257984189124"/>
  </r>
  <r>
    <s v="VD-0930"/>
    <d v="2025-12-15T00:00:00"/>
    <x v="7"/>
    <x v="3"/>
    <s v="Marketplace"/>
    <s v="Heitor Nunes"/>
    <s v="Esporte"/>
    <s v="Esteira Compacta"/>
    <n v="1"/>
    <n v="2832.51"/>
    <n v="0.25"/>
    <n v="1965.84"/>
    <s v="Concluída"/>
    <n v="2832.51"/>
    <n v="708.12750000000005"/>
    <n v="2124.3825000000002"/>
    <n v="1965.84"/>
    <n v="158.54250000000025"/>
    <n v="7.4629921871414512E-2"/>
  </r>
  <r>
    <s v="VD-0941"/>
    <d v="2025-12-15T00:00:00"/>
    <x v="0"/>
    <x v="0"/>
    <s v="Marketplace"/>
    <s v="Bruno Lima"/>
    <s v="Esporte"/>
    <s v="Halteres 10kg"/>
    <n v="1"/>
    <n v="347.39"/>
    <n v="0.27500000000000002"/>
    <n v="200.14"/>
    <s v="Concluída"/>
    <n v="347.39"/>
    <n v="95.532250000000005"/>
    <n v="251.85774999999998"/>
    <n v="200.14"/>
    <n v="51.717749999999995"/>
    <n v="0.20534508070527907"/>
  </r>
  <r>
    <s v="VD-0942"/>
    <d v="2025-12-15T00:00:00"/>
    <x v="0"/>
    <x v="0"/>
    <s v="Marketplace"/>
    <s v="Isabela Reis"/>
    <s v="Casa"/>
    <s v="Panela Pressão 6L"/>
    <n v="1"/>
    <n v="456.56"/>
    <n v="0.1"/>
    <n v="255.47"/>
    <s v="Concluída"/>
    <n v="456.56"/>
    <n v="45.656000000000006"/>
    <n v="410.904"/>
    <n v="255.47"/>
    <n v="155.434"/>
    <n v="0.37827327064229116"/>
  </r>
  <r>
    <s v="VD-0943"/>
    <d v="2025-12-15T00:00:00"/>
    <x v="3"/>
    <x v="2"/>
    <s v="E-commerce"/>
    <s v="Ana Costa"/>
    <s v="Informática"/>
    <s v="Teclado Mecânico"/>
    <n v="1"/>
    <n v="398.89"/>
    <n v="0.2"/>
    <n v="231.02"/>
    <s v="Concluída"/>
    <n v="398.89"/>
    <n v="79.778000000000006"/>
    <n v="319.11199999999997"/>
    <n v="231.02"/>
    <n v="88.091999999999956"/>
    <n v="0.27605354859735753"/>
  </r>
  <r>
    <s v="VD-0896"/>
    <d v="2025-12-16T00:00:00"/>
    <x v="0"/>
    <x v="0"/>
    <s v="Marketplace"/>
    <s v="Camila Souza"/>
    <s v="Beleza"/>
    <s v="Secador Pro"/>
    <n v="1"/>
    <n v="456.63"/>
    <n v="0.15"/>
    <n v="247.82"/>
    <s v="Concluída"/>
    <n v="456.63"/>
    <n v="68.494500000000002"/>
    <n v="388.13549999999998"/>
    <n v="247.82"/>
    <n v="140.31549999999999"/>
    <n v="0.36151163704427963"/>
  </r>
  <r>
    <s v="VD-0922"/>
    <d v="2025-12-16T00:00:00"/>
    <x v="7"/>
    <x v="3"/>
    <s v="Loja Física"/>
    <s v="Marcos Silva"/>
    <s v="Acessórios"/>
    <s v="Relógio Fit"/>
    <n v="2"/>
    <n v="700.96"/>
    <n v="0.125"/>
    <n v="330.7"/>
    <s v="Concluída"/>
    <n v="1401.92"/>
    <n v="175.24"/>
    <n v="1226.68"/>
    <n v="661.4"/>
    <n v="565.28000000000009"/>
    <n v="0.46082107803176059"/>
  </r>
  <r>
    <s v="VD-0927"/>
    <d v="2025-12-16T00:00:00"/>
    <x v="5"/>
    <x v="1"/>
    <s v="Loja Física"/>
    <s v="Giovana Melo"/>
    <s v="Casa"/>
    <s v="Panela Pressão 6L"/>
    <n v="2"/>
    <n v="445.19"/>
    <n v="0.08"/>
    <n v="241.06"/>
    <s v="Concluída"/>
    <n v="890.38"/>
    <n v="71.230400000000003"/>
    <n v="819.14959999999996"/>
    <n v="482.12"/>
    <n v="337.02959999999996"/>
    <n v="0.41143839904212853"/>
  </r>
  <r>
    <s v="VD-0939"/>
    <d v="2025-12-16T00:00:00"/>
    <x v="4"/>
    <x v="2"/>
    <s v="Loja Física"/>
    <s v="Diego Alves"/>
    <s v="Beleza"/>
    <s v="Balança Smart"/>
    <n v="1"/>
    <n v="243.85"/>
    <n v="0"/>
    <n v="105.85"/>
    <s v="Concluída"/>
    <n v="243.85"/>
    <n v="0"/>
    <n v="243.85"/>
    <n v="105.85"/>
    <n v="138"/>
    <n v="0.56592167315972941"/>
  </r>
  <r>
    <s v="VD-0916"/>
    <d v="2025-12-17T00:00:00"/>
    <x v="3"/>
    <x v="2"/>
    <s v="E-commerce"/>
    <s v="João Pedro"/>
    <s v="Informática"/>
    <s v="Fone Wave"/>
    <n v="2"/>
    <n v="239.75"/>
    <n v="0.1"/>
    <n v="116.42"/>
    <s v="Concluída"/>
    <n v="479.5"/>
    <n v="47.95"/>
    <n v="431.55"/>
    <n v="232.84"/>
    <n v="198.71"/>
    <n v="0.46045649403313638"/>
  </r>
  <r>
    <s v="VD-0937"/>
    <d v="2025-12-17T00:00:00"/>
    <x v="4"/>
    <x v="2"/>
    <s v="Loja Física"/>
    <s v="Bruno Lima"/>
    <s v="Esporte"/>
    <s v="Colchonete Pro"/>
    <n v="1"/>
    <n v="148.55000000000001"/>
    <n v="0.08"/>
    <n v="59.89"/>
    <s v="Concluída"/>
    <n v="148.55000000000001"/>
    <n v="11.884"/>
    <n v="136.666"/>
    <n v="59.89"/>
    <n v="76.775999999999996"/>
    <n v="0.56177835013829336"/>
  </r>
  <r>
    <s v="VD-0870"/>
    <d v="2025-12-18T00:00:00"/>
    <x v="0"/>
    <x v="0"/>
    <s v="Loja Física"/>
    <s v="Giovana Melo"/>
    <s v="Beleza"/>
    <s v="Secador Pro"/>
    <n v="1"/>
    <n v="438.94"/>
    <n v="0"/>
    <n v="243.19"/>
    <s v="Concluída"/>
    <n v="438.94"/>
    <n v="0"/>
    <n v="438.94"/>
    <n v="243.19"/>
    <n v="195.75"/>
    <n v="0.44596072356130678"/>
  </r>
  <r>
    <s v="VD-0880"/>
    <d v="2025-12-18T00:00:00"/>
    <x v="2"/>
    <x v="1"/>
    <s v="Marketplace"/>
    <s v="Isabela Reis"/>
    <s v="Casa"/>
    <s v="Air Fryer 5L"/>
    <n v="1"/>
    <n v="729.94"/>
    <n v="0.25"/>
    <n v="417.17"/>
    <s v="Concluída"/>
    <n v="729.94"/>
    <n v="182.48500000000001"/>
    <n v="547.45500000000004"/>
    <n v="417.17"/>
    <n v="130.28500000000003"/>
    <n v="0.23798303056872258"/>
  </r>
  <r>
    <s v="VD-0923"/>
    <d v="2025-12-18T00:00:00"/>
    <x v="2"/>
    <x v="1"/>
    <s v="Loja Física"/>
    <s v="Camila Souza"/>
    <s v="Casa"/>
    <s v="Panela Pressão 6L"/>
    <n v="1"/>
    <n v="448.4"/>
    <n v="0"/>
    <n v="239.89"/>
    <s v="Concluída"/>
    <n v="448.4"/>
    <n v="0"/>
    <n v="448.4"/>
    <n v="239.89"/>
    <n v="208.51"/>
    <n v="0.46500892060660126"/>
  </r>
  <r>
    <s v="VD-0852"/>
    <d v="2025-12-19T00:00:00"/>
    <x v="2"/>
    <x v="1"/>
    <s v="Loja Física"/>
    <s v="Marcos Silva"/>
    <s v="Beleza"/>
    <s v="Balança Smart"/>
    <n v="2"/>
    <n v="251.53"/>
    <n v="0"/>
    <n v="108.25"/>
    <s v="Concluída"/>
    <n v="503.06"/>
    <n v="0"/>
    <n v="503.06"/>
    <n v="216.5"/>
    <n v="286.56"/>
    <n v="0.56963384089373037"/>
  </r>
  <r>
    <s v="VD-0875"/>
    <d v="2025-12-19T00:00:00"/>
    <x v="2"/>
    <x v="1"/>
    <s v="E-commerce"/>
    <s v="Giovana Melo"/>
    <s v="Casa"/>
    <s v="Cadeira Escritório"/>
    <n v="1"/>
    <n v="1233.7"/>
    <n v="0.2"/>
    <n v="893.5"/>
    <s v="Concluída"/>
    <n v="1233.7"/>
    <n v="246.74"/>
    <n v="986.96"/>
    <n v="893.5"/>
    <n v="93.460000000000036"/>
    <n v="9.4694820458782553E-2"/>
  </r>
  <r>
    <s v="VD-0906"/>
    <d v="2025-12-19T00:00:00"/>
    <x v="6"/>
    <x v="0"/>
    <s v="Loja Física"/>
    <s v="Giovana Melo"/>
    <s v="Informática"/>
    <s v="Monitor 27 Ultra"/>
    <n v="1"/>
    <n v="1231.7"/>
    <n v="0.08"/>
    <n v="870.23"/>
    <s v="Concluída"/>
    <n v="1231.7"/>
    <n v="98.536000000000001"/>
    <n v="1133.164"/>
    <n v="870.23"/>
    <n v="262.93399999999997"/>
    <n v="0.23203525703252131"/>
  </r>
  <r>
    <s v="VD-0872"/>
    <d v="2025-12-20T00:00:00"/>
    <x v="3"/>
    <x v="2"/>
    <s v="E-commerce"/>
    <s v="Isabela Reis"/>
    <s v="Beleza"/>
    <s v="Secador Pro"/>
    <n v="1"/>
    <n v="459.51"/>
    <n v="0.1"/>
    <n v="245.82"/>
    <s v="Cancelada"/>
    <n v="459.51"/>
    <n v="45.951000000000001"/>
    <n v="0"/>
    <n v="0"/>
    <n v="0"/>
    <s v=""/>
  </r>
  <r>
    <s v="VD-0929"/>
    <d v="2025-12-20T00:00:00"/>
    <x v="3"/>
    <x v="2"/>
    <s v="Loja Física"/>
    <s v="Bruno Lima"/>
    <s v="Beleza"/>
    <s v="Secador Pro"/>
    <n v="1"/>
    <n v="456.47"/>
    <n v="0"/>
    <n v="256.64999999999998"/>
    <s v="Concluída"/>
    <n v="456.47"/>
    <n v="0"/>
    <n v="456.47"/>
    <n v="256.64999999999998"/>
    <n v="199.82000000000005"/>
    <n v="0.43775056411155178"/>
  </r>
  <r>
    <s v="VD-0860"/>
    <d v="2025-12-21T00:00:00"/>
    <x v="7"/>
    <x v="3"/>
    <s v="Loja Física"/>
    <s v="Diego Alves"/>
    <s v="Informática"/>
    <s v="Mouse Pro"/>
    <n v="1"/>
    <n v="190.16"/>
    <n v="0"/>
    <n v="85.84"/>
    <s v="Concluída"/>
    <n v="190.16"/>
    <n v="0"/>
    <n v="190.16"/>
    <n v="85.84"/>
    <n v="104.32"/>
    <n v="0.54859066049642402"/>
  </r>
  <r>
    <s v="VD-0936"/>
    <d v="2025-12-21T00:00:00"/>
    <x v="3"/>
    <x v="2"/>
    <s v="Loja Física"/>
    <s v="Giovana Melo"/>
    <s v="Esporte"/>
    <s v="Halteres 10kg"/>
    <n v="1"/>
    <n v="383.09"/>
    <n v="0"/>
    <n v="213.81"/>
    <s v="Concluída"/>
    <n v="383.09"/>
    <n v="0"/>
    <n v="383.09"/>
    <n v="213.81"/>
    <n v="169.27999999999997"/>
    <n v="0.44188049805528723"/>
  </r>
  <r>
    <s v="VD-0861"/>
    <d v="2025-12-22T00:00:00"/>
    <x v="6"/>
    <x v="0"/>
    <s v="Marketplace"/>
    <s v="Giovana Melo"/>
    <s v="Acessórios"/>
    <s v="Óculos Sol"/>
    <n v="1"/>
    <n v="400.97"/>
    <n v="0.25"/>
    <n v="173.21"/>
    <s v="Concluída"/>
    <n v="400.97"/>
    <n v="100.24250000000001"/>
    <n v="300.72750000000002"/>
    <n v="173.21"/>
    <n v="127.51750000000001"/>
    <n v="0.42403006043677416"/>
  </r>
  <r>
    <s v="VD-0891"/>
    <d v="2025-12-22T00:00:00"/>
    <x v="6"/>
    <x v="0"/>
    <s v="Televendas"/>
    <s v="Ana Costa"/>
    <s v="Esporte"/>
    <s v="Bike Urbana"/>
    <n v="2"/>
    <n v="2302.4899999999998"/>
    <n v="0.05"/>
    <n v="1633.36"/>
    <s v="Concluída"/>
    <n v="4604.9799999999996"/>
    <n v="230.249"/>
    <n v="4374.7309999999998"/>
    <n v="3266.72"/>
    <n v="1108.011"/>
    <n v="0.2532752299512816"/>
  </r>
  <r>
    <s v="VD-0905"/>
    <d v="2025-12-22T00:00:00"/>
    <x v="5"/>
    <x v="1"/>
    <s v="E-commerce"/>
    <s v="Ana Costa"/>
    <s v="Informática"/>
    <s v="Notebook Nova 14"/>
    <n v="1"/>
    <n v="3778.55"/>
    <n v="0.03"/>
    <n v="2921.11"/>
    <s v="Concluída"/>
    <n v="3778.55"/>
    <n v="113.3565"/>
    <n v="3665.1935000000003"/>
    <n v="2921.11"/>
    <n v="744.08350000000019"/>
    <n v="0.20301342889536395"/>
  </r>
  <r>
    <s v="VD-0885"/>
    <d v="2025-12-24T00:00:00"/>
    <x v="5"/>
    <x v="1"/>
    <s v="Marketplace"/>
    <s v="Elisa Rocha"/>
    <s v="Informática"/>
    <s v="Notebook Nova 14"/>
    <n v="2"/>
    <n v="4154.0600000000004"/>
    <n v="0.05"/>
    <n v="3355.75"/>
    <s v="Concluída"/>
    <n v="8308.1200000000008"/>
    <n v="415.40600000000006"/>
    <n v="7892.7140000000009"/>
    <n v="6711.5"/>
    <n v="1181.2140000000009"/>
    <n v="0.14965878657202081"/>
  </r>
  <r>
    <s v="VD-0851"/>
    <d v="2025-12-25T00:00:00"/>
    <x v="4"/>
    <x v="2"/>
    <s v="Loja Física"/>
    <s v="Camila Souza"/>
    <s v="Esporte"/>
    <s v="Halteres 10kg"/>
    <n v="1"/>
    <n v="344.84"/>
    <n v="0.05"/>
    <n v="193.29"/>
    <s v="Concluída"/>
    <n v="344.84"/>
    <n v="17.242000000000001"/>
    <n v="327.59799999999996"/>
    <n v="193.29"/>
    <n v="134.30799999999996"/>
    <n v="0.40997808289427889"/>
  </r>
  <r>
    <s v="VD-0858"/>
    <d v="2025-12-25T00:00:00"/>
    <x v="3"/>
    <x v="2"/>
    <s v="Loja Física"/>
    <s v="Felipe Martins"/>
    <s v="Acessórios"/>
    <s v="Óculos Sol"/>
    <n v="2"/>
    <n v="376.45"/>
    <n v="0.1"/>
    <n v="166.9"/>
    <s v="Concluída"/>
    <n v="752.9"/>
    <n v="75.290000000000006"/>
    <n v="677.61"/>
    <n v="333.8"/>
    <n v="343.81"/>
    <n v="0.50738625463024456"/>
  </r>
  <r>
    <s v="VD-0917"/>
    <d v="2025-12-25T00:00:00"/>
    <x v="2"/>
    <x v="1"/>
    <s v="Loja Física"/>
    <s v="Diego Alves"/>
    <s v="Beleza"/>
    <s v="Creme Facial"/>
    <n v="1"/>
    <n v="146.88999999999999"/>
    <n v="0"/>
    <n v="52.52"/>
    <s v="Concluída"/>
    <n v="146.88999999999999"/>
    <n v="0"/>
    <n v="146.88999999999999"/>
    <n v="52.52"/>
    <n v="94.369999999999976"/>
    <n v="0.64245353666008564"/>
  </r>
  <r>
    <s v="VD-0935"/>
    <d v="2025-12-25T00:00:00"/>
    <x v="7"/>
    <x v="3"/>
    <s v="Loja Física"/>
    <s v="Felipe Martins"/>
    <s v="Casa"/>
    <s v="Air Fryer 5L"/>
    <n v="1"/>
    <n v="639.67999999999995"/>
    <n v="0.05"/>
    <n v="352.16"/>
    <s v="Concluída"/>
    <n v="639.67999999999995"/>
    <n v="31.983999999999998"/>
    <n v="607.69599999999991"/>
    <n v="352.16"/>
    <n v="255.53599999999989"/>
    <n v="0.42049972354598342"/>
  </r>
  <r>
    <s v="VD-0853"/>
    <d v="2025-12-26T00:00:00"/>
    <x v="0"/>
    <x v="0"/>
    <s v="E-commerce"/>
    <s v="Felipe Martins"/>
    <s v="Casa"/>
    <s v="Cadeira Escritório"/>
    <n v="1"/>
    <n v="1096.1400000000001"/>
    <n v="0.03"/>
    <n v="797"/>
    <s v="Concluída"/>
    <n v="1096.1400000000001"/>
    <n v="32.8842"/>
    <n v="1063.2558000000001"/>
    <n v="797"/>
    <n v="266.25580000000014"/>
    <n v="0.25041556321630232"/>
  </r>
  <r>
    <s v="VD-0862"/>
    <d v="2025-12-26T00:00:00"/>
    <x v="2"/>
    <x v="1"/>
    <s v="E-commerce"/>
    <s v="Camila Souza"/>
    <s v="Esporte"/>
    <s v="Bike Urbana"/>
    <n v="1"/>
    <n v="2117.7199999999998"/>
    <n v="0.05"/>
    <n v="1498.15"/>
    <s v="Concluída"/>
    <n v="2117.7199999999998"/>
    <n v="105.886"/>
    <n v="2011.8339999999998"/>
    <n v="1498.15"/>
    <n v="513.68399999999974"/>
    <n v="0.25533120525848546"/>
  </r>
  <r>
    <s v="VD-0871"/>
    <d v="2025-12-26T00:00:00"/>
    <x v="3"/>
    <x v="2"/>
    <s v="E-commerce"/>
    <s v="Giovana Melo"/>
    <s v="Beleza"/>
    <s v="Creme Facial"/>
    <n v="1"/>
    <n v="155.63999999999999"/>
    <n v="0.22500000000000001"/>
    <n v="55.37"/>
    <s v="Concluída"/>
    <n v="155.63999999999999"/>
    <n v="35.018999999999998"/>
    <n v="120.62099999999998"/>
    <n v="55.37"/>
    <n v="65.250999999999976"/>
    <n v="0.54095887117500263"/>
  </r>
  <r>
    <s v="VD-0890"/>
    <d v="2025-12-26T00:00:00"/>
    <x v="6"/>
    <x v="0"/>
    <s v="Loja Física"/>
    <s v="João Pedro"/>
    <s v="Informática"/>
    <s v="Fone Wave"/>
    <n v="1"/>
    <n v="256.64999999999998"/>
    <n v="0.1"/>
    <n v="119.39"/>
    <s v="Concluída"/>
    <n v="256.64999999999998"/>
    <n v="25.664999999999999"/>
    <n v="230.98499999999999"/>
    <n v="119.39"/>
    <n v="111.59499999999998"/>
    <n v="0.4831266099530272"/>
  </r>
  <r>
    <s v="VD-0913"/>
    <d v="2025-12-26T00:00:00"/>
    <x v="6"/>
    <x v="0"/>
    <s v="Televendas"/>
    <s v="Ana Costa"/>
    <s v="Casa"/>
    <s v="Air Fryer 5L"/>
    <n v="1"/>
    <n v="642.28"/>
    <n v="0.12"/>
    <n v="368.86"/>
    <s v="Concluída"/>
    <n v="642.28"/>
    <n v="77.073599999999999"/>
    <n v="565.20640000000003"/>
    <n v="368.86"/>
    <n v="196.34640000000002"/>
    <n v="0.34738884768466882"/>
  </r>
  <r>
    <s v="VD-0915"/>
    <d v="2025-12-26T00:00:00"/>
    <x v="5"/>
    <x v="1"/>
    <s v="E-commerce"/>
    <s v="Marcos Silva"/>
    <s v="Acessórios"/>
    <s v="Relógio Fit"/>
    <n v="1"/>
    <n v="724.12"/>
    <n v="0.2"/>
    <n v="349.27"/>
    <s v="Concluída"/>
    <n v="724.12"/>
    <n v="144.82400000000001"/>
    <n v="579.29600000000005"/>
    <n v="349.27"/>
    <n v="230.02600000000007"/>
    <n v="0.39707852289675755"/>
  </r>
  <r>
    <s v="VD-0946"/>
    <d v="2025-12-26T00:00:00"/>
    <x v="6"/>
    <x v="0"/>
    <s v="Loja Física"/>
    <s v="Larissa Freitas"/>
    <s v="Acessórios"/>
    <s v="Relógio Fit"/>
    <n v="1"/>
    <n v="689.61"/>
    <n v="0.1"/>
    <n v="328.17"/>
    <s v="Concluída"/>
    <n v="689.61"/>
    <n v="68.960999999999999"/>
    <n v="620.649"/>
    <n v="328.17"/>
    <n v="292.47899999999998"/>
    <n v="0.47124703334735091"/>
  </r>
  <r>
    <s v="VD-0951"/>
    <d v="2025-12-26T00:00:00"/>
    <x v="2"/>
    <x v="1"/>
    <s v="Loja Física"/>
    <s v="Marcos Silva"/>
    <s v="Beleza"/>
    <s v="Creme Facial"/>
    <n v="2"/>
    <n v="150.34"/>
    <n v="0.05"/>
    <n v="52.14"/>
    <s v="Concluída"/>
    <n v="300.68"/>
    <n v="15.034000000000001"/>
    <n v="285.64600000000002"/>
    <n v="104.28"/>
    <n v="181.36600000000001"/>
    <n v="0.63493274892699358"/>
  </r>
  <r>
    <s v="VD-0888"/>
    <d v="2025-12-28T00:00:00"/>
    <x v="2"/>
    <x v="1"/>
    <s v="Televendas"/>
    <s v="Bruno Lima"/>
    <s v="Acessórios"/>
    <s v="Relógio Fit"/>
    <n v="2"/>
    <n v="665.78"/>
    <n v="0.1"/>
    <n v="330.07"/>
    <s v="Concluída"/>
    <n v="1331.56"/>
    <n v="133.15600000000001"/>
    <n v="1198.404"/>
    <n v="660.14"/>
    <n v="538.26400000000001"/>
    <n v="0.44915070376934657"/>
  </r>
  <r>
    <s v="VD-0924"/>
    <d v="2025-12-28T00:00:00"/>
    <x v="2"/>
    <x v="1"/>
    <s v="Marketplace"/>
    <s v="Marcos Silva"/>
    <s v="Casa"/>
    <s v="Panela Pressão 6L"/>
    <n v="1"/>
    <n v="473.55"/>
    <n v="0.1"/>
    <n v="269.88"/>
    <s v="Concluída"/>
    <n v="473.55"/>
    <n v="47.355000000000004"/>
    <n v="426.19499999999999"/>
    <n v="269.88"/>
    <n v="156.315"/>
    <n v="0.36676873262239118"/>
  </r>
  <r>
    <s v="VD-0931"/>
    <d v="2025-12-28T00:00:00"/>
    <x v="0"/>
    <x v="0"/>
    <s v="E-commerce"/>
    <s v="Bruno Lima"/>
    <s v="Esporte"/>
    <s v="Halteres 10kg"/>
    <n v="1"/>
    <n v="362.42"/>
    <n v="0.15"/>
    <n v="198.07"/>
    <s v="Concluída"/>
    <n v="362.42"/>
    <n v="54.363"/>
    <n v="308.05700000000002"/>
    <n v="198.07"/>
    <n v="109.98700000000002"/>
    <n v="0.35703457477025363"/>
  </r>
  <r>
    <s v="VD-0933"/>
    <d v="2025-12-28T00:00:00"/>
    <x v="1"/>
    <x v="0"/>
    <s v="Loja Física"/>
    <s v="Elisa Rocha"/>
    <s v="Informática"/>
    <s v="Notebook Nova 14"/>
    <n v="1"/>
    <n v="3617.12"/>
    <n v="0.17499999999999999"/>
    <n v="2844.58"/>
    <s v="Concluída"/>
    <n v="3617.12"/>
    <n v="632.99599999999998"/>
    <n v="2984.1239999999998"/>
    <n v="2844.58"/>
    <n v="139.54399999999987"/>
    <n v="4.676213186851480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41529-38FC-44C7-A36B-E5809AE2C45E}" name="Tabela dinâ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ótulos de Linha,">
  <location ref="I19:L24" firstHeaderRow="0" firstDataRow="1" firstDataCol="1"/>
  <pivotFields count="20"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showAll="0"/>
    <pivotField numFmtId="14" showAll="0"/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>
      <items count="6">
        <item x="4"/>
        <item x="0"/>
        <item x="2"/>
        <item x="3"/>
        <item x="1"/>
        <item t="default"/>
      </items>
    </pivotField>
    <pivotField showAll="0"/>
    <pivotField numFmtId="1" showAll="0"/>
    <pivotField numFmtId="164" showAll="0"/>
    <pivotField numFmtId="9" showAll="0"/>
    <pivotField numFmtId="164" showAll="0"/>
    <pivotField showAll="0"/>
    <pivotField numFmtId="164" showAll="0"/>
    <pivotField dataField="1" numFmtId="164" showAll="0"/>
    <pivotField dataField="1" numFmtId="164" showAll="0"/>
    <pivotField numFmtId="164" showAll="0"/>
    <pivotField dataField="1" numFmtId="164" showAll="0"/>
    <pivotField showAll="0"/>
  </pivotFields>
  <rowFields count="1">
    <field x="5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Lucro_Bruto_R$" fld="18" baseField="0" baseItem="0" numFmtId="164"/>
    <dataField name="Soma de Receita_Líquida_R$" fld="16" baseField="0" baseItem="0" numFmtId="164"/>
    <dataField name="Soma de Desconto_R$" fld="15" baseField="0" baseItem="0" numFmtId="164"/>
  </dataFields>
  <formats count="3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814A-35C3-4A37-BA49-814EF5B9E1A6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10:K16" firstHeaderRow="0" firstDataRow="1" firstDataCol="1"/>
  <pivotFields count="20"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numFmtId="1" showAll="0"/>
    <pivotField numFmtId="164" showAll="0"/>
    <pivotField numFmtId="9" showAll="0"/>
    <pivotField numFmtId="164" showAll="0"/>
    <pivotField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_Líquida_R$" fld="16" baseField="0" baseItem="0"/>
    <dataField name="Soma de Lucro_Bruto_R$" fld="18" baseField="0" baseItem="0" numFmtId="164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FFD67-C9E5-4AC2-A977-56FA842D1E69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Rótulos de Linha,">
  <location ref="I27:K40" firstHeaderRow="0" firstDataRow="1" firstDataCol="1"/>
  <pivotFields count="20"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f="1" x="13"/>
        <item f="1" x="14"/>
        <item f="1" x="15"/>
        <item f="1" x="16"/>
        <item f="1" x="17"/>
        <item f="1" x="18"/>
        <item f="1" x="19"/>
        <item f="1" x="20"/>
        <item t="default"/>
      </items>
    </pivotField>
    <pivotField showAll="0"/>
    <pivotField numFmtId="14"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axis="axisRow" showAll="0" sortType="descending">
      <items count="14">
        <item x="7"/>
        <item x="0"/>
        <item x="9"/>
        <item x="1"/>
        <item x="5"/>
        <item x="8"/>
        <item x="6"/>
        <item x="11"/>
        <item x="10"/>
        <item x="3"/>
        <item x="4"/>
        <item x="2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6">
        <item x="4"/>
        <item x="0"/>
        <item x="2"/>
        <item x="3"/>
        <item x="1"/>
        <item t="default"/>
      </items>
    </pivotField>
    <pivotField showAll="0"/>
    <pivotField dataField="1" numFmtId="1" showAll="0">
      <items count="4">
        <item x="0"/>
        <item x="1"/>
        <item x="2"/>
        <item t="default"/>
      </items>
    </pivotField>
    <pivotField numFmtId="164" showAll="0"/>
    <pivotField numFmtId="9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>
      <items count="909">
        <item x="251"/>
        <item x="286"/>
        <item x="706"/>
        <item x="2"/>
        <item x="769"/>
        <item x="514"/>
        <item x="805"/>
        <item x="573"/>
        <item x="16"/>
        <item x="675"/>
        <item x="870"/>
        <item x="631"/>
        <item x="822"/>
        <item x="688"/>
        <item x="64"/>
        <item x="827"/>
        <item x="406"/>
        <item x="672"/>
        <item x="259"/>
        <item x="10"/>
        <item x="586"/>
        <item x="551"/>
        <item x="215"/>
        <item x="369"/>
        <item x="401"/>
        <item x="185"/>
        <item x="898"/>
        <item x="391"/>
        <item x="302"/>
        <item x="529"/>
        <item x="400"/>
        <item x="230"/>
        <item x="426"/>
        <item x="605"/>
        <item x="427"/>
        <item x="763"/>
        <item x="545"/>
        <item x="826"/>
        <item x="504"/>
        <item x="634"/>
        <item x="799"/>
        <item x="859"/>
        <item x="832"/>
        <item x="533"/>
        <item x="847"/>
        <item x="36"/>
        <item x="157"/>
        <item x="534"/>
        <item x="839"/>
        <item x="718"/>
        <item x="174"/>
        <item x="487"/>
        <item x="503"/>
        <item x="740"/>
        <item x="699"/>
        <item x="152"/>
        <item x="409"/>
        <item x="178"/>
        <item x="802"/>
        <item x="109"/>
        <item x="446"/>
        <item x="723"/>
        <item x="19"/>
        <item x="456"/>
        <item x="23"/>
        <item x="348"/>
        <item x="54"/>
        <item x="523"/>
        <item x="878"/>
        <item x="831"/>
        <item x="255"/>
        <item x="278"/>
        <item x="65"/>
        <item x="497"/>
        <item x="788"/>
        <item x="228"/>
        <item x="267"/>
        <item x="505"/>
        <item x="231"/>
        <item x="828"/>
        <item x="47"/>
        <item x="725"/>
        <item x="102"/>
        <item x="168"/>
        <item x="431"/>
        <item x="83"/>
        <item x="635"/>
        <item x="315"/>
        <item x="746"/>
        <item x="199"/>
        <item x="418"/>
        <item x="749"/>
        <item x="507"/>
        <item x="436"/>
        <item x="131"/>
        <item x="170"/>
        <item x="638"/>
        <item x="69"/>
        <item x="623"/>
        <item x="424"/>
        <item x="595"/>
        <item x="327"/>
        <item x="190"/>
        <item x="105"/>
        <item x="342"/>
        <item x="143"/>
        <item x="97"/>
        <item x="678"/>
        <item x="209"/>
        <item x="288"/>
        <item x="249"/>
        <item x="743"/>
        <item x="596"/>
        <item x="294"/>
        <item x="450"/>
        <item x="395"/>
        <item x="482"/>
        <item x="543"/>
        <item x="380"/>
        <item x="235"/>
        <item x="731"/>
        <item x="133"/>
        <item x="59"/>
        <item x="377"/>
        <item x="351"/>
        <item x="411"/>
        <item x="279"/>
        <item x="872"/>
        <item x="107"/>
        <item x="790"/>
        <item x="388"/>
        <item x="242"/>
        <item x="865"/>
        <item x="51"/>
        <item x="652"/>
        <item x="196"/>
        <item x="525"/>
        <item x="837"/>
        <item x="765"/>
        <item x="87"/>
        <item x="184"/>
        <item x="175"/>
        <item x="851"/>
        <item x="857"/>
        <item x="7"/>
        <item x="389"/>
        <item x="307"/>
        <item x="340"/>
        <item x="24"/>
        <item x="680"/>
        <item x="883"/>
        <item x="591"/>
        <item x="894"/>
        <item x="99"/>
        <item x="570"/>
        <item x="751"/>
        <item x="208"/>
        <item x="715"/>
        <item x="696"/>
        <item x="383"/>
        <item x="583"/>
        <item x="18"/>
        <item x="330"/>
        <item x="237"/>
        <item x="62"/>
        <item x="61"/>
        <item x="316"/>
        <item x="626"/>
        <item x="797"/>
        <item x="216"/>
        <item x="585"/>
        <item x="30"/>
        <item x="702"/>
        <item x="108"/>
        <item x="349"/>
        <item x="57"/>
        <item x="556"/>
        <item x="758"/>
        <item x="32"/>
        <item x="91"/>
        <item x="766"/>
        <item x="14"/>
        <item x="768"/>
        <item x="248"/>
        <item x="862"/>
        <item x="861"/>
        <item x="265"/>
        <item x="329"/>
        <item x="886"/>
        <item x="314"/>
        <item x="509"/>
        <item x="37"/>
        <item x="113"/>
        <item x="122"/>
        <item x="542"/>
        <item x="721"/>
        <item x="130"/>
        <item x="26"/>
        <item x="66"/>
        <item x="756"/>
        <item x="491"/>
        <item x="864"/>
        <item x="795"/>
        <item x="547"/>
        <item x="214"/>
        <item x="841"/>
        <item x="103"/>
        <item x="906"/>
        <item x="480"/>
        <item x="201"/>
        <item x="71"/>
        <item x="155"/>
        <item x="296"/>
        <item x="899"/>
        <item x="403"/>
        <item x="405"/>
        <item x="140"/>
        <item x="853"/>
        <item x="331"/>
        <item x="363"/>
        <item x="467"/>
        <item x="321"/>
        <item x="202"/>
        <item x="796"/>
        <item x="167"/>
        <item x="1"/>
        <item x="593"/>
        <item x="603"/>
        <item x="270"/>
        <item x="221"/>
        <item x="350"/>
        <item x="34"/>
        <item x="417"/>
        <item x="535"/>
        <item x="627"/>
        <item x="49"/>
        <item x="811"/>
        <item x="81"/>
        <item x="300"/>
        <item x="816"/>
        <item x="684"/>
        <item x="842"/>
        <item x="510"/>
        <item x="559"/>
        <item x="443"/>
        <item x="572"/>
        <item x="358"/>
        <item x="463"/>
        <item x="256"/>
        <item x="575"/>
        <item x="703"/>
        <item x="442"/>
        <item x="495"/>
        <item x="637"/>
        <item x="303"/>
        <item x="320"/>
        <item x="192"/>
        <item x="206"/>
        <item x="792"/>
        <item x="735"/>
        <item x="582"/>
        <item x="647"/>
        <item x="754"/>
        <item x="460"/>
        <item x="478"/>
        <item x="444"/>
        <item x="633"/>
        <item x="665"/>
        <item x="118"/>
        <item x="347"/>
        <item x="473"/>
        <item x="156"/>
        <item x="612"/>
        <item x="888"/>
        <item x="801"/>
        <item x="318"/>
        <item x="226"/>
        <item x="367"/>
        <item x="52"/>
        <item x="469"/>
        <item x="22"/>
        <item x="511"/>
        <item x="366"/>
        <item x="803"/>
        <item x="92"/>
        <item x="809"/>
        <item x="880"/>
        <item x="0"/>
        <item x="375"/>
        <item x="580"/>
        <item x="212"/>
        <item x="690"/>
        <item x="838"/>
        <item x="50"/>
        <item x="518"/>
        <item x="441"/>
        <item x="852"/>
        <item x="610"/>
        <item x="223"/>
        <item x="530"/>
        <item x="218"/>
        <item x="787"/>
        <item x="285"/>
        <item x="75"/>
        <item x="892"/>
        <item x="681"/>
        <item x="362"/>
        <item x="85"/>
        <item x="719"/>
        <item x="739"/>
        <item x="253"/>
        <item x="483"/>
        <item x="322"/>
        <item x="700"/>
        <item x="324"/>
        <item x="730"/>
        <item x="565"/>
        <item x="95"/>
        <item x="592"/>
        <item x="657"/>
        <item x="876"/>
        <item x="27"/>
        <item x="262"/>
        <item x="134"/>
        <item x="13"/>
        <item x="907"/>
        <item x="310"/>
        <item x="554"/>
        <item x="260"/>
        <item x="844"/>
        <item x="146"/>
        <item x="650"/>
        <item x="722"/>
        <item x="499"/>
        <item x="873"/>
        <item x="602"/>
        <item x="794"/>
        <item x="713"/>
        <item x="856"/>
        <item x="671"/>
        <item x="855"/>
        <item x="820"/>
        <item x="552"/>
        <item x="193"/>
        <item x="537"/>
        <item x="429"/>
        <item x="98"/>
        <item x="194"/>
        <item x="447"/>
        <item x="408"/>
        <item x="111"/>
        <item x="648"/>
        <item x="649"/>
        <item x="526"/>
        <item x="807"/>
        <item x="240"/>
        <item x="68"/>
        <item x="485"/>
        <item x="188"/>
        <item x="171"/>
        <item x="594"/>
        <item x="520"/>
        <item x="428"/>
        <item x="729"/>
        <item x="224"/>
        <item x="479"/>
        <item x="169"/>
        <item x="521"/>
        <item x="313"/>
        <item x="161"/>
        <item x="453"/>
        <item x="643"/>
        <item x="241"/>
        <item x="466"/>
        <item x="344"/>
        <item x="449"/>
        <item x="419"/>
        <item x="464"/>
        <item x="53"/>
        <item x="94"/>
        <item x="353"/>
        <item x="804"/>
        <item x="738"/>
        <item x="717"/>
        <item x="20"/>
        <item x="407"/>
        <item x="726"/>
        <item x="812"/>
        <item x="346"/>
        <item x="271"/>
        <item x="197"/>
        <item x="468"/>
        <item x="871"/>
        <item x="162"/>
        <item x="334"/>
        <item x="290"/>
        <item x="46"/>
        <item x="905"/>
        <item x="392"/>
        <item x="512"/>
        <item x="858"/>
        <item x="225"/>
        <item x="728"/>
        <item x="774"/>
        <item x="704"/>
        <item x="96"/>
        <item x="40"/>
        <item x="860"/>
        <item x="869"/>
        <item x="89"/>
        <item x="337"/>
        <item x="724"/>
        <item x="361"/>
        <item x="494"/>
        <item x="598"/>
        <item x="282"/>
        <item x="677"/>
        <item x="848"/>
        <item x="624"/>
        <item x="786"/>
        <item x="760"/>
        <item x="571"/>
        <item x="4"/>
        <item x="716"/>
        <item x="435"/>
        <item x="686"/>
        <item x="247"/>
        <item x="524"/>
        <item x="532"/>
        <item x="597"/>
        <item x="609"/>
        <item x="181"/>
        <item x="784"/>
        <item x="445"/>
        <item x="67"/>
        <item x="825"/>
        <item x="539"/>
        <item x="393"/>
        <item x="617"/>
        <item x="663"/>
        <item x="789"/>
        <item x="382"/>
        <item x="628"/>
        <item x="364"/>
        <item x="207"/>
        <item x="823"/>
        <item x="772"/>
        <item x="25"/>
        <item x="354"/>
        <item x="613"/>
        <item x="887"/>
        <item x="771"/>
        <item x="149"/>
        <item x="611"/>
        <item x="697"/>
        <item x="245"/>
        <item x="709"/>
        <item x="600"/>
        <item x="451"/>
        <item x="425"/>
        <item x="622"/>
        <item x="291"/>
        <item x="370"/>
        <item x="455"/>
        <item x="145"/>
        <item x="541"/>
        <item x="519"/>
        <item x="750"/>
        <item x="421"/>
        <item x="829"/>
        <item x="141"/>
        <item x="269"/>
        <item x="166"/>
        <item x="258"/>
        <item x="821"/>
        <item x="86"/>
        <item x="745"/>
        <item x="266"/>
        <item x="783"/>
        <item x="119"/>
        <item x="604"/>
        <item x="666"/>
        <item x="365"/>
        <item x="752"/>
        <item x="78"/>
        <item x="903"/>
        <item x="682"/>
        <item x="384"/>
        <item x="590"/>
        <item x="694"/>
        <item x="74"/>
        <item x="158"/>
        <item x="398"/>
        <item x="734"/>
        <item x="814"/>
        <item x="217"/>
        <item x="780"/>
        <item x="12"/>
        <item x="513"/>
        <item x="759"/>
        <item x="15"/>
        <item x="664"/>
        <item x="73"/>
        <item x="385"/>
        <item x="546"/>
        <item x="332"/>
        <item x="304"/>
        <item x="38"/>
        <item x="301"/>
        <item x="136"/>
        <item x="517"/>
        <item x="496"/>
        <item x="879"/>
        <item x="458"/>
        <item x="599"/>
        <item x="900"/>
        <item x="205"/>
        <item x="819"/>
        <item x="381"/>
        <item x="165"/>
        <item x="877"/>
        <item x="219"/>
        <item x="261"/>
        <item x="506"/>
        <item x="885"/>
        <item x="515"/>
        <item x="846"/>
        <item x="522"/>
        <item x="139"/>
        <item x="275"/>
        <item x="708"/>
        <item x="116"/>
        <item x="60"/>
        <item x="661"/>
        <item x="48"/>
        <item x="125"/>
        <item x="376"/>
        <item x="881"/>
        <item x="553"/>
        <item x="9"/>
        <item x="474"/>
        <item x="396"/>
        <item x="305"/>
        <item x="481"/>
        <item x="710"/>
        <item x="488"/>
        <item x="72"/>
        <item x="164"/>
        <item x="695"/>
        <item x="683"/>
        <item x="770"/>
        <item x="698"/>
        <item x="849"/>
        <item x="868"/>
        <item x="28"/>
        <item x="200"/>
        <item x="432"/>
        <item x="798"/>
        <item x="642"/>
        <item x="475"/>
        <item x="659"/>
        <item x="866"/>
        <item x="410"/>
        <item x="309"/>
        <item x="55"/>
        <item x="540"/>
        <item x="500"/>
        <item x="77"/>
        <item x="312"/>
        <item x="203"/>
        <item x="238"/>
        <item x="319"/>
        <item x="528"/>
        <item x="808"/>
        <item x="283"/>
        <item x="742"/>
        <item x="566"/>
        <item x="378"/>
        <item x="714"/>
        <item x="437"/>
        <item x="619"/>
        <item x="17"/>
        <item x="901"/>
        <item x="39"/>
        <item x="88"/>
        <item x="402"/>
        <item x="830"/>
        <item x="644"/>
        <item x="658"/>
        <item x="110"/>
        <item x="211"/>
        <item x="502"/>
        <item x="390"/>
        <item x="56"/>
        <item x="578"/>
        <item x="834"/>
        <item x="641"/>
        <item x="220"/>
        <item x="243"/>
        <item x="195"/>
        <item x="564"/>
        <item x="280"/>
        <item x="297"/>
        <item x="148"/>
        <item x="328"/>
        <item x="660"/>
        <item x="555"/>
        <item x="229"/>
        <item x="755"/>
        <item x="222"/>
        <item x="459"/>
        <item x="470"/>
        <item x="359"/>
        <item x="558"/>
        <item x="581"/>
        <item x="781"/>
        <item x="412"/>
        <item x="45"/>
        <item x="79"/>
        <item x="234"/>
        <item x="399"/>
        <item x="614"/>
        <item x="656"/>
        <item x="172"/>
        <item x="80"/>
        <item x="895"/>
        <item x="387"/>
        <item x="338"/>
        <item x="654"/>
        <item x="11"/>
        <item x="646"/>
        <item x="277"/>
        <item x="355"/>
        <item x="793"/>
        <item x="21"/>
        <item x="492"/>
        <item x="484"/>
        <item x="884"/>
        <item x="562"/>
        <item x="336"/>
        <item x="711"/>
        <item x="896"/>
        <item x="835"/>
        <item x="850"/>
        <item x="824"/>
        <item x="498"/>
        <item x="440"/>
        <item x="608"/>
        <item x="142"/>
        <item x="29"/>
        <item x="246"/>
        <item x="357"/>
        <item x="687"/>
        <item x="373"/>
        <item x="163"/>
        <item x="176"/>
        <item x="800"/>
        <item x="124"/>
        <item x="668"/>
        <item x="325"/>
        <item x="42"/>
        <item x="438"/>
        <item x="560"/>
        <item x="651"/>
        <item x="508"/>
        <item x="268"/>
        <item x="589"/>
        <item x="33"/>
        <item x="70"/>
        <item x="272"/>
        <item x="584"/>
        <item x="394"/>
        <item x="198"/>
        <item x="273"/>
        <item x="882"/>
        <item x="701"/>
        <item x="191"/>
        <item x="806"/>
        <item x="397"/>
        <item x="434"/>
        <item x="244"/>
        <item x="63"/>
        <item x="691"/>
        <item x="902"/>
        <item x="516"/>
        <item x="737"/>
        <item x="284"/>
        <item x="527"/>
        <item x="317"/>
        <item x="639"/>
        <item x="707"/>
        <item x="457"/>
        <item x="448"/>
        <item x="736"/>
        <item x="433"/>
        <item x="773"/>
        <item x="416"/>
        <item x="352"/>
        <item x="452"/>
        <item x="3"/>
        <item x="810"/>
        <item x="147"/>
        <item x="733"/>
        <item x="791"/>
        <item x="785"/>
        <item x="44"/>
        <item x="339"/>
        <item x="210"/>
        <item x="414"/>
        <item x="489"/>
        <item x="843"/>
        <item x="767"/>
        <item x="415"/>
        <item x="101"/>
        <item x="632"/>
        <item x="308"/>
        <item x="252"/>
        <item x="106"/>
        <item x="236"/>
        <item x="6"/>
        <item x="153"/>
        <item x="137"/>
        <item x="306"/>
        <item x="187"/>
        <item x="128"/>
        <item x="43"/>
        <item x="667"/>
        <item x="439"/>
        <item x="93"/>
        <item x="135"/>
        <item x="568"/>
        <item x="490"/>
        <item x="775"/>
        <item x="601"/>
        <item x="782"/>
        <item x="689"/>
        <item x="679"/>
        <item x="836"/>
        <item x="875"/>
        <item x="127"/>
        <item x="150"/>
        <item x="764"/>
        <item x="893"/>
        <item x="287"/>
        <item x="840"/>
        <item x="257"/>
        <item x="662"/>
        <item x="550"/>
        <item x="854"/>
        <item x="420"/>
        <item x="154"/>
        <item x="655"/>
        <item x="239"/>
        <item x="227"/>
        <item x="549"/>
        <item x="757"/>
        <item x="753"/>
        <item x="274"/>
        <item x="576"/>
        <item x="413"/>
        <item x="544"/>
        <item x="333"/>
        <item x="817"/>
        <item x="41"/>
        <item x="577"/>
        <item x="213"/>
        <item x="673"/>
        <item x="183"/>
        <item x="100"/>
        <item x="493"/>
        <item x="741"/>
        <item x="538"/>
        <item x="653"/>
        <item x="561"/>
        <item x="159"/>
        <item x="298"/>
        <item x="621"/>
        <item x="293"/>
        <item x="232"/>
        <item x="557"/>
        <item x="818"/>
        <item x="625"/>
        <item x="84"/>
        <item x="476"/>
        <item x="368"/>
        <item x="845"/>
        <item x="548"/>
        <item x="692"/>
        <item x="276"/>
        <item x="531"/>
        <item x="486"/>
        <item x="263"/>
        <item x="630"/>
        <item x="115"/>
        <item x="341"/>
        <item x="289"/>
        <item x="465"/>
        <item x="404"/>
        <item x="712"/>
        <item x="82"/>
        <item x="732"/>
        <item x="674"/>
        <item x="104"/>
        <item x="616"/>
        <item x="423"/>
        <item x="179"/>
        <item x="180"/>
        <item x="371"/>
        <item x="607"/>
        <item x="778"/>
        <item x="233"/>
        <item x="186"/>
        <item x="693"/>
        <item x="588"/>
        <item x="536"/>
        <item x="779"/>
        <item x="776"/>
        <item x="311"/>
        <item x="461"/>
        <item x="636"/>
        <item x="867"/>
        <item x="897"/>
        <item x="422"/>
        <item x="762"/>
        <item x="151"/>
        <item x="629"/>
        <item x="295"/>
        <item x="720"/>
        <item x="144"/>
        <item x="120"/>
        <item x="904"/>
        <item x="618"/>
        <item x="254"/>
        <item x="264"/>
        <item x="748"/>
        <item x="123"/>
        <item x="747"/>
        <item x="874"/>
        <item x="471"/>
        <item x="372"/>
        <item x="204"/>
        <item x="777"/>
        <item x="112"/>
        <item x="567"/>
        <item x="129"/>
        <item x="138"/>
        <item x="173"/>
        <item x="833"/>
        <item x="281"/>
        <item x="90"/>
        <item x="5"/>
        <item x="477"/>
        <item x="250"/>
        <item x="685"/>
        <item x="386"/>
        <item x="326"/>
        <item x="299"/>
        <item x="727"/>
        <item x="292"/>
        <item x="182"/>
        <item x="863"/>
        <item x="323"/>
        <item x="126"/>
        <item x="76"/>
        <item x="563"/>
        <item x="462"/>
        <item x="343"/>
        <item x="645"/>
        <item x="454"/>
        <item x="360"/>
        <item x="160"/>
        <item x="890"/>
        <item x="356"/>
        <item x="569"/>
        <item x="705"/>
        <item x="744"/>
        <item x="761"/>
        <item x="606"/>
        <item x="35"/>
        <item x="670"/>
        <item x="615"/>
        <item x="669"/>
        <item x="501"/>
        <item x="335"/>
        <item x="472"/>
        <item x="574"/>
        <item x="31"/>
        <item x="813"/>
        <item x="114"/>
        <item x="430"/>
        <item x="676"/>
        <item x="815"/>
        <item x="121"/>
        <item x="132"/>
        <item x="579"/>
        <item x="374"/>
        <item x="587"/>
        <item x="177"/>
        <item x="8"/>
        <item x="640"/>
        <item x="889"/>
        <item x="620"/>
        <item x="117"/>
        <item x="345"/>
        <item x="891"/>
        <item x="379"/>
        <item x="189"/>
        <item x="58"/>
        <item t="default"/>
      </items>
    </pivotField>
    <pivotField showAll="0"/>
  </pivotFields>
  <rowFields count="1">
    <field x="6"/>
  </rowFields>
  <rowItems count="13">
    <i>
      <x v="9"/>
    </i>
    <i>
      <x/>
    </i>
    <i>
      <x v="3"/>
    </i>
    <i>
      <x v="11"/>
    </i>
    <i>
      <x v="5"/>
    </i>
    <i>
      <x v="6"/>
    </i>
    <i>
      <x v="1"/>
    </i>
    <i>
      <x v="4"/>
    </i>
    <i>
      <x v="10"/>
    </i>
    <i>
      <x v="8"/>
    </i>
    <i>
      <x v="2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9" baseField="0" baseItem="0"/>
    <dataField name="Soma de Lucro_Bruto_R$" fld="18" baseField="0" baseItem="0"/>
  </dataFields>
  <formats count="2">
    <format dxfId="5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4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9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6" count="1" selected="0">
            <x v="1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6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1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8F2FB-C74F-437D-BF87-91CEE6A7F2AC}" name="Tabela dinâ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C10:E23" firstHeaderRow="0" firstDataRow="1" firstDataCol="1"/>
  <pivotFields count="20">
    <pivotField axis="axisRow" showAll="0">
      <items count="22">
        <item n="1 - janeiro" x="0"/>
        <item n="2 - Fevereiro" x="1"/>
        <item n="3 - Março" x="2"/>
        <item n="4 - Abril" f="1" x="12"/>
        <item n="5 - Maio" f="1" x="13"/>
        <item n="6 - junho" f="1" x="14"/>
        <item n="7 - julho" f="1" x="15"/>
        <item n="8 - Agosto" f="1" x="16"/>
        <item n="9 - Setembro" f="1" x="17"/>
        <item n="10 - Outubro" f="1" x="18"/>
        <item n="11 - Novembro" f="1" x="19"/>
        <item n="12 - Dezembro" f="1" x="20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numFmtId="9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dataField="1" numFmtId="164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_Bruta_R$" fld="14" baseField="0" baseItem="0" numFmtId="164"/>
    <dataField name="Soma de Lucro_Bruto_R$" fld="18" baseField="0" baseItem="0" numFmtId="164"/>
  </dataFields>
  <formats count="4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590CD-8D97-41C6-8911-8187CF4F5813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C27:E40" firstHeaderRow="0" firstDataRow="1" firstDataCol="1"/>
  <pivotFields count="19">
    <pivotField showAll="0"/>
    <pivotField numFmtId="14" showAll="0"/>
    <pivotField axis="axisRow" showAll="0" sortType="descending">
      <items count="9">
        <item x="1"/>
        <item x="7"/>
        <item x="2"/>
        <item x="5"/>
        <item x="3"/>
        <item x="6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numFmtId="164" showAll="0"/>
    <pivotField numFmtId="9" showAll="0"/>
    <pivotField numFmtId="164" showAll="0"/>
    <pivotField showAll="0"/>
    <pivotField dataField="1" numFmtId="164" showAll="0"/>
    <pivotField numFmtId="164" showAll="0"/>
    <pivotField numFmtId="164" showAll="0"/>
    <pivotField numFmtId="164" showAll="0"/>
    <pivotField dataField="1" numFmtId="164" showAll="0"/>
    <pivotField showAll="0"/>
  </pivotFields>
  <rowFields count="2">
    <field x="3"/>
    <field x="2"/>
  </rowFields>
  <rowItems count="13">
    <i>
      <x v="2"/>
    </i>
    <i r="1">
      <x v="5"/>
    </i>
    <i r="1">
      <x v="7"/>
    </i>
    <i r="1">
      <x/>
    </i>
    <i>
      <x v="3"/>
    </i>
    <i r="1">
      <x v="3"/>
    </i>
    <i r="1">
      <x v="2"/>
    </i>
    <i>
      <x v="1"/>
    </i>
    <i r="1">
      <x v="6"/>
    </i>
    <i r="1">
      <x v="4"/>
    </i>
    <i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_Bruta_R$" fld="13" baseField="0" baseItem="0" numFmtId="164"/>
    <dataField name="Soma de Lucro_Bruto_R$" fld="17" baseField="0" baseItem="0" numFmtId="164"/>
  </dataFields>
  <formats count="3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as2025" displayName="Vendas2025" ref="B1:T953" totalsRowCount="1" totalsRowDxfId="42">
  <autoFilter ref="B1:T952" xr:uid="{00000000-0009-0000-0100-000001000000}"/>
  <tableColumns count="19">
    <tableColumn id="1" xr3:uid="{00000000-0010-0000-0000-000001000000}" name="ID_Venda" totalsRowDxfId="41"/>
    <tableColumn id="2" xr3:uid="{00000000-0010-0000-0000-000002000000}" name="Data" dataDxfId="40" totalsRowDxfId="39"/>
    <tableColumn id="3" xr3:uid="{00000000-0010-0000-0000-000003000000}" name="Loja" totalsRowDxfId="38"/>
    <tableColumn id="4" xr3:uid="{00000000-0010-0000-0000-000004000000}" name="Região" totalsRowDxfId="37"/>
    <tableColumn id="5" xr3:uid="{00000000-0010-0000-0000-000005000000}" name="Canal" totalsRowDxfId="36"/>
    <tableColumn id="6" xr3:uid="{00000000-0010-0000-0000-000006000000}" name="Vendedor" totalsRowDxfId="35"/>
    <tableColumn id="7" xr3:uid="{00000000-0010-0000-0000-000007000000}" name="Categoria" totalsRowDxfId="34"/>
    <tableColumn id="8" xr3:uid="{00000000-0010-0000-0000-000008000000}" name="Produto" totalsRowDxfId="33"/>
    <tableColumn id="9" xr3:uid="{00000000-0010-0000-0000-000009000000}" name="Quantidade" dataDxfId="32" totalsRowDxfId="31"/>
    <tableColumn id="10" xr3:uid="{00000000-0010-0000-0000-00000A000000}" name="Preço_Unitário_R$" dataDxfId="30" totalsRowDxfId="29"/>
    <tableColumn id="11" xr3:uid="{00000000-0010-0000-0000-00000B000000}" name="Desconto_pct" dataDxfId="28" totalsRowDxfId="27" dataCellStyle="Porcentagem"/>
    <tableColumn id="12" xr3:uid="{00000000-0010-0000-0000-00000C000000}" name="Custo_Unitário_R$" dataDxfId="26" totalsRowDxfId="25"/>
    <tableColumn id="13" xr3:uid="{00000000-0010-0000-0000-00000D000000}" name="Status_Pedido" totalsRowDxfId="24"/>
    <tableColumn id="14" xr3:uid="{00000000-0010-0000-0000-00000E000000}" name="Receita_Bruta_R$" totalsRowFunction="sum" dataDxfId="23" totalsRowDxfId="22" dataCellStyle="Moeda" totalsRowCellStyle="Moeda">
      <calculatedColumnFormula>Vendas2025[[#This Row],[Quantidade]]*Vendas2025[[#This Row],[Preço_Unitário_R$]]</calculatedColumnFormula>
    </tableColumn>
    <tableColumn id="15" xr3:uid="{00000000-0010-0000-0000-00000F000000}" name="Desconto_R$" totalsRowFunction="sum" dataDxfId="21" totalsRowDxfId="20" dataCellStyle="Moeda" totalsRowCellStyle="Moeda">
      <calculatedColumnFormula>Vendas2025[[#This Row],[Receita_Bruta_R$]]*Vendas2025[[#This Row],[Desconto_pct]]</calculatedColumnFormula>
    </tableColumn>
    <tableColumn id="16" xr3:uid="{00000000-0010-0000-0000-000010000000}" name="Receita_Líquida_R$" totalsRowFunction="sum" dataDxfId="19" totalsRowDxfId="18" dataCellStyle="Moeda" totalsRowCellStyle="Moeda">
      <calculatedColumnFormula>IF(N2="Concluída",O2-P2,0)</calculatedColumnFormula>
    </tableColumn>
    <tableColumn id="17" xr3:uid="{00000000-0010-0000-0000-000011000000}" name="Custo_Total_R$" totalsRowFunction="sum" dataDxfId="17" totalsRowDxfId="16" dataCellStyle="Moeda" totalsRowCellStyle="Moeda">
      <calculatedColumnFormula>IF(N2="Concluída",J2*M2,0)</calculatedColumnFormula>
    </tableColumn>
    <tableColumn id="18" xr3:uid="{00000000-0010-0000-0000-000012000000}" name="Lucro_Bruto_R$" totalsRowFunction="sum" dataDxfId="15" totalsRowDxfId="14" dataCellStyle="Moeda" totalsRowCellStyle="Moeda">
      <calculatedColumnFormula>Q2-R2</calculatedColumnFormula>
    </tableColumn>
    <tableColumn id="19" xr3:uid="{00000000-0010-0000-0000-000013000000}" name="Margem_Bruta_pct" totalsRowFunction="custom" totalsRowDxfId="13" dataCellStyle="Porcentagem" totalsRowCellStyle="Porcentagem">
      <calculatedColumnFormula>IF(Q2=0,"",S2/Q2)</calculatedColumnFormula>
      <totalsRowFormula>Vendas2025[[#Totals],[Lucro_Bruto_R$]]/Vendas2025[[#Totals],[Receita_Líquida_R$]]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ionarioCampos" displayName="DicionarioCampos" ref="A5:D24" totalsRowShown="0">
  <tableColumns count="4">
    <tableColumn id="1" xr3:uid="{00000000-0010-0000-0100-000001000000}" name="Campo"/>
    <tableColumn id="2" xr3:uid="{00000000-0010-0000-0100-000002000000}" name="O que significa"/>
    <tableColumn id="3" xr3:uid="{00000000-0010-0000-0100-000003000000}" name="Tipo"/>
    <tableColumn id="4" xr3:uid="{00000000-0010-0000-0100-000004000000}" name="Uso / reg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48"/>
  <sheetViews>
    <sheetView showGridLines="0" workbookViewId="0">
      <pane ySplit="3" topLeftCell="A13" activePane="bottomLeft" state="frozen"/>
      <selection pane="bottomLeft"/>
    </sheetView>
  </sheetViews>
  <sheetFormatPr defaultRowHeight="14.25"/>
  <cols>
    <col min="1" max="1" width="12" customWidth="1"/>
    <col min="2" max="2" width="18" customWidth="1"/>
    <col min="3" max="3" width="22" customWidth="1"/>
    <col min="4" max="4" width="26" customWidth="1"/>
    <col min="5" max="8" width="14" customWidth="1"/>
  </cols>
  <sheetData>
    <row r="1" spans="1:8">
      <c r="A1" s="6"/>
      <c r="B1" s="6"/>
      <c r="C1" s="6"/>
      <c r="D1" s="6"/>
      <c r="E1" s="6"/>
      <c r="F1" s="6"/>
      <c r="G1" s="6"/>
      <c r="H1" s="6"/>
    </row>
    <row r="2" spans="1:8" ht="20.25">
      <c r="A2" s="76" t="s">
        <v>0</v>
      </c>
      <c r="B2" s="76"/>
      <c r="C2" s="76"/>
      <c r="D2" s="76"/>
      <c r="E2" s="76"/>
      <c r="F2" s="76"/>
      <c r="G2" s="76"/>
      <c r="H2" s="76"/>
    </row>
    <row r="3" spans="1:8">
      <c r="A3" s="77" t="s">
        <v>1</v>
      </c>
      <c r="B3" s="77"/>
      <c r="C3" s="77"/>
      <c r="D3" s="77"/>
      <c r="E3" s="77"/>
      <c r="F3" s="77"/>
      <c r="G3" s="77"/>
      <c r="H3" s="77"/>
    </row>
    <row r="4" spans="1:8">
      <c r="A4" s="6"/>
      <c r="B4" s="6"/>
      <c r="C4" s="6"/>
      <c r="D4" s="6"/>
      <c r="E4" s="6"/>
      <c r="F4" s="6"/>
      <c r="G4" s="6"/>
      <c r="H4" s="6"/>
    </row>
    <row r="5" spans="1:8" ht="21.95" customHeight="1">
      <c r="A5" s="2" t="s">
        <v>2</v>
      </c>
      <c r="B5" s="2"/>
      <c r="C5" s="2"/>
      <c r="D5" s="2"/>
      <c r="E5" s="2"/>
      <c r="F5" s="2"/>
      <c r="G5" s="2"/>
      <c r="H5" s="2"/>
    </row>
    <row r="6" spans="1:8" ht="30" customHeight="1">
      <c r="A6" s="78" t="s">
        <v>3</v>
      </c>
      <c r="B6" s="78"/>
      <c r="C6" s="78"/>
      <c r="D6" s="78"/>
      <c r="E6" s="78"/>
      <c r="F6" s="78"/>
      <c r="G6" s="78"/>
      <c r="H6" s="78"/>
    </row>
    <row r="7" spans="1:8" ht="30" customHeight="1">
      <c r="A7" s="78"/>
      <c r="B7" s="78"/>
      <c r="C7" s="78"/>
      <c r="D7" s="78"/>
      <c r="E7" s="78"/>
      <c r="F7" s="78"/>
      <c r="G7" s="78"/>
      <c r="H7" s="78"/>
    </row>
    <row r="8" spans="1:8">
      <c r="A8" s="6"/>
      <c r="B8" s="6"/>
      <c r="C8" s="6"/>
      <c r="D8" s="6"/>
      <c r="E8" s="6"/>
      <c r="F8" s="6"/>
      <c r="G8" s="6"/>
      <c r="H8" s="6"/>
    </row>
    <row r="9" spans="1:8" ht="21.95" customHeight="1">
      <c r="A9" s="2" t="s">
        <v>4</v>
      </c>
      <c r="B9" s="2"/>
      <c r="C9" s="2"/>
      <c r="D9" s="2"/>
      <c r="E9" s="2"/>
      <c r="F9" s="2"/>
      <c r="G9" s="2"/>
      <c r="H9" s="2"/>
    </row>
    <row r="10" spans="1:8" ht="27" customHeight="1">
      <c r="A10" s="79" t="s">
        <v>5</v>
      </c>
      <c r="B10" s="79"/>
      <c r="C10" s="79"/>
      <c r="D10" s="79"/>
      <c r="E10" s="79"/>
      <c r="F10" s="79"/>
      <c r="G10" s="79"/>
      <c r="H10" s="79"/>
    </row>
    <row r="11" spans="1:8" ht="27" customHeight="1">
      <c r="A11" s="79"/>
      <c r="B11" s="79"/>
      <c r="C11" s="79"/>
      <c r="D11" s="79"/>
      <c r="E11" s="79"/>
      <c r="F11" s="79"/>
      <c r="G11" s="79"/>
      <c r="H11" s="79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 ht="21.95" customHeight="1">
      <c r="A13" s="2" t="s">
        <v>6</v>
      </c>
      <c r="B13" s="2"/>
      <c r="C13" s="2"/>
      <c r="D13" s="2"/>
      <c r="E13" s="2"/>
      <c r="F13" s="2"/>
      <c r="G13" s="2"/>
      <c r="H13" s="2"/>
    </row>
    <row r="14" spans="1:8" ht="32.1" customHeight="1">
      <c r="A14" s="7" t="s">
        <v>7</v>
      </c>
      <c r="B14" s="74" t="s">
        <v>8</v>
      </c>
      <c r="C14" s="74"/>
      <c r="D14" s="74"/>
      <c r="E14" s="74"/>
      <c r="F14" s="74"/>
      <c r="G14" s="74"/>
      <c r="H14" s="74"/>
    </row>
    <row r="15" spans="1:8" ht="32.1" customHeight="1">
      <c r="A15" s="8" t="s">
        <v>9</v>
      </c>
      <c r="B15" s="73" t="s">
        <v>10</v>
      </c>
      <c r="C15" s="73"/>
      <c r="D15" s="73"/>
      <c r="E15" s="73"/>
      <c r="F15" s="73"/>
      <c r="G15" s="73"/>
      <c r="H15" s="73"/>
    </row>
    <row r="16" spans="1:8" ht="32.1" customHeight="1">
      <c r="A16" s="8" t="s">
        <v>11</v>
      </c>
      <c r="B16" s="73" t="s">
        <v>12</v>
      </c>
      <c r="C16" s="73"/>
      <c r="D16" s="73"/>
      <c r="E16" s="73"/>
      <c r="F16" s="73"/>
      <c r="G16" s="73"/>
      <c r="H16" s="73"/>
    </row>
    <row r="17" spans="1:8" ht="32.1" customHeight="1">
      <c r="A17" s="8" t="s">
        <v>13</v>
      </c>
      <c r="B17" s="73" t="s">
        <v>14</v>
      </c>
      <c r="C17" s="73"/>
      <c r="D17" s="73"/>
      <c r="E17" s="73"/>
      <c r="F17" s="73"/>
      <c r="G17" s="73"/>
      <c r="H17" s="73"/>
    </row>
    <row r="18" spans="1:8" ht="32.1" customHeight="1">
      <c r="A18" s="9" t="s">
        <v>15</v>
      </c>
      <c r="B18" s="70" t="s">
        <v>16</v>
      </c>
      <c r="C18" s="70"/>
      <c r="D18" s="70"/>
      <c r="E18" s="70"/>
      <c r="F18" s="70"/>
      <c r="G18" s="70"/>
      <c r="H18" s="70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 ht="21.95" customHeight="1">
      <c r="A20" s="2" t="s">
        <v>17</v>
      </c>
      <c r="B20" s="2"/>
      <c r="C20" s="2"/>
      <c r="D20" s="2"/>
      <c r="E20" s="2"/>
      <c r="F20" s="2"/>
      <c r="G20" s="2"/>
      <c r="H20" s="2"/>
    </row>
    <row r="21" spans="1:8">
      <c r="A21" s="10" t="s">
        <v>18</v>
      </c>
      <c r="B21" s="10" t="s">
        <v>19</v>
      </c>
      <c r="C21" s="75" t="s">
        <v>20</v>
      </c>
      <c r="D21" s="75"/>
      <c r="E21" s="75"/>
      <c r="F21" s="75"/>
      <c r="G21" s="75"/>
      <c r="H21" s="75"/>
    </row>
    <row r="22" spans="1:8" ht="36" customHeight="1">
      <c r="A22" s="8" t="s">
        <v>7</v>
      </c>
      <c r="B22" s="11" t="s">
        <v>21</v>
      </c>
      <c r="C22" s="73" t="s">
        <v>22</v>
      </c>
      <c r="D22" s="73"/>
      <c r="E22" s="73"/>
      <c r="F22" s="73"/>
      <c r="G22" s="73"/>
      <c r="H22" s="73"/>
    </row>
    <row r="23" spans="1:8" ht="36" customHeight="1">
      <c r="A23" s="8" t="s">
        <v>9</v>
      </c>
      <c r="B23" s="11" t="s">
        <v>23</v>
      </c>
      <c r="C23" s="73" t="s">
        <v>24</v>
      </c>
      <c r="D23" s="73"/>
      <c r="E23" s="73"/>
      <c r="F23" s="73"/>
      <c r="G23" s="73"/>
      <c r="H23" s="73"/>
    </row>
    <row r="24" spans="1:8" ht="36" customHeight="1">
      <c r="A24" s="9" t="s">
        <v>11</v>
      </c>
      <c r="B24" s="12" t="s">
        <v>25</v>
      </c>
      <c r="C24" s="70" t="s">
        <v>26</v>
      </c>
      <c r="D24" s="70"/>
      <c r="E24" s="70"/>
      <c r="F24" s="70"/>
      <c r="G24" s="70"/>
      <c r="H24" s="70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 ht="21.95" customHeight="1">
      <c r="A26" s="2" t="s">
        <v>27</v>
      </c>
      <c r="B26" s="2"/>
      <c r="C26" s="2"/>
      <c r="D26" s="2"/>
      <c r="E26" s="2"/>
      <c r="F26" s="2"/>
      <c r="G26" s="2"/>
      <c r="H26" s="2"/>
    </row>
    <row r="27" spans="1:8" ht="26.1" customHeight="1">
      <c r="A27" s="7" t="s">
        <v>7</v>
      </c>
      <c r="B27" s="74" t="s">
        <v>28</v>
      </c>
      <c r="C27" s="74"/>
      <c r="D27" s="74"/>
      <c r="E27" s="74"/>
      <c r="F27" s="74"/>
      <c r="G27" s="74"/>
      <c r="H27" s="74"/>
    </row>
    <row r="28" spans="1:8" ht="26.1" customHeight="1">
      <c r="A28" s="8" t="s">
        <v>9</v>
      </c>
      <c r="B28" s="73" t="s">
        <v>29</v>
      </c>
      <c r="C28" s="73"/>
      <c r="D28" s="73"/>
      <c r="E28" s="73"/>
      <c r="F28" s="73"/>
      <c r="G28" s="73"/>
      <c r="H28" s="73"/>
    </row>
    <row r="29" spans="1:8" ht="26.1" customHeight="1">
      <c r="A29" s="8" t="s">
        <v>11</v>
      </c>
      <c r="B29" s="73" t="s">
        <v>30</v>
      </c>
      <c r="C29" s="73"/>
      <c r="D29" s="73"/>
      <c r="E29" s="73"/>
      <c r="F29" s="73"/>
      <c r="G29" s="73"/>
      <c r="H29" s="73"/>
    </row>
    <row r="30" spans="1:8" ht="26.1" customHeight="1">
      <c r="A30" s="8" t="s">
        <v>13</v>
      </c>
      <c r="B30" s="73" t="s">
        <v>31</v>
      </c>
      <c r="C30" s="73"/>
      <c r="D30" s="73"/>
      <c r="E30" s="73"/>
      <c r="F30" s="73"/>
      <c r="G30" s="73"/>
      <c r="H30" s="73"/>
    </row>
    <row r="31" spans="1:8" ht="26.1" customHeight="1">
      <c r="A31" s="8" t="s">
        <v>15</v>
      </c>
      <c r="B31" s="73" t="s">
        <v>32</v>
      </c>
      <c r="C31" s="73"/>
      <c r="D31" s="73"/>
      <c r="E31" s="73"/>
      <c r="F31" s="73"/>
      <c r="G31" s="73"/>
      <c r="H31" s="73"/>
    </row>
    <row r="32" spans="1:8" ht="26.1" customHeight="1">
      <c r="A32" s="8" t="s">
        <v>33</v>
      </c>
      <c r="B32" s="73" t="s">
        <v>34</v>
      </c>
      <c r="C32" s="73"/>
      <c r="D32" s="73"/>
      <c r="E32" s="73"/>
      <c r="F32" s="73"/>
      <c r="G32" s="73"/>
      <c r="H32" s="73"/>
    </row>
    <row r="33" spans="1:8" ht="26.1" customHeight="1">
      <c r="A33" s="8" t="s">
        <v>35</v>
      </c>
      <c r="B33" s="73" t="s">
        <v>36</v>
      </c>
      <c r="C33" s="73"/>
      <c r="D33" s="73"/>
      <c r="E33" s="73"/>
      <c r="F33" s="73"/>
      <c r="G33" s="73"/>
      <c r="H33" s="73"/>
    </row>
    <row r="34" spans="1:8" ht="26.1" customHeight="1">
      <c r="A34" s="9" t="s">
        <v>37</v>
      </c>
      <c r="B34" s="70" t="s">
        <v>38</v>
      </c>
      <c r="C34" s="70"/>
      <c r="D34" s="70"/>
      <c r="E34" s="70"/>
      <c r="F34" s="70"/>
      <c r="G34" s="70"/>
      <c r="H34" s="70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 ht="21.95" customHeight="1">
      <c r="A36" s="2" t="s">
        <v>39</v>
      </c>
      <c r="B36" s="2"/>
      <c r="C36" s="2"/>
      <c r="D36" s="2"/>
      <c r="E36" s="2"/>
      <c r="F36" s="2"/>
      <c r="G36" s="2"/>
      <c r="H36" s="2"/>
    </row>
    <row r="37" spans="1:8">
      <c r="A37" s="13" t="s">
        <v>40</v>
      </c>
      <c r="B37" s="13" t="s">
        <v>41</v>
      </c>
      <c r="C37" s="13" t="s">
        <v>42</v>
      </c>
      <c r="D37" s="13" t="s">
        <v>43</v>
      </c>
      <c r="E37" s="71" t="s">
        <v>44</v>
      </c>
      <c r="F37" s="71"/>
      <c r="G37" s="71"/>
      <c r="H37" s="71"/>
    </row>
    <row r="38" spans="1:8" ht="29.1" customHeight="1">
      <c r="A38" s="14" t="s">
        <v>45</v>
      </c>
      <c r="B38" s="15" t="s">
        <v>46</v>
      </c>
      <c r="C38" s="14" t="s">
        <v>47</v>
      </c>
      <c r="D38" s="3" t="s">
        <v>48</v>
      </c>
      <c r="E38" s="72" t="s">
        <v>49</v>
      </c>
      <c r="F38" s="72"/>
      <c r="G38" s="72"/>
      <c r="H38" s="72"/>
    </row>
    <row r="39" spans="1:8" ht="29.1" customHeight="1">
      <c r="A39" s="11" t="s">
        <v>50</v>
      </c>
      <c r="B39" s="16" t="s">
        <v>46</v>
      </c>
      <c r="C39" s="11" t="s">
        <v>51</v>
      </c>
      <c r="D39" s="4" t="s">
        <v>52</v>
      </c>
      <c r="E39" s="67" t="s">
        <v>53</v>
      </c>
      <c r="F39" s="67"/>
      <c r="G39" s="67"/>
      <c r="H39" s="67"/>
    </row>
    <row r="40" spans="1:8" ht="29.1" customHeight="1">
      <c r="A40" s="11" t="s">
        <v>54</v>
      </c>
      <c r="B40" s="16" t="s">
        <v>46</v>
      </c>
      <c r="C40" s="11" t="s">
        <v>55</v>
      </c>
      <c r="D40" s="4" t="s">
        <v>56</v>
      </c>
      <c r="E40" s="67" t="s">
        <v>57</v>
      </c>
      <c r="F40" s="67"/>
      <c r="G40" s="67"/>
      <c r="H40" s="67"/>
    </row>
    <row r="41" spans="1:8" ht="29.1" customHeight="1">
      <c r="A41" s="11" t="s">
        <v>58</v>
      </c>
      <c r="B41" s="16" t="s">
        <v>46</v>
      </c>
      <c r="C41" s="11" t="s">
        <v>59</v>
      </c>
      <c r="D41" s="4" t="s">
        <v>60</v>
      </c>
      <c r="E41" s="67" t="s">
        <v>61</v>
      </c>
      <c r="F41" s="67"/>
      <c r="G41" s="67"/>
      <c r="H41" s="67"/>
    </row>
    <row r="42" spans="1:8" ht="29.1" customHeight="1">
      <c r="A42" s="12" t="s">
        <v>62</v>
      </c>
      <c r="B42" s="17" t="s">
        <v>46</v>
      </c>
      <c r="C42" s="12" t="s">
        <v>63</v>
      </c>
      <c r="D42" s="5" t="s">
        <v>64</v>
      </c>
      <c r="E42" s="68" t="s">
        <v>65</v>
      </c>
      <c r="F42" s="68"/>
      <c r="G42" s="68"/>
      <c r="H42" s="68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 ht="21.95" customHeight="1">
      <c r="A44" s="2" t="s">
        <v>66</v>
      </c>
      <c r="B44" s="2"/>
      <c r="C44" s="2"/>
      <c r="D44" s="2"/>
      <c r="E44" s="2"/>
      <c r="F44" s="2"/>
      <c r="G44" s="2"/>
      <c r="H44" s="2"/>
    </row>
    <row r="45" spans="1:8" ht="29.1" customHeight="1">
      <c r="A45" s="69" t="s">
        <v>67</v>
      </c>
      <c r="B45" s="69"/>
      <c r="C45" s="69"/>
      <c r="D45" s="69"/>
      <c r="E45" s="69"/>
      <c r="F45" s="69"/>
      <c r="G45" s="69"/>
      <c r="H45" s="69"/>
    </row>
    <row r="46" spans="1:8" ht="29.1" customHeight="1">
      <c r="A46" s="69"/>
      <c r="B46" s="69"/>
      <c r="C46" s="69"/>
      <c r="D46" s="69"/>
      <c r="E46" s="69"/>
      <c r="F46" s="69"/>
      <c r="G46" s="69"/>
      <c r="H46" s="69"/>
    </row>
    <row r="47" spans="1:8">
      <c r="A47" s="18"/>
      <c r="B47" s="18"/>
      <c r="C47" s="18"/>
      <c r="D47" s="18"/>
      <c r="E47" s="18"/>
      <c r="F47" s="18"/>
      <c r="G47" s="18"/>
      <c r="H47" s="18"/>
    </row>
    <row r="48" spans="1:8">
      <c r="A48" s="18"/>
      <c r="B48" s="18"/>
      <c r="C48" s="18"/>
      <c r="D48" s="18"/>
      <c r="E48" s="18"/>
      <c r="F48" s="18"/>
      <c r="G48" s="18"/>
      <c r="H48" s="18"/>
    </row>
  </sheetData>
  <mergeCells count="28">
    <mergeCell ref="A2:H2"/>
    <mergeCell ref="A3:H3"/>
    <mergeCell ref="A6:H7"/>
    <mergeCell ref="A10:H11"/>
    <mergeCell ref="B14:H14"/>
    <mergeCell ref="B15:H15"/>
    <mergeCell ref="B16:H16"/>
    <mergeCell ref="B17:H17"/>
    <mergeCell ref="B18:H18"/>
    <mergeCell ref="C21:H21"/>
    <mergeCell ref="C22:H22"/>
    <mergeCell ref="C23:H23"/>
    <mergeCell ref="C24:H24"/>
    <mergeCell ref="B27:H27"/>
    <mergeCell ref="B28:H28"/>
    <mergeCell ref="B29:H29"/>
    <mergeCell ref="B30:H30"/>
    <mergeCell ref="B31:H31"/>
    <mergeCell ref="B32:H32"/>
    <mergeCell ref="B33:H33"/>
    <mergeCell ref="E41:H41"/>
    <mergeCell ref="E42:H42"/>
    <mergeCell ref="A45:H46"/>
    <mergeCell ref="B34:H34"/>
    <mergeCell ref="E37:H37"/>
    <mergeCell ref="E38:H38"/>
    <mergeCell ref="E39:H39"/>
    <mergeCell ref="E40:H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A441"/>
  </sheetPr>
  <dimension ref="A1:V971"/>
  <sheetViews>
    <sheetView showGridLines="0" zoomScaleNormal="100" workbookViewId="0">
      <pane xSplit="3" ySplit="1" topLeftCell="L923" activePane="bottomRight" state="frozen"/>
      <selection pane="topRight"/>
      <selection pane="bottomLeft"/>
      <selection pane="bottomRight" activeCell="V954" sqref="V954"/>
    </sheetView>
  </sheetViews>
  <sheetFormatPr defaultRowHeight="14.25"/>
  <cols>
    <col min="1" max="1" width="2.75" hidden="1" customWidth="1"/>
    <col min="2" max="2" width="13" customWidth="1"/>
    <col min="3" max="3" width="13" style="28" customWidth="1"/>
    <col min="4" max="4" width="24" customWidth="1"/>
    <col min="5" max="6" width="17" customWidth="1"/>
    <col min="7" max="7" width="19" customWidth="1"/>
    <col min="8" max="8" width="17" customWidth="1"/>
    <col min="9" max="9" width="22" customWidth="1"/>
    <col min="10" max="10" width="12" style="26" customWidth="1"/>
    <col min="11" max="11" width="18" style="30" customWidth="1"/>
    <col min="12" max="12" width="14" style="31" customWidth="1"/>
    <col min="13" max="13" width="18" style="30" customWidth="1"/>
    <col min="14" max="14" width="17" customWidth="1"/>
    <col min="15" max="15" width="18" customWidth="1"/>
    <col min="16" max="16" width="15" customWidth="1"/>
    <col min="17" max="17" width="20" customWidth="1"/>
    <col min="18" max="19" width="17" customWidth="1"/>
    <col min="20" max="20" width="18" customWidth="1"/>
  </cols>
  <sheetData>
    <row r="1" spans="1:20" ht="33.950000000000003" customHeight="1">
      <c r="A1" s="42" t="s">
        <v>1154</v>
      </c>
      <c r="B1" s="19" t="s">
        <v>68</v>
      </c>
      <c r="C1" s="27" t="s">
        <v>69</v>
      </c>
      <c r="D1" s="19" t="s">
        <v>70</v>
      </c>
      <c r="E1" s="19" t="s">
        <v>71</v>
      </c>
      <c r="F1" s="19" t="s">
        <v>72</v>
      </c>
      <c r="G1" s="19" t="s">
        <v>73</v>
      </c>
      <c r="H1" s="19" t="s">
        <v>74</v>
      </c>
      <c r="I1" s="19" t="s">
        <v>75</v>
      </c>
      <c r="J1" s="24" t="s">
        <v>76</v>
      </c>
      <c r="K1" s="29" t="s">
        <v>77</v>
      </c>
      <c r="L1" s="62" t="s">
        <v>78</v>
      </c>
      <c r="M1" s="29" t="s">
        <v>79</v>
      </c>
      <c r="N1" s="19" t="s">
        <v>80</v>
      </c>
      <c r="O1" s="29" t="s">
        <v>81</v>
      </c>
      <c r="P1" s="29" t="s">
        <v>82</v>
      </c>
      <c r="Q1" s="29" t="s">
        <v>83</v>
      </c>
      <c r="R1" s="29" t="s">
        <v>84</v>
      </c>
      <c r="S1" s="29" t="s">
        <v>85</v>
      </c>
      <c r="T1" s="64" t="s">
        <v>86</v>
      </c>
    </row>
    <row r="2" spans="1:20">
      <c r="A2" s="41">
        <f>MONTH(C2)</f>
        <v>1</v>
      </c>
      <c r="B2" s="6" t="s">
        <v>87</v>
      </c>
      <c r="C2" s="20">
        <v>45658</v>
      </c>
      <c r="D2" s="6" t="s">
        <v>88</v>
      </c>
      <c r="E2" s="6" t="s">
        <v>89</v>
      </c>
      <c r="F2" s="6" t="s">
        <v>90</v>
      </c>
      <c r="G2" s="6" t="s">
        <v>91</v>
      </c>
      <c r="H2" s="6" t="s">
        <v>92</v>
      </c>
      <c r="I2" s="6" t="s">
        <v>93</v>
      </c>
      <c r="J2" s="25">
        <v>1</v>
      </c>
      <c r="K2" s="21">
        <v>254.01</v>
      </c>
      <c r="L2" s="63">
        <v>0.05</v>
      </c>
      <c r="M2" s="21">
        <v>110.69</v>
      </c>
      <c r="N2" s="6" t="s">
        <v>94</v>
      </c>
      <c r="O2" s="60">
        <f>Vendas2025[[#This Row],[Quantidade]]*Vendas2025[[#This Row],[Preço_Unitário_R$]]</f>
        <v>254.01</v>
      </c>
      <c r="P2" s="60">
        <f>Vendas2025[[#This Row],[Receita_Bruta_R$]]*Vendas2025[[#This Row],[Desconto_pct]]</f>
        <v>12.7005</v>
      </c>
      <c r="Q2" s="60">
        <f t="shared" ref="Q2:Q65" si="0">IF(N2="Concluída",O2-P2,0)</f>
        <v>241.30949999999999</v>
      </c>
      <c r="R2" s="60">
        <f t="shared" ref="R2:R65" si="1">IF(N2="Concluída",J2*M2,0)</f>
        <v>110.69</v>
      </c>
      <c r="S2" s="60">
        <f t="shared" ref="S2:S65" si="2">Q2-R2</f>
        <v>130.61949999999999</v>
      </c>
      <c r="T2" s="65">
        <f t="shared" ref="T2:T65" si="3">IF(Q2=0,"",S2/Q2)</f>
        <v>0.54129447866743741</v>
      </c>
    </row>
    <row r="3" spans="1:20">
      <c r="A3">
        <f t="shared" ref="A3:A66" si="4">MONTH(C3)</f>
        <v>1</v>
      </c>
      <c r="B3" s="6" t="s">
        <v>95</v>
      </c>
      <c r="C3" s="20">
        <v>45658</v>
      </c>
      <c r="D3" s="6" t="s">
        <v>96</v>
      </c>
      <c r="E3" s="6" t="s">
        <v>89</v>
      </c>
      <c r="F3" s="6" t="s">
        <v>97</v>
      </c>
      <c r="G3" s="6" t="s">
        <v>98</v>
      </c>
      <c r="H3" s="6" t="s">
        <v>99</v>
      </c>
      <c r="I3" s="6" t="s">
        <v>100</v>
      </c>
      <c r="J3" s="25">
        <v>1</v>
      </c>
      <c r="K3" s="21">
        <v>424.15</v>
      </c>
      <c r="L3" s="63">
        <v>0.15</v>
      </c>
      <c r="M3" s="21">
        <v>246.26</v>
      </c>
      <c r="N3" s="6" t="s">
        <v>94</v>
      </c>
      <c r="O3" s="60">
        <f>Vendas2025[[#This Row],[Quantidade]]*Vendas2025[[#This Row],[Preço_Unitário_R$]]</f>
        <v>424.15</v>
      </c>
      <c r="P3" s="60">
        <f>Vendas2025[[#This Row],[Receita_Bruta_R$]]*Vendas2025[[#This Row],[Desconto_pct]]</f>
        <v>63.622499999999995</v>
      </c>
      <c r="Q3" s="60">
        <f t="shared" si="0"/>
        <v>360.52749999999997</v>
      </c>
      <c r="R3" s="60">
        <f t="shared" si="1"/>
        <v>246.26</v>
      </c>
      <c r="S3" s="60">
        <f t="shared" si="2"/>
        <v>114.26749999999998</v>
      </c>
      <c r="T3" s="65">
        <f t="shared" si="3"/>
        <v>0.31694530930372855</v>
      </c>
    </row>
    <row r="4" spans="1:20">
      <c r="A4">
        <f t="shared" si="4"/>
        <v>1</v>
      </c>
      <c r="B4" s="6" t="s">
        <v>101</v>
      </c>
      <c r="C4" s="20">
        <v>45658</v>
      </c>
      <c r="D4" s="6" t="s">
        <v>102</v>
      </c>
      <c r="E4" s="6" t="s">
        <v>103</v>
      </c>
      <c r="F4" s="6" t="s">
        <v>104</v>
      </c>
      <c r="G4" s="6" t="s">
        <v>105</v>
      </c>
      <c r="H4" s="6" t="s">
        <v>106</v>
      </c>
      <c r="I4" s="6" t="s">
        <v>107</v>
      </c>
      <c r="J4" s="25">
        <v>1</v>
      </c>
      <c r="K4" s="21">
        <v>678.6</v>
      </c>
      <c r="L4" s="63">
        <v>0.05</v>
      </c>
      <c r="M4" s="21">
        <v>401.43</v>
      </c>
      <c r="N4" s="6" t="s">
        <v>108</v>
      </c>
      <c r="O4" s="60">
        <f>Vendas2025[[#This Row],[Quantidade]]*Vendas2025[[#This Row],[Preço_Unitário_R$]]</f>
        <v>678.6</v>
      </c>
      <c r="P4" s="60">
        <f>Vendas2025[[#This Row],[Receita_Bruta_R$]]*Vendas2025[[#This Row],[Desconto_pct]]</f>
        <v>33.93</v>
      </c>
      <c r="Q4" s="60">
        <f t="shared" si="0"/>
        <v>0</v>
      </c>
      <c r="R4" s="60">
        <f t="shared" si="1"/>
        <v>0</v>
      </c>
      <c r="S4" s="60">
        <f t="shared" si="2"/>
        <v>0</v>
      </c>
      <c r="T4" s="65" t="str">
        <f t="shared" si="3"/>
        <v/>
      </c>
    </row>
    <row r="5" spans="1:20">
      <c r="A5">
        <f t="shared" si="4"/>
        <v>1</v>
      </c>
      <c r="B5" s="6" t="s">
        <v>109</v>
      </c>
      <c r="C5" s="20">
        <v>45659</v>
      </c>
      <c r="D5" s="6" t="s">
        <v>88</v>
      </c>
      <c r="E5" s="6" t="s">
        <v>89</v>
      </c>
      <c r="F5" s="6" t="s">
        <v>97</v>
      </c>
      <c r="G5" s="6" t="s">
        <v>110</v>
      </c>
      <c r="H5" s="6" t="s">
        <v>106</v>
      </c>
      <c r="I5" s="6" t="s">
        <v>111</v>
      </c>
      <c r="J5" s="25">
        <v>2</v>
      </c>
      <c r="K5" s="21">
        <v>296.89</v>
      </c>
      <c r="L5" s="63">
        <v>0.05</v>
      </c>
      <c r="M5" s="21">
        <v>131.16999999999999</v>
      </c>
      <c r="N5" s="6" t="s">
        <v>94</v>
      </c>
      <c r="O5" s="60">
        <f>Vendas2025[[#This Row],[Quantidade]]*Vendas2025[[#This Row],[Preço_Unitário_R$]]</f>
        <v>593.78</v>
      </c>
      <c r="P5" s="60">
        <f>Vendas2025[[#This Row],[Receita_Bruta_R$]]*Vendas2025[[#This Row],[Desconto_pct]]</f>
        <v>29.689</v>
      </c>
      <c r="Q5" s="60">
        <f t="shared" si="0"/>
        <v>564.09100000000001</v>
      </c>
      <c r="R5" s="60">
        <f t="shared" si="1"/>
        <v>262.33999999999997</v>
      </c>
      <c r="S5" s="60">
        <f t="shared" si="2"/>
        <v>301.75100000000003</v>
      </c>
      <c r="T5" s="65">
        <f t="shared" si="3"/>
        <v>0.53493319340319212</v>
      </c>
    </row>
    <row r="6" spans="1:20">
      <c r="A6">
        <f t="shared" si="4"/>
        <v>1</v>
      </c>
      <c r="B6" s="6" t="s">
        <v>112</v>
      </c>
      <c r="C6" s="20">
        <v>45659</v>
      </c>
      <c r="D6" s="6" t="s">
        <v>113</v>
      </c>
      <c r="E6" s="6" t="s">
        <v>114</v>
      </c>
      <c r="F6" s="6" t="s">
        <v>97</v>
      </c>
      <c r="G6" s="6" t="s">
        <v>115</v>
      </c>
      <c r="H6" s="6" t="s">
        <v>106</v>
      </c>
      <c r="I6" s="6" t="s">
        <v>116</v>
      </c>
      <c r="J6" s="25">
        <v>1</v>
      </c>
      <c r="K6" s="21">
        <v>462.26</v>
      </c>
      <c r="L6" s="63">
        <v>0.08</v>
      </c>
      <c r="M6" s="21">
        <v>263.05</v>
      </c>
      <c r="N6" s="6" t="s">
        <v>94</v>
      </c>
      <c r="O6" s="60">
        <f>Vendas2025[[#This Row],[Quantidade]]*Vendas2025[[#This Row],[Preço_Unitário_R$]]</f>
        <v>462.26</v>
      </c>
      <c r="P6" s="60">
        <f>Vendas2025[[#This Row],[Receita_Bruta_R$]]*Vendas2025[[#This Row],[Desconto_pct]]</f>
        <v>36.980800000000002</v>
      </c>
      <c r="Q6" s="60">
        <f t="shared" si="0"/>
        <v>425.2792</v>
      </c>
      <c r="R6" s="60">
        <f t="shared" si="1"/>
        <v>263.05</v>
      </c>
      <c r="S6" s="60">
        <f t="shared" si="2"/>
        <v>162.22919999999999</v>
      </c>
      <c r="T6" s="65">
        <f t="shared" si="3"/>
        <v>0.3814651645319122</v>
      </c>
    </row>
    <row r="7" spans="1:20">
      <c r="A7" s="41">
        <f t="shared" si="4"/>
        <v>1</v>
      </c>
      <c r="B7" s="6" t="s">
        <v>117</v>
      </c>
      <c r="C7" s="20">
        <v>45659</v>
      </c>
      <c r="D7" s="6" t="s">
        <v>118</v>
      </c>
      <c r="E7" s="6" t="s">
        <v>114</v>
      </c>
      <c r="F7" s="6" t="s">
        <v>97</v>
      </c>
      <c r="G7" s="6" t="s">
        <v>105</v>
      </c>
      <c r="H7" s="6" t="s">
        <v>119</v>
      </c>
      <c r="I7" s="6" t="s">
        <v>120</v>
      </c>
      <c r="J7" s="25">
        <v>2</v>
      </c>
      <c r="K7" s="21">
        <v>2285.31</v>
      </c>
      <c r="L7" s="63">
        <v>0.15</v>
      </c>
      <c r="M7" s="21">
        <v>1624.43</v>
      </c>
      <c r="N7" s="6" t="s">
        <v>94</v>
      </c>
      <c r="O7" s="60">
        <f>Vendas2025[[#This Row],[Quantidade]]*Vendas2025[[#This Row],[Preço_Unitário_R$]]</f>
        <v>4570.62</v>
      </c>
      <c r="P7" s="60">
        <f>Vendas2025[[#This Row],[Receita_Bruta_R$]]*Vendas2025[[#This Row],[Desconto_pct]]</f>
        <v>685.59299999999996</v>
      </c>
      <c r="Q7" s="60">
        <f t="shared" si="0"/>
        <v>3885.027</v>
      </c>
      <c r="R7" s="60">
        <f t="shared" si="1"/>
        <v>3248.86</v>
      </c>
      <c r="S7" s="60">
        <f t="shared" si="2"/>
        <v>636.16699999999992</v>
      </c>
      <c r="T7" s="65">
        <f t="shared" si="3"/>
        <v>0.16374841152970104</v>
      </c>
    </row>
    <row r="8" spans="1:20">
      <c r="A8" s="41">
        <f t="shared" si="4"/>
        <v>1</v>
      </c>
      <c r="B8" s="6" t="s">
        <v>121</v>
      </c>
      <c r="C8" s="20">
        <v>45660</v>
      </c>
      <c r="D8" s="6" t="s">
        <v>96</v>
      </c>
      <c r="E8" s="6" t="s">
        <v>89</v>
      </c>
      <c r="F8" s="6" t="s">
        <v>122</v>
      </c>
      <c r="G8" s="6" t="s">
        <v>123</v>
      </c>
      <c r="H8" s="6" t="s">
        <v>124</v>
      </c>
      <c r="I8" s="6" t="s">
        <v>125</v>
      </c>
      <c r="J8" s="25">
        <v>1</v>
      </c>
      <c r="K8" s="21">
        <v>650.51</v>
      </c>
      <c r="L8" s="63">
        <v>0.05</v>
      </c>
      <c r="M8" s="21">
        <v>301.66000000000003</v>
      </c>
      <c r="N8" s="6" t="s">
        <v>94</v>
      </c>
      <c r="O8" s="60">
        <f>Vendas2025[[#This Row],[Quantidade]]*Vendas2025[[#This Row],[Preço_Unitário_R$]]</f>
        <v>650.51</v>
      </c>
      <c r="P8" s="60">
        <f>Vendas2025[[#This Row],[Receita_Bruta_R$]]*Vendas2025[[#This Row],[Desconto_pct]]</f>
        <v>32.525500000000001</v>
      </c>
      <c r="Q8" s="60">
        <f t="shared" si="0"/>
        <v>617.98450000000003</v>
      </c>
      <c r="R8" s="60">
        <f t="shared" si="1"/>
        <v>301.66000000000003</v>
      </c>
      <c r="S8" s="60">
        <f t="shared" si="2"/>
        <v>316.3245</v>
      </c>
      <c r="T8" s="65">
        <f t="shared" si="3"/>
        <v>0.51186477978007539</v>
      </c>
    </row>
    <row r="9" spans="1:20">
      <c r="A9" s="41">
        <f t="shared" si="4"/>
        <v>1</v>
      </c>
      <c r="B9" s="6" t="s">
        <v>126</v>
      </c>
      <c r="C9" s="20">
        <v>45660</v>
      </c>
      <c r="D9" s="6" t="s">
        <v>113</v>
      </c>
      <c r="E9" s="6" t="s">
        <v>114</v>
      </c>
      <c r="F9" s="6" t="s">
        <v>122</v>
      </c>
      <c r="G9" s="6" t="s">
        <v>127</v>
      </c>
      <c r="H9" s="6" t="s">
        <v>92</v>
      </c>
      <c r="I9" s="6" t="s">
        <v>93</v>
      </c>
      <c r="J9" s="25">
        <v>1</v>
      </c>
      <c r="K9" s="21">
        <v>244.08</v>
      </c>
      <c r="L9" s="63">
        <v>0.2</v>
      </c>
      <c r="M9" s="21">
        <v>103.33</v>
      </c>
      <c r="N9" s="6" t="s">
        <v>94</v>
      </c>
      <c r="O9" s="60">
        <f>Vendas2025[[#This Row],[Quantidade]]*Vendas2025[[#This Row],[Preço_Unitário_R$]]</f>
        <v>244.08</v>
      </c>
      <c r="P9" s="60">
        <f>Vendas2025[[#This Row],[Receita_Bruta_R$]]*Vendas2025[[#This Row],[Desconto_pct]]</f>
        <v>48.816000000000003</v>
      </c>
      <c r="Q9" s="60">
        <f t="shared" si="0"/>
        <v>195.26400000000001</v>
      </c>
      <c r="R9" s="60">
        <f t="shared" si="1"/>
        <v>103.33</v>
      </c>
      <c r="S9" s="60">
        <f t="shared" si="2"/>
        <v>91.934000000000012</v>
      </c>
      <c r="T9" s="65">
        <f t="shared" si="3"/>
        <v>0.47081899377253361</v>
      </c>
    </row>
    <row r="10" spans="1:20">
      <c r="A10" s="41">
        <f t="shared" si="4"/>
        <v>1</v>
      </c>
      <c r="B10" s="6" t="s">
        <v>128</v>
      </c>
      <c r="C10" s="20">
        <v>45660</v>
      </c>
      <c r="D10" s="6" t="s">
        <v>129</v>
      </c>
      <c r="E10" s="6" t="s">
        <v>103</v>
      </c>
      <c r="F10" s="6" t="s">
        <v>97</v>
      </c>
      <c r="G10" s="6" t="s">
        <v>110</v>
      </c>
      <c r="H10" s="6" t="s">
        <v>99</v>
      </c>
      <c r="I10" s="6" t="s">
        <v>130</v>
      </c>
      <c r="J10" s="25">
        <v>1</v>
      </c>
      <c r="K10" s="21">
        <v>263.20999999999998</v>
      </c>
      <c r="L10" s="63">
        <v>0.05</v>
      </c>
      <c r="M10" s="21">
        <v>121.72</v>
      </c>
      <c r="N10" s="6" t="s">
        <v>108</v>
      </c>
      <c r="O10" s="60">
        <f>Vendas2025[[#This Row],[Quantidade]]*Vendas2025[[#This Row],[Preço_Unitário_R$]]</f>
        <v>263.20999999999998</v>
      </c>
      <c r="P10" s="60">
        <f>Vendas2025[[#This Row],[Receita_Bruta_R$]]*Vendas2025[[#This Row],[Desconto_pct]]</f>
        <v>13.160499999999999</v>
      </c>
      <c r="Q10" s="60">
        <f t="shared" si="0"/>
        <v>0</v>
      </c>
      <c r="R10" s="60">
        <f t="shared" si="1"/>
        <v>0</v>
      </c>
      <c r="S10" s="60">
        <f t="shared" si="2"/>
        <v>0</v>
      </c>
      <c r="T10" s="65" t="str">
        <f t="shared" si="3"/>
        <v/>
      </c>
    </row>
    <row r="11" spans="1:20">
      <c r="A11" s="41">
        <f t="shared" si="4"/>
        <v>1</v>
      </c>
      <c r="B11" s="6" t="s">
        <v>131</v>
      </c>
      <c r="C11" s="20">
        <v>45661</v>
      </c>
      <c r="D11" s="6" t="s">
        <v>132</v>
      </c>
      <c r="E11" s="6" t="s">
        <v>89</v>
      </c>
      <c r="F11" s="6" t="s">
        <v>97</v>
      </c>
      <c r="G11" s="6" t="s">
        <v>127</v>
      </c>
      <c r="H11" s="6" t="s">
        <v>119</v>
      </c>
      <c r="I11" s="6" t="s">
        <v>120</v>
      </c>
      <c r="J11" s="25">
        <v>2</v>
      </c>
      <c r="K11" s="21">
        <v>2152.46</v>
      </c>
      <c r="L11" s="63">
        <v>0.05</v>
      </c>
      <c r="M11" s="21">
        <v>1517.23</v>
      </c>
      <c r="N11" s="6" t="s">
        <v>94</v>
      </c>
      <c r="O11" s="60">
        <f>Vendas2025[[#This Row],[Quantidade]]*Vendas2025[[#This Row],[Preço_Unitário_R$]]</f>
        <v>4304.92</v>
      </c>
      <c r="P11" s="60">
        <f>Vendas2025[[#This Row],[Receita_Bruta_R$]]*Vendas2025[[#This Row],[Desconto_pct]]</f>
        <v>215.24600000000001</v>
      </c>
      <c r="Q11" s="60">
        <f t="shared" si="0"/>
        <v>4089.674</v>
      </c>
      <c r="R11" s="60">
        <f t="shared" si="1"/>
        <v>3034.46</v>
      </c>
      <c r="S11" s="60">
        <f t="shared" si="2"/>
        <v>1055.2139999999999</v>
      </c>
      <c r="T11" s="65">
        <f t="shared" si="3"/>
        <v>0.25801909883281648</v>
      </c>
    </row>
    <row r="12" spans="1:20">
      <c r="A12" s="41">
        <f t="shared" si="4"/>
        <v>1</v>
      </c>
      <c r="B12" s="6" t="s">
        <v>133</v>
      </c>
      <c r="C12" s="20">
        <v>45661</v>
      </c>
      <c r="D12" s="6" t="s">
        <v>129</v>
      </c>
      <c r="E12" s="6" t="s">
        <v>103</v>
      </c>
      <c r="F12" s="6" t="s">
        <v>97</v>
      </c>
      <c r="G12" s="6" t="s">
        <v>105</v>
      </c>
      <c r="H12" s="6" t="s">
        <v>92</v>
      </c>
      <c r="I12" s="6" t="s">
        <v>134</v>
      </c>
      <c r="J12" s="25">
        <v>1</v>
      </c>
      <c r="K12" s="21">
        <v>444.68</v>
      </c>
      <c r="L12" s="63">
        <v>0</v>
      </c>
      <c r="M12" s="21">
        <v>235.77</v>
      </c>
      <c r="N12" s="6" t="s">
        <v>94</v>
      </c>
      <c r="O12" s="60">
        <f>Vendas2025[[#This Row],[Quantidade]]*Vendas2025[[#This Row],[Preço_Unitário_R$]]</f>
        <v>444.68</v>
      </c>
      <c r="P12" s="60">
        <f>Vendas2025[[#This Row],[Receita_Bruta_R$]]*Vendas2025[[#This Row],[Desconto_pct]]</f>
        <v>0</v>
      </c>
      <c r="Q12" s="60">
        <f t="shared" si="0"/>
        <v>444.68</v>
      </c>
      <c r="R12" s="60">
        <f t="shared" si="1"/>
        <v>235.77</v>
      </c>
      <c r="S12" s="60">
        <f t="shared" si="2"/>
        <v>208.91</v>
      </c>
      <c r="T12" s="65">
        <f t="shared" si="3"/>
        <v>0.46979850679140056</v>
      </c>
    </row>
    <row r="13" spans="1:20">
      <c r="A13" s="41">
        <f t="shared" si="4"/>
        <v>1</v>
      </c>
      <c r="B13" s="6" t="s">
        <v>135</v>
      </c>
      <c r="C13" s="20">
        <v>45661</v>
      </c>
      <c r="D13" s="6" t="s">
        <v>136</v>
      </c>
      <c r="E13" s="6" t="s">
        <v>137</v>
      </c>
      <c r="F13" s="6" t="s">
        <v>97</v>
      </c>
      <c r="G13" s="6" t="s">
        <v>123</v>
      </c>
      <c r="H13" s="6" t="s">
        <v>119</v>
      </c>
      <c r="I13" s="6" t="s">
        <v>138</v>
      </c>
      <c r="J13" s="25">
        <v>1</v>
      </c>
      <c r="K13" s="21">
        <v>132.76</v>
      </c>
      <c r="L13" s="63">
        <v>0.15</v>
      </c>
      <c r="M13" s="21">
        <v>53.09</v>
      </c>
      <c r="N13" s="6" t="s">
        <v>94</v>
      </c>
      <c r="O13" s="60">
        <f>Vendas2025[[#This Row],[Quantidade]]*Vendas2025[[#This Row],[Preço_Unitário_R$]]</f>
        <v>132.76</v>
      </c>
      <c r="P13" s="60">
        <f>Vendas2025[[#This Row],[Receita_Bruta_R$]]*Vendas2025[[#This Row],[Desconto_pct]]</f>
        <v>19.913999999999998</v>
      </c>
      <c r="Q13" s="60">
        <f t="shared" si="0"/>
        <v>112.84599999999999</v>
      </c>
      <c r="R13" s="60">
        <f t="shared" si="1"/>
        <v>53.09</v>
      </c>
      <c r="S13" s="60">
        <f t="shared" si="2"/>
        <v>59.755999999999986</v>
      </c>
      <c r="T13" s="65">
        <f t="shared" si="3"/>
        <v>0.5295358275880403</v>
      </c>
    </row>
    <row r="14" spans="1:20">
      <c r="A14" s="41">
        <f t="shared" si="4"/>
        <v>1</v>
      </c>
      <c r="B14" s="6" t="s">
        <v>139</v>
      </c>
      <c r="C14" s="20">
        <v>45662</v>
      </c>
      <c r="D14" s="6" t="s">
        <v>96</v>
      </c>
      <c r="E14" s="6" t="s">
        <v>89</v>
      </c>
      <c r="F14" s="6" t="s">
        <v>122</v>
      </c>
      <c r="G14" s="6" t="s">
        <v>140</v>
      </c>
      <c r="H14" s="6" t="s">
        <v>119</v>
      </c>
      <c r="I14" s="6" t="s">
        <v>141</v>
      </c>
      <c r="J14" s="25">
        <v>1</v>
      </c>
      <c r="K14" s="21">
        <v>2573.36</v>
      </c>
      <c r="L14" s="63">
        <v>0.2</v>
      </c>
      <c r="M14" s="21">
        <v>1800.4</v>
      </c>
      <c r="N14" s="6" t="s">
        <v>94</v>
      </c>
      <c r="O14" s="60">
        <f>Vendas2025[[#This Row],[Quantidade]]*Vendas2025[[#This Row],[Preço_Unitário_R$]]</f>
        <v>2573.36</v>
      </c>
      <c r="P14" s="60">
        <f>Vendas2025[[#This Row],[Receita_Bruta_R$]]*Vendas2025[[#This Row],[Desconto_pct]]</f>
        <v>514.67200000000003</v>
      </c>
      <c r="Q14" s="60">
        <f t="shared" si="0"/>
        <v>2058.6880000000001</v>
      </c>
      <c r="R14" s="60">
        <f t="shared" si="1"/>
        <v>1800.4</v>
      </c>
      <c r="S14" s="60">
        <f t="shared" si="2"/>
        <v>258.28800000000001</v>
      </c>
      <c r="T14" s="65">
        <f t="shared" si="3"/>
        <v>0.12546243044113534</v>
      </c>
    </row>
    <row r="15" spans="1:20">
      <c r="A15" s="41">
        <f t="shared" si="4"/>
        <v>1</v>
      </c>
      <c r="B15" s="6" t="s">
        <v>142</v>
      </c>
      <c r="C15" s="20">
        <v>45662</v>
      </c>
      <c r="D15" s="6" t="s">
        <v>132</v>
      </c>
      <c r="E15" s="6" t="s">
        <v>89</v>
      </c>
      <c r="F15" s="6" t="s">
        <v>122</v>
      </c>
      <c r="G15" s="6" t="s">
        <v>115</v>
      </c>
      <c r="H15" s="6" t="s">
        <v>92</v>
      </c>
      <c r="I15" s="6" t="s">
        <v>93</v>
      </c>
      <c r="J15" s="25">
        <v>2</v>
      </c>
      <c r="K15" s="21">
        <v>227.55</v>
      </c>
      <c r="L15" s="63">
        <v>0.15</v>
      </c>
      <c r="M15" s="21">
        <v>99.48</v>
      </c>
      <c r="N15" s="6" t="s">
        <v>94</v>
      </c>
      <c r="O15" s="60">
        <f>Vendas2025[[#This Row],[Quantidade]]*Vendas2025[[#This Row],[Preço_Unitário_R$]]</f>
        <v>455.1</v>
      </c>
      <c r="P15" s="60">
        <f>Vendas2025[[#This Row],[Receita_Bruta_R$]]*Vendas2025[[#This Row],[Desconto_pct]]</f>
        <v>68.265000000000001</v>
      </c>
      <c r="Q15" s="60">
        <f t="shared" si="0"/>
        <v>386.83500000000004</v>
      </c>
      <c r="R15" s="60">
        <f t="shared" si="1"/>
        <v>198.96</v>
      </c>
      <c r="S15" s="60">
        <f t="shared" si="2"/>
        <v>187.87500000000003</v>
      </c>
      <c r="T15" s="65">
        <f t="shared" si="3"/>
        <v>0.48567218581565785</v>
      </c>
    </row>
    <row r="16" spans="1:20">
      <c r="A16" s="41">
        <f t="shared" si="4"/>
        <v>1</v>
      </c>
      <c r="B16" s="6" t="s">
        <v>143</v>
      </c>
      <c r="C16" s="20">
        <v>45664</v>
      </c>
      <c r="D16" s="6" t="s">
        <v>96</v>
      </c>
      <c r="E16" s="6" t="s">
        <v>89</v>
      </c>
      <c r="F16" s="6" t="s">
        <v>90</v>
      </c>
      <c r="G16" s="6" t="s">
        <v>115</v>
      </c>
      <c r="H16" s="6" t="s">
        <v>92</v>
      </c>
      <c r="I16" s="6" t="s">
        <v>144</v>
      </c>
      <c r="J16" s="25">
        <v>2</v>
      </c>
      <c r="K16" s="21">
        <v>152.63</v>
      </c>
      <c r="L16" s="63">
        <v>0.2</v>
      </c>
      <c r="M16" s="21">
        <v>52.66</v>
      </c>
      <c r="N16" s="6" t="s">
        <v>94</v>
      </c>
      <c r="O16" s="60">
        <f>Vendas2025[[#This Row],[Quantidade]]*Vendas2025[[#This Row],[Preço_Unitário_R$]]</f>
        <v>305.26</v>
      </c>
      <c r="P16" s="60">
        <f>Vendas2025[[#This Row],[Receita_Bruta_R$]]*Vendas2025[[#This Row],[Desconto_pct]]</f>
        <v>61.052</v>
      </c>
      <c r="Q16" s="60">
        <f t="shared" si="0"/>
        <v>244.208</v>
      </c>
      <c r="R16" s="60">
        <f t="shared" si="1"/>
        <v>105.32</v>
      </c>
      <c r="S16" s="60">
        <f t="shared" si="2"/>
        <v>138.88800000000001</v>
      </c>
      <c r="T16" s="65">
        <f t="shared" si="3"/>
        <v>0.56872829718928131</v>
      </c>
    </row>
    <row r="17" spans="1:20">
      <c r="A17" s="41">
        <f t="shared" si="4"/>
        <v>1</v>
      </c>
      <c r="B17" s="6" t="s">
        <v>145</v>
      </c>
      <c r="C17" s="20">
        <v>45664</v>
      </c>
      <c r="D17" s="6" t="s">
        <v>88</v>
      </c>
      <c r="E17" s="6" t="s">
        <v>89</v>
      </c>
      <c r="F17" s="6" t="s">
        <v>122</v>
      </c>
      <c r="G17" s="6" t="s">
        <v>115</v>
      </c>
      <c r="H17" s="6" t="s">
        <v>99</v>
      </c>
      <c r="I17" s="6" t="s">
        <v>130</v>
      </c>
      <c r="J17" s="25">
        <v>1</v>
      </c>
      <c r="K17" s="21">
        <v>238.51</v>
      </c>
      <c r="L17" s="63">
        <v>0.1</v>
      </c>
      <c r="M17" s="21">
        <v>114.17</v>
      </c>
      <c r="N17" s="6" t="s">
        <v>94</v>
      </c>
      <c r="O17" s="60">
        <f>Vendas2025[[#This Row],[Quantidade]]*Vendas2025[[#This Row],[Preço_Unitário_R$]]</f>
        <v>238.51</v>
      </c>
      <c r="P17" s="60">
        <f>Vendas2025[[#This Row],[Receita_Bruta_R$]]*Vendas2025[[#This Row],[Desconto_pct]]</f>
        <v>23.850999999999999</v>
      </c>
      <c r="Q17" s="60">
        <f t="shared" si="0"/>
        <v>214.65899999999999</v>
      </c>
      <c r="R17" s="60">
        <f t="shared" si="1"/>
        <v>114.17</v>
      </c>
      <c r="S17" s="60">
        <f t="shared" si="2"/>
        <v>100.48899999999999</v>
      </c>
      <c r="T17" s="65">
        <f t="shared" si="3"/>
        <v>0.4681331786694245</v>
      </c>
    </row>
    <row r="18" spans="1:20">
      <c r="A18" s="41">
        <f t="shared" si="4"/>
        <v>1</v>
      </c>
      <c r="B18" s="6" t="s">
        <v>146</v>
      </c>
      <c r="C18" s="20">
        <v>45664</v>
      </c>
      <c r="D18" s="6" t="s">
        <v>132</v>
      </c>
      <c r="E18" s="6" t="s">
        <v>89</v>
      </c>
      <c r="F18" s="6" t="s">
        <v>97</v>
      </c>
      <c r="G18" s="6" t="s">
        <v>98</v>
      </c>
      <c r="H18" s="6" t="s">
        <v>92</v>
      </c>
      <c r="I18" s="6" t="s">
        <v>144</v>
      </c>
      <c r="J18" s="25">
        <v>2</v>
      </c>
      <c r="K18" s="21">
        <v>143.52000000000001</v>
      </c>
      <c r="L18" s="63">
        <v>0</v>
      </c>
      <c r="M18" s="21">
        <v>48.75</v>
      </c>
      <c r="N18" s="6" t="s">
        <v>94</v>
      </c>
      <c r="O18" s="60">
        <f>Vendas2025[[#This Row],[Quantidade]]*Vendas2025[[#This Row],[Preço_Unitário_R$]]</f>
        <v>287.04000000000002</v>
      </c>
      <c r="P18" s="60">
        <f>Vendas2025[[#This Row],[Receita_Bruta_R$]]*Vendas2025[[#This Row],[Desconto_pct]]</f>
        <v>0</v>
      </c>
      <c r="Q18" s="60">
        <f t="shared" si="0"/>
        <v>287.04000000000002</v>
      </c>
      <c r="R18" s="60">
        <f t="shared" si="1"/>
        <v>97.5</v>
      </c>
      <c r="S18" s="60">
        <f t="shared" si="2"/>
        <v>189.54000000000002</v>
      </c>
      <c r="T18" s="65">
        <f t="shared" si="3"/>
        <v>0.66032608695652173</v>
      </c>
    </row>
    <row r="19" spans="1:20">
      <c r="A19" s="41">
        <f t="shared" si="4"/>
        <v>1</v>
      </c>
      <c r="B19" s="6" t="s">
        <v>147</v>
      </c>
      <c r="C19" s="20">
        <v>45665</v>
      </c>
      <c r="D19" s="6" t="s">
        <v>88</v>
      </c>
      <c r="E19" s="6" t="s">
        <v>89</v>
      </c>
      <c r="F19" s="6" t="s">
        <v>90</v>
      </c>
      <c r="G19" s="6" t="s">
        <v>105</v>
      </c>
      <c r="H19" s="6" t="s">
        <v>119</v>
      </c>
      <c r="I19" s="6" t="s">
        <v>138</v>
      </c>
      <c r="J19" s="25">
        <v>1</v>
      </c>
      <c r="K19" s="21">
        <v>137.63999999999999</v>
      </c>
      <c r="L19" s="63">
        <v>0.25</v>
      </c>
      <c r="M19" s="21">
        <v>54.08</v>
      </c>
      <c r="N19" s="6" t="s">
        <v>94</v>
      </c>
      <c r="O19" s="60">
        <f>Vendas2025[[#This Row],[Quantidade]]*Vendas2025[[#This Row],[Preço_Unitário_R$]]</f>
        <v>137.63999999999999</v>
      </c>
      <c r="P19" s="60">
        <f>Vendas2025[[#This Row],[Receita_Bruta_R$]]*Vendas2025[[#This Row],[Desconto_pct]]</f>
        <v>34.409999999999997</v>
      </c>
      <c r="Q19" s="60">
        <f t="shared" si="0"/>
        <v>103.22999999999999</v>
      </c>
      <c r="R19" s="60">
        <f t="shared" si="1"/>
        <v>54.08</v>
      </c>
      <c r="S19" s="60">
        <f t="shared" si="2"/>
        <v>49.149999999999991</v>
      </c>
      <c r="T19" s="65">
        <f t="shared" si="3"/>
        <v>0.47612128257289543</v>
      </c>
    </row>
    <row r="20" spans="1:20">
      <c r="A20" s="41">
        <f t="shared" si="4"/>
        <v>1</v>
      </c>
      <c r="B20" s="6" t="s">
        <v>148</v>
      </c>
      <c r="C20" s="20">
        <v>45665</v>
      </c>
      <c r="D20" s="6" t="s">
        <v>118</v>
      </c>
      <c r="E20" s="6" t="s">
        <v>114</v>
      </c>
      <c r="F20" s="6" t="s">
        <v>97</v>
      </c>
      <c r="G20" s="6" t="s">
        <v>110</v>
      </c>
      <c r="H20" s="6" t="s">
        <v>92</v>
      </c>
      <c r="I20" s="6" t="s">
        <v>93</v>
      </c>
      <c r="J20" s="25">
        <v>2</v>
      </c>
      <c r="K20" s="21">
        <v>230.23</v>
      </c>
      <c r="L20" s="63">
        <v>0.08</v>
      </c>
      <c r="M20" s="21">
        <v>97.01</v>
      </c>
      <c r="N20" s="6" t="s">
        <v>94</v>
      </c>
      <c r="O20" s="60">
        <f>Vendas2025[[#This Row],[Quantidade]]*Vendas2025[[#This Row],[Preço_Unitário_R$]]</f>
        <v>460.46</v>
      </c>
      <c r="P20" s="60">
        <f>Vendas2025[[#This Row],[Receita_Bruta_R$]]*Vendas2025[[#This Row],[Desconto_pct]]</f>
        <v>36.836799999999997</v>
      </c>
      <c r="Q20" s="60">
        <f t="shared" si="0"/>
        <v>423.6232</v>
      </c>
      <c r="R20" s="60">
        <f t="shared" si="1"/>
        <v>194.02</v>
      </c>
      <c r="S20" s="60">
        <f t="shared" si="2"/>
        <v>229.60319999999999</v>
      </c>
      <c r="T20" s="65">
        <f t="shared" si="3"/>
        <v>0.5419986440780391</v>
      </c>
    </row>
    <row r="21" spans="1:20">
      <c r="A21" s="41">
        <f t="shared" si="4"/>
        <v>1</v>
      </c>
      <c r="B21" s="6" t="s">
        <v>149</v>
      </c>
      <c r="C21" s="20">
        <v>45666</v>
      </c>
      <c r="D21" s="6" t="s">
        <v>96</v>
      </c>
      <c r="E21" s="6" t="s">
        <v>89</v>
      </c>
      <c r="F21" s="6" t="s">
        <v>122</v>
      </c>
      <c r="G21" s="6" t="s">
        <v>115</v>
      </c>
      <c r="H21" s="6" t="s">
        <v>92</v>
      </c>
      <c r="I21" s="6" t="s">
        <v>144</v>
      </c>
      <c r="J21" s="25">
        <v>2</v>
      </c>
      <c r="K21" s="21">
        <v>141.25</v>
      </c>
      <c r="L21" s="63">
        <v>0.15</v>
      </c>
      <c r="M21" s="21">
        <v>50.53</v>
      </c>
      <c r="N21" s="6" t="s">
        <v>108</v>
      </c>
      <c r="O21" s="60">
        <f>Vendas2025[[#This Row],[Quantidade]]*Vendas2025[[#This Row],[Preço_Unitário_R$]]</f>
        <v>282.5</v>
      </c>
      <c r="P21" s="60">
        <f>Vendas2025[[#This Row],[Receita_Bruta_R$]]*Vendas2025[[#This Row],[Desconto_pct]]</f>
        <v>42.375</v>
      </c>
      <c r="Q21" s="60">
        <f t="shared" si="0"/>
        <v>0</v>
      </c>
      <c r="R21" s="60">
        <f t="shared" si="1"/>
        <v>0</v>
      </c>
      <c r="S21" s="60">
        <f t="shared" si="2"/>
        <v>0</v>
      </c>
      <c r="T21" s="65" t="str">
        <f t="shared" si="3"/>
        <v/>
      </c>
    </row>
    <row r="22" spans="1:20">
      <c r="A22" s="41">
        <f t="shared" si="4"/>
        <v>1</v>
      </c>
      <c r="B22" s="6" t="s">
        <v>150</v>
      </c>
      <c r="C22" s="20">
        <v>45666</v>
      </c>
      <c r="D22" s="6" t="s">
        <v>113</v>
      </c>
      <c r="E22" s="6" t="s">
        <v>114</v>
      </c>
      <c r="F22" s="6" t="s">
        <v>122</v>
      </c>
      <c r="G22" s="6" t="s">
        <v>151</v>
      </c>
      <c r="H22" s="6" t="s">
        <v>99</v>
      </c>
      <c r="I22" s="6" t="s">
        <v>100</v>
      </c>
      <c r="J22" s="25">
        <v>1</v>
      </c>
      <c r="K22" s="21">
        <v>433.84</v>
      </c>
      <c r="L22" s="63">
        <v>0.2</v>
      </c>
      <c r="M22" s="21">
        <v>250.69</v>
      </c>
      <c r="N22" s="6" t="s">
        <v>94</v>
      </c>
      <c r="O22" s="60">
        <f>Vendas2025[[#This Row],[Quantidade]]*Vendas2025[[#This Row],[Preço_Unitário_R$]]</f>
        <v>433.84</v>
      </c>
      <c r="P22" s="60">
        <f>Vendas2025[[#This Row],[Receita_Bruta_R$]]*Vendas2025[[#This Row],[Desconto_pct]]</f>
        <v>86.768000000000001</v>
      </c>
      <c r="Q22" s="60">
        <f t="shared" si="0"/>
        <v>347.072</v>
      </c>
      <c r="R22" s="60">
        <f t="shared" si="1"/>
        <v>250.69</v>
      </c>
      <c r="S22" s="60">
        <f t="shared" si="2"/>
        <v>96.382000000000005</v>
      </c>
      <c r="T22" s="65">
        <f t="shared" si="3"/>
        <v>0.27770030425963488</v>
      </c>
    </row>
    <row r="23" spans="1:20">
      <c r="A23" s="41">
        <f t="shared" si="4"/>
        <v>1</v>
      </c>
      <c r="B23" s="6" t="s">
        <v>152</v>
      </c>
      <c r="C23" s="20">
        <v>45666</v>
      </c>
      <c r="D23" s="6" t="s">
        <v>129</v>
      </c>
      <c r="E23" s="6" t="s">
        <v>103</v>
      </c>
      <c r="F23" s="6" t="s">
        <v>122</v>
      </c>
      <c r="G23" s="6" t="s">
        <v>115</v>
      </c>
      <c r="H23" s="6" t="s">
        <v>119</v>
      </c>
      <c r="I23" s="6" t="s">
        <v>138</v>
      </c>
      <c r="J23" s="25">
        <v>1</v>
      </c>
      <c r="K23" s="21">
        <v>138.59</v>
      </c>
      <c r="L23" s="63">
        <v>0.05</v>
      </c>
      <c r="M23" s="21">
        <v>56.23</v>
      </c>
      <c r="N23" s="6" t="s">
        <v>94</v>
      </c>
      <c r="O23" s="60">
        <f>Vendas2025[[#This Row],[Quantidade]]*Vendas2025[[#This Row],[Preço_Unitário_R$]]</f>
        <v>138.59</v>
      </c>
      <c r="P23" s="60">
        <f>Vendas2025[[#This Row],[Receita_Bruta_R$]]*Vendas2025[[#This Row],[Desconto_pct]]</f>
        <v>6.9295000000000009</v>
      </c>
      <c r="Q23" s="60">
        <f t="shared" si="0"/>
        <v>131.66050000000001</v>
      </c>
      <c r="R23" s="60">
        <f t="shared" si="1"/>
        <v>56.23</v>
      </c>
      <c r="S23" s="60">
        <f t="shared" si="2"/>
        <v>75.430500000000023</v>
      </c>
      <c r="T23" s="65">
        <f t="shared" si="3"/>
        <v>0.57291670622548152</v>
      </c>
    </row>
    <row r="24" spans="1:20">
      <c r="A24" s="41">
        <f t="shared" si="4"/>
        <v>1</v>
      </c>
      <c r="B24" s="6" t="s">
        <v>153</v>
      </c>
      <c r="C24" s="20">
        <v>45666</v>
      </c>
      <c r="D24" s="6" t="s">
        <v>132</v>
      </c>
      <c r="E24" s="6" t="s">
        <v>89</v>
      </c>
      <c r="F24" s="6" t="s">
        <v>97</v>
      </c>
      <c r="G24" s="6" t="s">
        <v>154</v>
      </c>
      <c r="H24" s="6" t="s">
        <v>119</v>
      </c>
      <c r="I24" s="6" t="s">
        <v>155</v>
      </c>
      <c r="J24" s="25">
        <v>1</v>
      </c>
      <c r="K24" s="21">
        <v>335.02</v>
      </c>
      <c r="L24" s="63">
        <v>0</v>
      </c>
      <c r="M24" s="21">
        <v>181.55</v>
      </c>
      <c r="N24" s="6" t="s">
        <v>94</v>
      </c>
      <c r="O24" s="60">
        <f>Vendas2025[[#This Row],[Quantidade]]*Vendas2025[[#This Row],[Preço_Unitário_R$]]</f>
        <v>335.02</v>
      </c>
      <c r="P24" s="60">
        <f>Vendas2025[[#This Row],[Receita_Bruta_R$]]*Vendas2025[[#This Row],[Desconto_pct]]</f>
        <v>0</v>
      </c>
      <c r="Q24" s="60">
        <f t="shared" si="0"/>
        <v>335.02</v>
      </c>
      <c r="R24" s="60">
        <f t="shared" si="1"/>
        <v>181.55</v>
      </c>
      <c r="S24" s="60">
        <f t="shared" si="2"/>
        <v>153.46999999999997</v>
      </c>
      <c r="T24" s="65">
        <f t="shared" si="3"/>
        <v>0.45809205420571902</v>
      </c>
    </row>
    <row r="25" spans="1:20">
      <c r="A25" s="41">
        <f t="shared" si="4"/>
        <v>1</v>
      </c>
      <c r="B25" s="6" t="s">
        <v>156</v>
      </c>
      <c r="C25" s="20">
        <v>45667</v>
      </c>
      <c r="D25" s="6" t="s">
        <v>102</v>
      </c>
      <c r="E25" s="6" t="s">
        <v>103</v>
      </c>
      <c r="F25" s="6" t="s">
        <v>97</v>
      </c>
      <c r="G25" s="6" t="s">
        <v>154</v>
      </c>
      <c r="H25" s="6" t="s">
        <v>119</v>
      </c>
      <c r="I25" s="6" t="s">
        <v>155</v>
      </c>
      <c r="J25" s="25">
        <v>2</v>
      </c>
      <c r="K25" s="21">
        <v>339.82</v>
      </c>
      <c r="L25" s="63">
        <v>0.05</v>
      </c>
      <c r="M25" s="21">
        <v>192.12</v>
      </c>
      <c r="N25" s="6" t="s">
        <v>94</v>
      </c>
      <c r="O25" s="60">
        <f>Vendas2025[[#This Row],[Quantidade]]*Vendas2025[[#This Row],[Preço_Unitário_R$]]</f>
        <v>679.64</v>
      </c>
      <c r="P25" s="60">
        <f>Vendas2025[[#This Row],[Receita_Bruta_R$]]*Vendas2025[[#This Row],[Desconto_pct]]</f>
        <v>33.981999999999999</v>
      </c>
      <c r="Q25" s="60">
        <f t="shared" si="0"/>
        <v>645.65800000000002</v>
      </c>
      <c r="R25" s="60">
        <f t="shared" si="1"/>
        <v>384.24</v>
      </c>
      <c r="S25" s="60">
        <f t="shared" si="2"/>
        <v>261.41800000000001</v>
      </c>
      <c r="T25" s="65">
        <f t="shared" si="3"/>
        <v>0.40488617813145661</v>
      </c>
    </row>
    <row r="26" spans="1:20">
      <c r="A26" s="41">
        <f t="shared" si="4"/>
        <v>1</v>
      </c>
      <c r="B26" s="6" t="s">
        <v>157</v>
      </c>
      <c r="C26" s="20">
        <v>45667</v>
      </c>
      <c r="D26" s="6" t="s">
        <v>129</v>
      </c>
      <c r="E26" s="6" t="s">
        <v>103</v>
      </c>
      <c r="F26" s="6" t="s">
        <v>90</v>
      </c>
      <c r="G26" s="6" t="s">
        <v>98</v>
      </c>
      <c r="H26" s="6" t="s">
        <v>99</v>
      </c>
      <c r="I26" s="6" t="s">
        <v>158</v>
      </c>
      <c r="J26" s="25">
        <v>2</v>
      </c>
      <c r="K26" s="21">
        <v>191.96</v>
      </c>
      <c r="L26" s="63">
        <v>0.2</v>
      </c>
      <c r="M26" s="21">
        <v>89.09</v>
      </c>
      <c r="N26" s="6" t="s">
        <v>94</v>
      </c>
      <c r="O26" s="60">
        <f>Vendas2025[[#This Row],[Quantidade]]*Vendas2025[[#This Row],[Preço_Unitário_R$]]</f>
        <v>383.92</v>
      </c>
      <c r="P26" s="60">
        <f>Vendas2025[[#This Row],[Receita_Bruta_R$]]*Vendas2025[[#This Row],[Desconto_pct]]</f>
        <v>76.784000000000006</v>
      </c>
      <c r="Q26" s="60">
        <f t="shared" si="0"/>
        <v>307.13600000000002</v>
      </c>
      <c r="R26" s="60">
        <f t="shared" si="1"/>
        <v>178.18</v>
      </c>
      <c r="S26" s="60">
        <f t="shared" si="2"/>
        <v>128.95600000000002</v>
      </c>
      <c r="T26" s="65">
        <f t="shared" si="3"/>
        <v>0.41986611794123779</v>
      </c>
    </row>
    <row r="27" spans="1:20">
      <c r="A27" s="41">
        <f t="shared" si="4"/>
        <v>1</v>
      </c>
      <c r="B27" s="6" t="s">
        <v>159</v>
      </c>
      <c r="C27" s="20">
        <v>45667</v>
      </c>
      <c r="D27" s="6" t="s">
        <v>102</v>
      </c>
      <c r="E27" s="6" t="s">
        <v>103</v>
      </c>
      <c r="F27" s="6" t="s">
        <v>97</v>
      </c>
      <c r="G27" s="6" t="s">
        <v>160</v>
      </c>
      <c r="H27" s="6" t="s">
        <v>119</v>
      </c>
      <c r="I27" s="6" t="s">
        <v>138</v>
      </c>
      <c r="J27" s="25">
        <v>1</v>
      </c>
      <c r="K27" s="21">
        <v>141.04</v>
      </c>
      <c r="L27" s="63">
        <v>0.05</v>
      </c>
      <c r="M27" s="21">
        <v>58.32</v>
      </c>
      <c r="N27" s="6" t="s">
        <v>94</v>
      </c>
      <c r="O27" s="60">
        <f>Vendas2025[[#This Row],[Quantidade]]*Vendas2025[[#This Row],[Preço_Unitário_R$]]</f>
        <v>141.04</v>
      </c>
      <c r="P27" s="60">
        <f>Vendas2025[[#This Row],[Receita_Bruta_R$]]*Vendas2025[[#This Row],[Desconto_pct]]</f>
        <v>7.0519999999999996</v>
      </c>
      <c r="Q27" s="60">
        <f t="shared" si="0"/>
        <v>133.988</v>
      </c>
      <c r="R27" s="60">
        <f t="shared" si="1"/>
        <v>58.32</v>
      </c>
      <c r="S27" s="60">
        <f t="shared" si="2"/>
        <v>75.668000000000006</v>
      </c>
      <c r="T27" s="65">
        <f t="shared" si="3"/>
        <v>0.56473714063946034</v>
      </c>
    </row>
    <row r="28" spans="1:20">
      <c r="A28" s="41">
        <f t="shared" si="4"/>
        <v>1</v>
      </c>
      <c r="B28" s="6" t="s">
        <v>161</v>
      </c>
      <c r="C28" s="20">
        <v>45668</v>
      </c>
      <c r="D28" s="6" t="s">
        <v>132</v>
      </c>
      <c r="E28" s="6" t="s">
        <v>89</v>
      </c>
      <c r="F28" s="6" t="s">
        <v>122</v>
      </c>
      <c r="G28" s="6" t="s">
        <v>91</v>
      </c>
      <c r="H28" s="6" t="s">
        <v>99</v>
      </c>
      <c r="I28" s="6" t="s">
        <v>130</v>
      </c>
      <c r="J28" s="25">
        <v>1</v>
      </c>
      <c r="K28" s="21">
        <v>262.35000000000002</v>
      </c>
      <c r="L28" s="63">
        <v>0.15</v>
      </c>
      <c r="M28" s="21">
        <v>130.63999999999999</v>
      </c>
      <c r="N28" s="6" t="s">
        <v>94</v>
      </c>
      <c r="O28" s="60">
        <f>Vendas2025[[#This Row],[Quantidade]]*Vendas2025[[#This Row],[Preço_Unitário_R$]]</f>
        <v>262.35000000000002</v>
      </c>
      <c r="P28" s="60">
        <f>Vendas2025[[#This Row],[Receita_Bruta_R$]]*Vendas2025[[#This Row],[Desconto_pct]]</f>
        <v>39.352499999999999</v>
      </c>
      <c r="Q28" s="60">
        <f t="shared" si="0"/>
        <v>222.99750000000003</v>
      </c>
      <c r="R28" s="60">
        <f t="shared" si="1"/>
        <v>130.63999999999999</v>
      </c>
      <c r="S28" s="60">
        <f t="shared" si="2"/>
        <v>92.357500000000044</v>
      </c>
      <c r="T28" s="65">
        <f t="shared" si="3"/>
        <v>0.41416383591744316</v>
      </c>
    </row>
    <row r="29" spans="1:20">
      <c r="A29" s="41">
        <f t="shared" si="4"/>
        <v>1</v>
      </c>
      <c r="B29" s="6" t="s">
        <v>162</v>
      </c>
      <c r="C29" s="20">
        <v>45668</v>
      </c>
      <c r="D29" s="6" t="s">
        <v>113</v>
      </c>
      <c r="E29" s="6" t="s">
        <v>114</v>
      </c>
      <c r="F29" s="6" t="s">
        <v>104</v>
      </c>
      <c r="G29" s="6" t="s">
        <v>140</v>
      </c>
      <c r="H29" s="6" t="s">
        <v>99</v>
      </c>
      <c r="I29" s="6" t="s">
        <v>163</v>
      </c>
      <c r="J29" s="25">
        <v>1</v>
      </c>
      <c r="K29" s="21">
        <v>1266.06</v>
      </c>
      <c r="L29" s="63">
        <v>0.05</v>
      </c>
      <c r="M29" s="21">
        <v>880.66</v>
      </c>
      <c r="N29" s="6" t="s">
        <v>108</v>
      </c>
      <c r="O29" s="60">
        <f>Vendas2025[[#This Row],[Quantidade]]*Vendas2025[[#This Row],[Preço_Unitário_R$]]</f>
        <v>1266.06</v>
      </c>
      <c r="P29" s="60">
        <f>Vendas2025[[#This Row],[Receita_Bruta_R$]]*Vendas2025[[#This Row],[Desconto_pct]]</f>
        <v>63.302999999999997</v>
      </c>
      <c r="Q29" s="60">
        <f t="shared" si="0"/>
        <v>0</v>
      </c>
      <c r="R29" s="60">
        <f t="shared" si="1"/>
        <v>0</v>
      </c>
      <c r="S29" s="60">
        <f t="shared" si="2"/>
        <v>0</v>
      </c>
      <c r="T29" s="65" t="str">
        <f t="shared" si="3"/>
        <v/>
      </c>
    </row>
    <row r="30" spans="1:20">
      <c r="A30" s="41">
        <f t="shared" si="4"/>
        <v>1</v>
      </c>
      <c r="B30" s="6" t="s">
        <v>164</v>
      </c>
      <c r="C30" s="20">
        <v>45668</v>
      </c>
      <c r="D30" s="6" t="s">
        <v>136</v>
      </c>
      <c r="E30" s="6" t="s">
        <v>137</v>
      </c>
      <c r="F30" s="6" t="s">
        <v>104</v>
      </c>
      <c r="G30" s="6" t="s">
        <v>115</v>
      </c>
      <c r="H30" s="6" t="s">
        <v>92</v>
      </c>
      <c r="I30" s="6" t="s">
        <v>134</v>
      </c>
      <c r="J30" s="25">
        <v>1</v>
      </c>
      <c r="K30" s="21">
        <v>427.24</v>
      </c>
      <c r="L30" s="63">
        <v>0.05</v>
      </c>
      <c r="M30" s="21">
        <v>236.98</v>
      </c>
      <c r="N30" s="6" t="s">
        <v>94</v>
      </c>
      <c r="O30" s="60">
        <f>Vendas2025[[#This Row],[Quantidade]]*Vendas2025[[#This Row],[Preço_Unitário_R$]]</f>
        <v>427.24</v>
      </c>
      <c r="P30" s="60">
        <f>Vendas2025[[#This Row],[Receita_Bruta_R$]]*Vendas2025[[#This Row],[Desconto_pct]]</f>
        <v>21.362000000000002</v>
      </c>
      <c r="Q30" s="60">
        <f t="shared" si="0"/>
        <v>405.87799999999999</v>
      </c>
      <c r="R30" s="60">
        <f t="shared" si="1"/>
        <v>236.98</v>
      </c>
      <c r="S30" s="60">
        <f t="shared" si="2"/>
        <v>168.898</v>
      </c>
      <c r="T30" s="65">
        <f t="shared" si="3"/>
        <v>0.41612997008953428</v>
      </c>
    </row>
    <row r="31" spans="1:20">
      <c r="A31" s="41">
        <f t="shared" si="4"/>
        <v>1</v>
      </c>
      <c r="B31" s="6" t="s">
        <v>165</v>
      </c>
      <c r="C31" s="20">
        <v>45668</v>
      </c>
      <c r="D31" s="6" t="s">
        <v>88</v>
      </c>
      <c r="E31" s="6" t="s">
        <v>89</v>
      </c>
      <c r="F31" s="6" t="s">
        <v>90</v>
      </c>
      <c r="G31" s="6" t="s">
        <v>115</v>
      </c>
      <c r="H31" s="6" t="s">
        <v>106</v>
      </c>
      <c r="I31" s="6" t="s">
        <v>116</v>
      </c>
      <c r="J31" s="25">
        <v>2</v>
      </c>
      <c r="K31" s="21">
        <v>439.48</v>
      </c>
      <c r="L31" s="63">
        <v>0.25</v>
      </c>
      <c r="M31" s="21">
        <v>248.02</v>
      </c>
      <c r="N31" s="6" t="s">
        <v>108</v>
      </c>
      <c r="O31" s="60">
        <f>Vendas2025[[#This Row],[Quantidade]]*Vendas2025[[#This Row],[Preço_Unitário_R$]]</f>
        <v>878.96</v>
      </c>
      <c r="P31" s="60">
        <f>Vendas2025[[#This Row],[Receita_Bruta_R$]]*Vendas2025[[#This Row],[Desconto_pct]]</f>
        <v>219.74</v>
      </c>
      <c r="Q31" s="60">
        <f t="shared" si="0"/>
        <v>0</v>
      </c>
      <c r="R31" s="60">
        <f t="shared" si="1"/>
        <v>0</v>
      </c>
      <c r="S31" s="60">
        <f t="shared" si="2"/>
        <v>0</v>
      </c>
      <c r="T31" s="65" t="str">
        <f t="shared" si="3"/>
        <v/>
      </c>
    </row>
    <row r="32" spans="1:20">
      <c r="A32" s="41">
        <f t="shared" si="4"/>
        <v>1</v>
      </c>
      <c r="B32" s="6" t="s">
        <v>166</v>
      </c>
      <c r="C32" s="20">
        <v>45669</v>
      </c>
      <c r="D32" s="6" t="s">
        <v>113</v>
      </c>
      <c r="E32" s="6" t="s">
        <v>114</v>
      </c>
      <c r="F32" s="6" t="s">
        <v>122</v>
      </c>
      <c r="G32" s="6" t="s">
        <v>91</v>
      </c>
      <c r="H32" s="6" t="s">
        <v>99</v>
      </c>
      <c r="I32" s="6" t="s">
        <v>130</v>
      </c>
      <c r="J32" s="25">
        <v>1</v>
      </c>
      <c r="K32" s="21">
        <v>233.44</v>
      </c>
      <c r="L32" s="63">
        <v>0.05</v>
      </c>
      <c r="M32" s="21">
        <v>114.83</v>
      </c>
      <c r="N32" s="6" t="s">
        <v>94</v>
      </c>
      <c r="O32" s="60">
        <f>Vendas2025[[#This Row],[Quantidade]]*Vendas2025[[#This Row],[Preço_Unitário_R$]]</f>
        <v>233.44</v>
      </c>
      <c r="P32" s="60">
        <f>Vendas2025[[#This Row],[Receita_Bruta_R$]]*Vendas2025[[#This Row],[Desconto_pct]]</f>
        <v>11.672000000000001</v>
      </c>
      <c r="Q32" s="60">
        <f t="shared" si="0"/>
        <v>221.768</v>
      </c>
      <c r="R32" s="60">
        <f t="shared" si="1"/>
        <v>114.83</v>
      </c>
      <c r="S32" s="60">
        <f t="shared" si="2"/>
        <v>106.938</v>
      </c>
      <c r="T32" s="65">
        <f t="shared" si="3"/>
        <v>0.48220663035244038</v>
      </c>
    </row>
    <row r="33" spans="1:20">
      <c r="A33" s="41">
        <f t="shared" si="4"/>
        <v>1</v>
      </c>
      <c r="B33" s="6" t="s">
        <v>167</v>
      </c>
      <c r="C33" s="20">
        <v>45670</v>
      </c>
      <c r="D33" s="6" t="s">
        <v>96</v>
      </c>
      <c r="E33" s="6" t="s">
        <v>89</v>
      </c>
      <c r="F33" s="6" t="s">
        <v>122</v>
      </c>
      <c r="G33" s="6" t="s">
        <v>91</v>
      </c>
      <c r="H33" s="6" t="s">
        <v>92</v>
      </c>
      <c r="I33" s="6" t="s">
        <v>134</v>
      </c>
      <c r="J33" s="25">
        <v>1</v>
      </c>
      <c r="K33" s="21">
        <v>454.84</v>
      </c>
      <c r="L33" s="63">
        <v>0.15</v>
      </c>
      <c r="M33" s="21">
        <v>248.6</v>
      </c>
      <c r="N33" s="6" t="s">
        <v>94</v>
      </c>
      <c r="O33" s="60">
        <f>Vendas2025[[#This Row],[Quantidade]]*Vendas2025[[#This Row],[Preço_Unitário_R$]]</f>
        <v>454.84</v>
      </c>
      <c r="P33" s="60">
        <f>Vendas2025[[#This Row],[Receita_Bruta_R$]]*Vendas2025[[#This Row],[Desconto_pct]]</f>
        <v>68.225999999999999</v>
      </c>
      <c r="Q33" s="60">
        <f t="shared" si="0"/>
        <v>386.61399999999998</v>
      </c>
      <c r="R33" s="60">
        <f t="shared" si="1"/>
        <v>248.6</v>
      </c>
      <c r="S33" s="60">
        <f t="shared" si="2"/>
        <v>138.01399999999998</v>
      </c>
      <c r="T33" s="65">
        <f t="shared" si="3"/>
        <v>0.35698138194685136</v>
      </c>
    </row>
    <row r="34" spans="1:20">
      <c r="A34" s="41">
        <f t="shared" si="4"/>
        <v>1</v>
      </c>
      <c r="B34" s="6" t="s">
        <v>168</v>
      </c>
      <c r="C34" s="20">
        <v>45670</v>
      </c>
      <c r="D34" s="6" t="s">
        <v>102</v>
      </c>
      <c r="E34" s="6" t="s">
        <v>103</v>
      </c>
      <c r="F34" s="6" t="s">
        <v>97</v>
      </c>
      <c r="G34" s="6" t="s">
        <v>151</v>
      </c>
      <c r="H34" s="6" t="s">
        <v>99</v>
      </c>
      <c r="I34" s="6" t="s">
        <v>130</v>
      </c>
      <c r="J34" s="25">
        <v>2</v>
      </c>
      <c r="K34" s="21">
        <v>254.69</v>
      </c>
      <c r="L34" s="63">
        <v>0.1</v>
      </c>
      <c r="M34" s="21">
        <v>119.58</v>
      </c>
      <c r="N34" s="6" t="s">
        <v>94</v>
      </c>
      <c r="O34" s="60">
        <f>Vendas2025[[#This Row],[Quantidade]]*Vendas2025[[#This Row],[Preço_Unitário_R$]]</f>
        <v>509.38</v>
      </c>
      <c r="P34" s="60">
        <f>Vendas2025[[#This Row],[Receita_Bruta_R$]]*Vendas2025[[#This Row],[Desconto_pct]]</f>
        <v>50.938000000000002</v>
      </c>
      <c r="Q34" s="60">
        <f t="shared" si="0"/>
        <v>458.44200000000001</v>
      </c>
      <c r="R34" s="60">
        <f t="shared" si="1"/>
        <v>239.16</v>
      </c>
      <c r="S34" s="60">
        <f t="shared" si="2"/>
        <v>219.28200000000001</v>
      </c>
      <c r="T34" s="65">
        <f t="shared" si="3"/>
        <v>0.47832004921015092</v>
      </c>
    </row>
    <row r="35" spans="1:20">
      <c r="A35" s="41">
        <f t="shared" si="4"/>
        <v>1</v>
      </c>
      <c r="B35" s="6" t="s">
        <v>169</v>
      </c>
      <c r="C35" s="20">
        <v>45670</v>
      </c>
      <c r="D35" s="6" t="s">
        <v>113</v>
      </c>
      <c r="E35" s="6" t="s">
        <v>114</v>
      </c>
      <c r="F35" s="6" t="s">
        <v>97</v>
      </c>
      <c r="G35" s="6" t="s">
        <v>154</v>
      </c>
      <c r="H35" s="6" t="s">
        <v>106</v>
      </c>
      <c r="I35" s="6" t="s">
        <v>170</v>
      </c>
      <c r="J35" s="25">
        <v>1</v>
      </c>
      <c r="K35" s="21">
        <v>542.82000000000005</v>
      </c>
      <c r="L35" s="63">
        <v>0</v>
      </c>
      <c r="M35" s="21">
        <v>274.06</v>
      </c>
      <c r="N35" s="6" t="s">
        <v>94</v>
      </c>
      <c r="O35" s="60">
        <f>Vendas2025[[#This Row],[Quantidade]]*Vendas2025[[#This Row],[Preço_Unitário_R$]]</f>
        <v>542.82000000000005</v>
      </c>
      <c r="P35" s="60">
        <f>Vendas2025[[#This Row],[Receita_Bruta_R$]]*Vendas2025[[#This Row],[Desconto_pct]]</f>
        <v>0</v>
      </c>
      <c r="Q35" s="60">
        <f t="shared" si="0"/>
        <v>542.82000000000005</v>
      </c>
      <c r="R35" s="60">
        <f t="shared" si="1"/>
        <v>274.06</v>
      </c>
      <c r="S35" s="60">
        <f t="shared" si="2"/>
        <v>268.76000000000005</v>
      </c>
      <c r="T35" s="65">
        <f t="shared" si="3"/>
        <v>0.49511808702700716</v>
      </c>
    </row>
    <row r="36" spans="1:20">
      <c r="A36" s="41">
        <f t="shared" si="4"/>
        <v>1</v>
      </c>
      <c r="B36" s="6" t="s">
        <v>171</v>
      </c>
      <c r="C36" s="20">
        <v>45671</v>
      </c>
      <c r="D36" s="6" t="s">
        <v>129</v>
      </c>
      <c r="E36" s="6" t="s">
        <v>103</v>
      </c>
      <c r="F36" s="6" t="s">
        <v>122</v>
      </c>
      <c r="G36" s="6" t="s">
        <v>110</v>
      </c>
      <c r="H36" s="6" t="s">
        <v>92</v>
      </c>
      <c r="I36" s="6" t="s">
        <v>144</v>
      </c>
      <c r="J36" s="25">
        <v>1</v>
      </c>
      <c r="K36" s="21">
        <v>156.61000000000001</v>
      </c>
      <c r="L36" s="63">
        <v>0.03</v>
      </c>
      <c r="M36" s="21">
        <v>54.57</v>
      </c>
      <c r="N36" s="6" t="s">
        <v>94</v>
      </c>
      <c r="O36" s="60">
        <f>Vendas2025[[#This Row],[Quantidade]]*Vendas2025[[#This Row],[Preço_Unitário_R$]]</f>
        <v>156.61000000000001</v>
      </c>
      <c r="P36" s="60">
        <f>Vendas2025[[#This Row],[Receita_Bruta_R$]]*Vendas2025[[#This Row],[Desconto_pct]]</f>
        <v>4.6983000000000006</v>
      </c>
      <c r="Q36" s="60">
        <f t="shared" si="0"/>
        <v>151.91170000000002</v>
      </c>
      <c r="R36" s="60">
        <f t="shared" si="1"/>
        <v>54.57</v>
      </c>
      <c r="S36" s="60">
        <f t="shared" si="2"/>
        <v>97.341700000000031</v>
      </c>
      <c r="T36" s="65">
        <f t="shared" si="3"/>
        <v>0.64077816257733944</v>
      </c>
    </row>
    <row r="37" spans="1:20">
      <c r="A37" s="41">
        <f t="shared" si="4"/>
        <v>1</v>
      </c>
      <c r="B37" s="6" t="s">
        <v>172</v>
      </c>
      <c r="C37" s="20">
        <v>45671</v>
      </c>
      <c r="D37" s="6" t="s">
        <v>132</v>
      </c>
      <c r="E37" s="6" t="s">
        <v>89</v>
      </c>
      <c r="F37" s="6" t="s">
        <v>97</v>
      </c>
      <c r="G37" s="6" t="s">
        <v>110</v>
      </c>
      <c r="H37" s="6" t="s">
        <v>99</v>
      </c>
      <c r="I37" s="6" t="s">
        <v>173</v>
      </c>
      <c r="J37" s="25">
        <v>1</v>
      </c>
      <c r="K37" s="21">
        <v>3934.3</v>
      </c>
      <c r="L37" s="63">
        <v>0</v>
      </c>
      <c r="M37" s="21">
        <v>3061.79</v>
      </c>
      <c r="N37" s="6" t="s">
        <v>94</v>
      </c>
      <c r="O37" s="60">
        <f>Vendas2025[[#This Row],[Quantidade]]*Vendas2025[[#This Row],[Preço_Unitário_R$]]</f>
        <v>3934.3</v>
      </c>
      <c r="P37" s="60">
        <f>Vendas2025[[#This Row],[Receita_Bruta_R$]]*Vendas2025[[#This Row],[Desconto_pct]]</f>
        <v>0</v>
      </c>
      <c r="Q37" s="60">
        <f t="shared" si="0"/>
        <v>3934.3</v>
      </c>
      <c r="R37" s="60">
        <f t="shared" si="1"/>
        <v>3061.79</v>
      </c>
      <c r="S37" s="60">
        <f t="shared" si="2"/>
        <v>872.51000000000022</v>
      </c>
      <c r="T37" s="65">
        <f t="shared" si="3"/>
        <v>0.22177007345652344</v>
      </c>
    </row>
    <row r="38" spans="1:20">
      <c r="A38" s="41">
        <f t="shared" si="4"/>
        <v>1</v>
      </c>
      <c r="B38" s="6" t="s">
        <v>174</v>
      </c>
      <c r="C38" s="20">
        <v>45672</v>
      </c>
      <c r="D38" s="6" t="s">
        <v>129</v>
      </c>
      <c r="E38" s="6" t="s">
        <v>103</v>
      </c>
      <c r="F38" s="6" t="s">
        <v>122</v>
      </c>
      <c r="G38" s="6" t="s">
        <v>127</v>
      </c>
      <c r="H38" s="6" t="s">
        <v>92</v>
      </c>
      <c r="I38" s="6" t="s">
        <v>93</v>
      </c>
      <c r="J38" s="25">
        <v>1</v>
      </c>
      <c r="K38" s="21">
        <v>245.4</v>
      </c>
      <c r="L38" s="63">
        <v>0.15</v>
      </c>
      <c r="M38" s="21">
        <v>108.52</v>
      </c>
      <c r="N38" s="6" t="s">
        <v>94</v>
      </c>
      <c r="O38" s="60">
        <f>Vendas2025[[#This Row],[Quantidade]]*Vendas2025[[#This Row],[Preço_Unitário_R$]]</f>
        <v>245.4</v>
      </c>
      <c r="P38" s="60">
        <f>Vendas2025[[#This Row],[Receita_Bruta_R$]]*Vendas2025[[#This Row],[Desconto_pct]]</f>
        <v>36.81</v>
      </c>
      <c r="Q38" s="60">
        <f t="shared" si="0"/>
        <v>208.59</v>
      </c>
      <c r="R38" s="60">
        <f t="shared" si="1"/>
        <v>108.52</v>
      </c>
      <c r="S38" s="60">
        <f t="shared" si="2"/>
        <v>100.07000000000001</v>
      </c>
      <c r="T38" s="65">
        <f t="shared" si="3"/>
        <v>0.47974495421640539</v>
      </c>
    </row>
    <row r="39" spans="1:20">
      <c r="A39" s="41">
        <f t="shared" si="4"/>
        <v>1</v>
      </c>
      <c r="B39" s="6" t="s">
        <v>175</v>
      </c>
      <c r="C39" s="20">
        <v>45672</v>
      </c>
      <c r="D39" s="6" t="s">
        <v>129</v>
      </c>
      <c r="E39" s="6" t="s">
        <v>103</v>
      </c>
      <c r="F39" s="6" t="s">
        <v>122</v>
      </c>
      <c r="G39" s="6" t="s">
        <v>160</v>
      </c>
      <c r="H39" s="6" t="s">
        <v>99</v>
      </c>
      <c r="I39" s="6" t="s">
        <v>163</v>
      </c>
      <c r="J39" s="25">
        <v>1</v>
      </c>
      <c r="K39" s="21">
        <v>1272.82</v>
      </c>
      <c r="L39" s="63">
        <v>0.05</v>
      </c>
      <c r="M39" s="21">
        <v>924.87</v>
      </c>
      <c r="N39" s="6" t="s">
        <v>94</v>
      </c>
      <c r="O39" s="60">
        <f>Vendas2025[[#This Row],[Quantidade]]*Vendas2025[[#This Row],[Preço_Unitário_R$]]</f>
        <v>1272.82</v>
      </c>
      <c r="P39" s="60">
        <f>Vendas2025[[#This Row],[Receita_Bruta_R$]]*Vendas2025[[#This Row],[Desconto_pct]]</f>
        <v>63.640999999999998</v>
      </c>
      <c r="Q39" s="60">
        <f t="shared" si="0"/>
        <v>1209.1789999999999</v>
      </c>
      <c r="R39" s="60">
        <f t="shared" si="1"/>
        <v>924.87</v>
      </c>
      <c r="S39" s="60">
        <f t="shared" si="2"/>
        <v>284.30899999999986</v>
      </c>
      <c r="T39" s="65">
        <f t="shared" si="3"/>
        <v>0.23512565137171576</v>
      </c>
    </row>
    <row r="40" spans="1:20">
      <c r="A40" s="41">
        <f t="shared" si="4"/>
        <v>1</v>
      </c>
      <c r="B40" s="6" t="s">
        <v>176</v>
      </c>
      <c r="C40" s="20">
        <v>45672</v>
      </c>
      <c r="D40" s="6" t="s">
        <v>118</v>
      </c>
      <c r="E40" s="6" t="s">
        <v>114</v>
      </c>
      <c r="F40" s="6" t="s">
        <v>97</v>
      </c>
      <c r="G40" s="6" t="s">
        <v>177</v>
      </c>
      <c r="H40" s="6" t="s">
        <v>119</v>
      </c>
      <c r="I40" s="6" t="s">
        <v>155</v>
      </c>
      <c r="J40" s="25">
        <v>1</v>
      </c>
      <c r="K40" s="21">
        <v>384.01</v>
      </c>
      <c r="L40" s="63">
        <v>0.15</v>
      </c>
      <c r="M40" s="21">
        <v>210.09</v>
      </c>
      <c r="N40" s="6" t="s">
        <v>94</v>
      </c>
      <c r="O40" s="60">
        <f>Vendas2025[[#This Row],[Quantidade]]*Vendas2025[[#This Row],[Preço_Unitário_R$]]</f>
        <v>384.01</v>
      </c>
      <c r="P40" s="60">
        <f>Vendas2025[[#This Row],[Receita_Bruta_R$]]*Vendas2025[[#This Row],[Desconto_pct]]</f>
        <v>57.601499999999994</v>
      </c>
      <c r="Q40" s="60">
        <f t="shared" si="0"/>
        <v>326.4085</v>
      </c>
      <c r="R40" s="60">
        <f t="shared" si="1"/>
        <v>210.09</v>
      </c>
      <c r="S40" s="60">
        <f t="shared" si="2"/>
        <v>116.3185</v>
      </c>
      <c r="T40" s="65">
        <f t="shared" si="3"/>
        <v>0.3563586732575898</v>
      </c>
    </row>
    <row r="41" spans="1:20">
      <c r="A41" s="41">
        <f t="shared" si="4"/>
        <v>1</v>
      </c>
      <c r="B41" s="6" t="s">
        <v>178</v>
      </c>
      <c r="C41" s="20">
        <v>45672</v>
      </c>
      <c r="D41" s="6" t="s">
        <v>102</v>
      </c>
      <c r="E41" s="6" t="s">
        <v>103</v>
      </c>
      <c r="F41" s="6" t="s">
        <v>90</v>
      </c>
      <c r="G41" s="6" t="s">
        <v>151</v>
      </c>
      <c r="H41" s="6" t="s">
        <v>119</v>
      </c>
      <c r="I41" s="6" t="s">
        <v>141</v>
      </c>
      <c r="J41" s="25">
        <v>1</v>
      </c>
      <c r="K41" s="21">
        <v>2876.52</v>
      </c>
      <c r="L41" s="63">
        <v>0.05</v>
      </c>
      <c r="M41" s="21">
        <v>1948.97</v>
      </c>
      <c r="N41" s="6" t="s">
        <v>94</v>
      </c>
      <c r="O41" s="60">
        <f>Vendas2025[[#This Row],[Quantidade]]*Vendas2025[[#This Row],[Preço_Unitário_R$]]</f>
        <v>2876.52</v>
      </c>
      <c r="P41" s="60">
        <f>Vendas2025[[#This Row],[Receita_Bruta_R$]]*Vendas2025[[#This Row],[Desconto_pct]]</f>
        <v>143.82599999999999</v>
      </c>
      <c r="Q41" s="60">
        <f t="shared" si="0"/>
        <v>2732.694</v>
      </c>
      <c r="R41" s="60">
        <f t="shared" si="1"/>
        <v>1948.97</v>
      </c>
      <c r="S41" s="60">
        <f t="shared" si="2"/>
        <v>783.72399999999993</v>
      </c>
      <c r="T41" s="65">
        <f t="shared" si="3"/>
        <v>0.28679537482059825</v>
      </c>
    </row>
    <row r="42" spans="1:20">
      <c r="A42" s="41">
        <f t="shared" si="4"/>
        <v>1</v>
      </c>
      <c r="B42" s="6" t="s">
        <v>179</v>
      </c>
      <c r="C42" s="20">
        <v>45672</v>
      </c>
      <c r="D42" s="6" t="s">
        <v>88</v>
      </c>
      <c r="E42" s="6" t="s">
        <v>89</v>
      </c>
      <c r="F42" s="6" t="s">
        <v>90</v>
      </c>
      <c r="G42" s="6" t="s">
        <v>151</v>
      </c>
      <c r="H42" s="6" t="s">
        <v>92</v>
      </c>
      <c r="I42" s="6" t="s">
        <v>144</v>
      </c>
      <c r="J42" s="25">
        <v>1</v>
      </c>
      <c r="K42" s="21">
        <v>158.34</v>
      </c>
      <c r="L42" s="63">
        <v>0.2</v>
      </c>
      <c r="M42" s="21">
        <v>54.18</v>
      </c>
      <c r="N42" s="6" t="s">
        <v>94</v>
      </c>
      <c r="O42" s="60">
        <f>Vendas2025[[#This Row],[Quantidade]]*Vendas2025[[#This Row],[Preço_Unitário_R$]]</f>
        <v>158.34</v>
      </c>
      <c r="P42" s="60">
        <f>Vendas2025[[#This Row],[Receita_Bruta_R$]]*Vendas2025[[#This Row],[Desconto_pct]]</f>
        <v>31.668000000000003</v>
      </c>
      <c r="Q42" s="60">
        <f t="shared" si="0"/>
        <v>126.672</v>
      </c>
      <c r="R42" s="60">
        <f t="shared" si="1"/>
        <v>54.18</v>
      </c>
      <c r="S42" s="60">
        <f t="shared" si="2"/>
        <v>72.49199999999999</v>
      </c>
      <c r="T42" s="65">
        <f t="shared" si="3"/>
        <v>0.57228116710875321</v>
      </c>
    </row>
    <row r="43" spans="1:20">
      <c r="A43" s="41">
        <f t="shared" si="4"/>
        <v>1</v>
      </c>
      <c r="B43" s="6" t="s">
        <v>180</v>
      </c>
      <c r="C43" s="20">
        <v>45673</v>
      </c>
      <c r="D43" s="6" t="s">
        <v>132</v>
      </c>
      <c r="E43" s="6" t="s">
        <v>89</v>
      </c>
      <c r="F43" s="6" t="s">
        <v>122</v>
      </c>
      <c r="G43" s="6" t="s">
        <v>140</v>
      </c>
      <c r="H43" s="6" t="s">
        <v>92</v>
      </c>
      <c r="I43" s="6" t="s">
        <v>93</v>
      </c>
      <c r="J43" s="25">
        <v>1</v>
      </c>
      <c r="K43" s="21">
        <v>220.73</v>
      </c>
      <c r="L43" s="63">
        <v>0.1</v>
      </c>
      <c r="M43" s="21">
        <v>93.66</v>
      </c>
      <c r="N43" s="6" t="s">
        <v>94</v>
      </c>
      <c r="O43" s="60">
        <f>Vendas2025[[#This Row],[Quantidade]]*Vendas2025[[#This Row],[Preço_Unitário_R$]]</f>
        <v>220.73</v>
      </c>
      <c r="P43" s="60">
        <f>Vendas2025[[#This Row],[Receita_Bruta_R$]]*Vendas2025[[#This Row],[Desconto_pct]]</f>
        <v>22.073</v>
      </c>
      <c r="Q43" s="60">
        <f t="shared" si="0"/>
        <v>198.65699999999998</v>
      </c>
      <c r="R43" s="60">
        <f t="shared" si="1"/>
        <v>93.66</v>
      </c>
      <c r="S43" s="60">
        <f t="shared" si="2"/>
        <v>104.99699999999999</v>
      </c>
      <c r="T43" s="65">
        <f t="shared" si="3"/>
        <v>0.52853410652531752</v>
      </c>
    </row>
    <row r="44" spans="1:20">
      <c r="A44" s="41">
        <f t="shared" si="4"/>
        <v>1</v>
      </c>
      <c r="B44" s="6" t="s">
        <v>181</v>
      </c>
      <c r="C44" s="20">
        <v>45673</v>
      </c>
      <c r="D44" s="6" t="s">
        <v>132</v>
      </c>
      <c r="E44" s="6" t="s">
        <v>89</v>
      </c>
      <c r="F44" s="6" t="s">
        <v>104</v>
      </c>
      <c r="G44" s="6" t="s">
        <v>177</v>
      </c>
      <c r="H44" s="6" t="s">
        <v>92</v>
      </c>
      <c r="I44" s="6" t="s">
        <v>134</v>
      </c>
      <c r="J44" s="25">
        <v>1</v>
      </c>
      <c r="K44" s="21">
        <v>426.11</v>
      </c>
      <c r="L44" s="63">
        <v>0</v>
      </c>
      <c r="M44" s="21">
        <v>231.63</v>
      </c>
      <c r="N44" s="6" t="s">
        <v>94</v>
      </c>
      <c r="O44" s="60">
        <f>Vendas2025[[#This Row],[Quantidade]]*Vendas2025[[#This Row],[Preço_Unitário_R$]]</f>
        <v>426.11</v>
      </c>
      <c r="P44" s="60">
        <f>Vendas2025[[#This Row],[Receita_Bruta_R$]]*Vendas2025[[#This Row],[Desconto_pct]]</f>
        <v>0</v>
      </c>
      <c r="Q44" s="60">
        <f t="shared" si="0"/>
        <v>426.11</v>
      </c>
      <c r="R44" s="60">
        <f t="shared" si="1"/>
        <v>231.63</v>
      </c>
      <c r="S44" s="60">
        <f t="shared" si="2"/>
        <v>194.48000000000002</v>
      </c>
      <c r="T44" s="65">
        <f t="shared" si="3"/>
        <v>0.4564079697730633</v>
      </c>
    </row>
    <row r="45" spans="1:20">
      <c r="A45" s="41">
        <f t="shared" si="4"/>
        <v>1</v>
      </c>
      <c r="B45" s="6" t="s">
        <v>182</v>
      </c>
      <c r="C45" s="20">
        <v>45673</v>
      </c>
      <c r="D45" s="6" t="s">
        <v>136</v>
      </c>
      <c r="E45" s="6" t="s">
        <v>137</v>
      </c>
      <c r="F45" s="6" t="s">
        <v>90</v>
      </c>
      <c r="G45" s="6" t="s">
        <v>115</v>
      </c>
      <c r="H45" s="6" t="s">
        <v>124</v>
      </c>
      <c r="I45" s="6" t="s">
        <v>125</v>
      </c>
      <c r="J45" s="25">
        <v>1</v>
      </c>
      <c r="K45" s="21">
        <v>696.29</v>
      </c>
      <c r="L45" s="63">
        <v>0.2</v>
      </c>
      <c r="M45" s="21">
        <v>324.66000000000003</v>
      </c>
      <c r="N45" s="6" t="s">
        <v>94</v>
      </c>
      <c r="O45" s="60">
        <f>Vendas2025[[#This Row],[Quantidade]]*Vendas2025[[#This Row],[Preço_Unitário_R$]]</f>
        <v>696.29</v>
      </c>
      <c r="P45" s="60">
        <f>Vendas2025[[#This Row],[Receita_Bruta_R$]]*Vendas2025[[#This Row],[Desconto_pct]]</f>
        <v>139.25800000000001</v>
      </c>
      <c r="Q45" s="60">
        <f t="shared" si="0"/>
        <v>557.03199999999993</v>
      </c>
      <c r="R45" s="60">
        <f t="shared" si="1"/>
        <v>324.66000000000003</v>
      </c>
      <c r="S45" s="60">
        <f t="shared" si="2"/>
        <v>232.3719999999999</v>
      </c>
      <c r="T45" s="65">
        <f t="shared" si="3"/>
        <v>0.41716095305117107</v>
      </c>
    </row>
    <row r="46" spans="1:20">
      <c r="A46" s="41">
        <f t="shared" si="4"/>
        <v>1</v>
      </c>
      <c r="B46" s="6" t="s">
        <v>183</v>
      </c>
      <c r="C46" s="20">
        <v>45673</v>
      </c>
      <c r="D46" s="6" t="s">
        <v>129</v>
      </c>
      <c r="E46" s="6" t="s">
        <v>103</v>
      </c>
      <c r="F46" s="6" t="s">
        <v>104</v>
      </c>
      <c r="G46" s="6" t="s">
        <v>91</v>
      </c>
      <c r="H46" s="6" t="s">
        <v>106</v>
      </c>
      <c r="I46" s="6" t="s">
        <v>184</v>
      </c>
      <c r="J46" s="25">
        <v>1</v>
      </c>
      <c r="K46" s="21">
        <v>1100.02</v>
      </c>
      <c r="L46" s="63">
        <v>0.1</v>
      </c>
      <c r="M46" s="21">
        <v>832.07</v>
      </c>
      <c r="N46" s="6" t="s">
        <v>94</v>
      </c>
      <c r="O46" s="60">
        <f>Vendas2025[[#This Row],[Quantidade]]*Vendas2025[[#This Row],[Preço_Unitário_R$]]</f>
        <v>1100.02</v>
      </c>
      <c r="P46" s="60">
        <f>Vendas2025[[#This Row],[Receita_Bruta_R$]]*Vendas2025[[#This Row],[Desconto_pct]]</f>
        <v>110.00200000000001</v>
      </c>
      <c r="Q46" s="60">
        <f t="shared" si="0"/>
        <v>990.01800000000003</v>
      </c>
      <c r="R46" s="60">
        <f t="shared" si="1"/>
        <v>832.07</v>
      </c>
      <c r="S46" s="60">
        <f t="shared" si="2"/>
        <v>157.94799999999998</v>
      </c>
      <c r="T46" s="65">
        <f t="shared" si="3"/>
        <v>0.15954053360645964</v>
      </c>
    </row>
    <row r="47" spans="1:20">
      <c r="A47" s="41">
        <f t="shared" si="4"/>
        <v>1</v>
      </c>
      <c r="B47" s="6" t="s">
        <v>185</v>
      </c>
      <c r="C47" s="20">
        <v>45674</v>
      </c>
      <c r="D47" s="6" t="s">
        <v>88</v>
      </c>
      <c r="E47" s="6" t="s">
        <v>89</v>
      </c>
      <c r="F47" s="6" t="s">
        <v>90</v>
      </c>
      <c r="G47" s="6" t="s">
        <v>160</v>
      </c>
      <c r="H47" s="6" t="s">
        <v>119</v>
      </c>
      <c r="I47" s="6" t="s">
        <v>120</v>
      </c>
      <c r="J47" s="25">
        <v>2</v>
      </c>
      <c r="K47" s="21">
        <v>2134.59</v>
      </c>
      <c r="L47" s="63">
        <v>0.2</v>
      </c>
      <c r="M47" s="21">
        <v>1524.97</v>
      </c>
      <c r="N47" s="6" t="s">
        <v>94</v>
      </c>
      <c r="O47" s="60">
        <f>Vendas2025[[#This Row],[Quantidade]]*Vendas2025[[#This Row],[Preço_Unitário_R$]]</f>
        <v>4269.18</v>
      </c>
      <c r="P47" s="60">
        <f>Vendas2025[[#This Row],[Receita_Bruta_R$]]*Vendas2025[[#This Row],[Desconto_pct]]</f>
        <v>853.83600000000013</v>
      </c>
      <c r="Q47" s="60">
        <f t="shared" si="0"/>
        <v>3415.3440000000001</v>
      </c>
      <c r="R47" s="60">
        <f t="shared" si="1"/>
        <v>3049.94</v>
      </c>
      <c r="S47" s="60">
        <f t="shared" si="2"/>
        <v>365.404</v>
      </c>
      <c r="T47" s="65">
        <f t="shared" si="3"/>
        <v>0.10698892995844635</v>
      </c>
    </row>
    <row r="48" spans="1:20">
      <c r="A48" s="41">
        <f t="shared" si="4"/>
        <v>1</v>
      </c>
      <c r="B48" s="6" t="s">
        <v>186</v>
      </c>
      <c r="C48" s="20">
        <v>45675</v>
      </c>
      <c r="D48" s="6" t="s">
        <v>136</v>
      </c>
      <c r="E48" s="6" t="s">
        <v>137</v>
      </c>
      <c r="F48" s="6" t="s">
        <v>97</v>
      </c>
      <c r="G48" s="6" t="s">
        <v>123</v>
      </c>
      <c r="H48" s="6" t="s">
        <v>106</v>
      </c>
      <c r="I48" s="6" t="s">
        <v>116</v>
      </c>
      <c r="J48" s="25">
        <v>2</v>
      </c>
      <c r="K48" s="21">
        <v>465.31</v>
      </c>
      <c r="L48" s="63">
        <v>0.15</v>
      </c>
      <c r="M48" s="21">
        <v>256.31</v>
      </c>
      <c r="N48" s="6" t="s">
        <v>94</v>
      </c>
      <c r="O48" s="60">
        <f>Vendas2025[[#This Row],[Quantidade]]*Vendas2025[[#This Row],[Preço_Unitário_R$]]</f>
        <v>930.62</v>
      </c>
      <c r="P48" s="60">
        <f>Vendas2025[[#This Row],[Receita_Bruta_R$]]*Vendas2025[[#This Row],[Desconto_pct]]</f>
        <v>139.59299999999999</v>
      </c>
      <c r="Q48" s="60">
        <f t="shared" si="0"/>
        <v>791.02700000000004</v>
      </c>
      <c r="R48" s="60">
        <f t="shared" si="1"/>
        <v>512.62</v>
      </c>
      <c r="S48" s="60">
        <f t="shared" si="2"/>
        <v>278.40700000000004</v>
      </c>
      <c r="T48" s="65">
        <f t="shared" si="3"/>
        <v>0.35195638075565061</v>
      </c>
    </row>
    <row r="49" spans="1:20">
      <c r="A49" s="41">
        <f t="shared" si="4"/>
        <v>1</v>
      </c>
      <c r="B49" s="6" t="s">
        <v>187</v>
      </c>
      <c r="C49" s="20">
        <v>45675</v>
      </c>
      <c r="D49" s="6" t="s">
        <v>136</v>
      </c>
      <c r="E49" s="6" t="s">
        <v>137</v>
      </c>
      <c r="F49" s="6" t="s">
        <v>122</v>
      </c>
      <c r="G49" s="6" t="s">
        <v>123</v>
      </c>
      <c r="H49" s="6" t="s">
        <v>99</v>
      </c>
      <c r="I49" s="6" t="s">
        <v>100</v>
      </c>
      <c r="J49" s="25">
        <v>2</v>
      </c>
      <c r="K49" s="21">
        <v>426.01</v>
      </c>
      <c r="L49" s="63">
        <v>0.05</v>
      </c>
      <c r="M49" s="21">
        <v>243.23</v>
      </c>
      <c r="N49" s="6" t="s">
        <v>94</v>
      </c>
      <c r="O49" s="60">
        <f>Vendas2025[[#This Row],[Quantidade]]*Vendas2025[[#This Row],[Preço_Unitário_R$]]</f>
        <v>852.02</v>
      </c>
      <c r="P49" s="60">
        <f>Vendas2025[[#This Row],[Receita_Bruta_R$]]*Vendas2025[[#This Row],[Desconto_pct]]</f>
        <v>42.600999999999999</v>
      </c>
      <c r="Q49" s="60">
        <f t="shared" si="0"/>
        <v>809.41899999999998</v>
      </c>
      <c r="R49" s="60">
        <f t="shared" si="1"/>
        <v>486.46</v>
      </c>
      <c r="S49" s="60">
        <f t="shared" si="2"/>
        <v>322.959</v>
      </c>
      <c r="T49" s="65">
        <f t="shared" si="3"/>
        <v>0.39900101183688547</v>
      </c>
    </row>
    <row r="50" spans="1:20">
      <c r="A50" s="41">
        <f t="shared" si="4"/>
        <v>1</v>
      </c>
      <c r="B50" s="6" t="s">
        <v>188</v>
      </c>
      <c r="C50" s="20">
        <v>45676</v>
      </c>
      <c r="D50" s="6" t="s">
        <v>129</v>
      </c>
      <c r="E50" s="6" t="s">
        <v>103</v>
      </c>
      <c r="F50" s="6" t="s">
        <v>122</v>
      </c>
      <c r="G50" s="6" t="s">
        <v>177</v>
      </c>
      <c r="H50" s="6" t="s">
        <v>124</v>
      </c>
      <c r="I50" s="6" t="s">
        <v>125</v>
      </c>
      <c r="J50" s="25">
        <v>1</v>
      </c>
      <c r="K50" s="21">
        <v>658.73</v>
      </c>
      <c r="L50" s="63">
        <v>0.05</v>
      </c>
      <c r="M50" s="21">
        <v>319.23</v>
      </c>
      <c r="N50" s="6" t="s">
        <v>94</v>
      </c>
      <c r="O50" s="60">
        <f>Vendas2025[[#This Row],[Quantidade]]*Vendas2025[[#This Row],[Preço_Unitário_R$]]</f>
        <v>658.73</v>
      </c>
      <c r="P50" s="60">
        <f>Vendas2025[[#This Row],[Receita_Bruta_R$]]*Vendas2025[[#This Row],[Desconto_pct]]</f>
        <v>32.936500000000002</v>
      </c>
      <c r="Q50" s="60">
        <f t="shared" si="0"/>
        <v>625.79349999999999</v>
      </c>
      <c r="R50" s="60">
        <f t="shared" si="1"/>
        <v>319.23</v>
      </c>
      <c r="S50" s="60">
        <f t="shared" si="2"/>
        <v>306.56349999999998</v>
      </c>
      <c r="T50" s="65">
        <f t="shared" si="3"/>
        <v>0.48987964879788615</v>
      </c>
    </row>
    <row r="51" spans="1:20">
      <c r="A51" s="41">
        <f t="shared" si="4"/>
        <v>1</v>
      </c>
      <c r="B51" s="6" t="s">
        <v>189</v>
      </c>
      <c r="C51" s="20">
        <v>45677</v>
      </c>
      <c r="D51" s="6" t="s">
        <v>129</v>
      </c>
      <c r="E51" s="6" t="s">
        <v>103</v>
      </c>
      <c r="F51" s="6" t="s">
        <v>90</v>
      </c>
      <c r="G51" s="6" t="s">
        <v>123</v>
      </c>
      <c r="H51" s="6" t="s">
        <v>124</v>
      </c>
      <c r="I51" s="6" t="s">
        <v>125</v>
      </c>
      <c r="J51" s="25">
        <v>1</v>
      </c>
      <c r="K51" s="21">
        <v>712.38</v>
      </c>
      <c r="L51" s="63">
        <v>0.15</v>
      </c>
      <c r="M51" s="21">
        <v>353.71</v>
      </c>
      <c r="N51" s="6" t="s">
        <v>94</v>
      </c>
      <c r="O51" s="60">
        <f>Vendas2025[[#This Row],[Quantidade]]*Vendas2025[[#This Row],[Preço_Unitário_R$]]</f>
        <v>712.38</v>
      </c>
      <c r="P51" s="60">
        <f>Vendas2025[[#This Row],[Receita_Bruta_R$]]*Vendas2025[[#This Row],[Desconto_pct]]</f>
        <v>106.857</v>
      </c>
      <c r="Q51" s="60">
        <f t="shared" si="0"/>
        <v>605.52300000000002</v>
      </c>
      <c r="R51" s="60">
        <f t="shared" si="1"/>
        <v>353.71</v>
      </c>
      <c r="S51" s="60">
        <f t="shared" si="2"/>
        <v>251.81300000000005</v>
      </c>
      <c r="T51" s="65">
        <f t="shared" si="3"/>
        <v>0.41586033891363339</v>
      </c>
    </row>
    <row r="52" spans="1:20">
      <c r="A52" s="41">
        <f t="shared" si="4"/>
        <v>1</v>
      </c>
      <c r="B52" s="6" t="s">
        <v>190</v>
      </c>
      <c r="C52" s="20">
        <v>45677</v>
      </c>
      <c r="D52" s="6" t="s">
        <v>132</v>
      </c>
      <c r="E52" s="6" t="s">
        <v>89</v>
      </c>
      <c r="F52" s="6" t="s">
        <v>122</v>
      </c>
      <c r="G52" s="6" t="s">
        <v>151</v>
      </c>
      <c r="H52" s="6" t="s">
        <v>106</v>
      </c>
      <c r="I52" s="6" t="s">
        <v>107</v>
      </c>
      <c r="J52" s="25">
        <v>1</v>
      </c>
      <c r="K52" s="21">
        <v>680.73</v>
      </c>
      <c r="L52" s="63">
        <v>0.2</v>
      </c>
      <c r="M52" s="21">
        <v>388.34</v>
      </c>
      <c r="N52" s="6" t="s">
        <v>94</v>
      </c>
      <c r="O52" s="60">
        <f>Vendas2025[[#This Row],[Quantidade]]*Vendas2025[[#This Row],[Preço_Unitário_R$]]</f>
        <v>680.73</v>
      </c>
      <c r="P52" s="60">
        <f>Vendas2025[[#This Row],[Receita_Bruta_R$]]*Vendas2025[[#This Row],[Desconto_pct]]</f>
        <v>136.14600000000002</v>
      </c>
      <c r="Q52" s="60">
        <f t="shared" si="0"/>
        <v>544.58400000000006</v>
      </c>
      <c r="R52" s="60">
        <f t="shared" si="1"/>
        <v>388.34</v>
      </c>
      <c r="S52" s="60">
        <f t="shared" si="2"/>
        <v>156.24400000000009</v>
      </c>
      <c r="T52" s="65">
        <f t="shared" si="3"/>
        <v>0.28690523408693619</v>
      </c>
    </row>
    <row r="53" spans="1:20">
      <c r="A53" s="41">
        <f t="shared" si="4"/>
        <v>1</v>
      </c>
      <c r="B53" s="6" t="s">
        <v>191</v>
      </c>
      <c r="C53" s="20">
        <v>45677</v>
      </c>
      <c r="D53" s="6" t="s">
        <v>136</v>
      </c>
      <c r="E53" s="6" t="s">
        <v>137</v>
      </c>
      <c r="F53" s="6" t="s">
        <v>97</v>
      </c>
      <c r="G53" s="6" t="s">
        <v>115</v>
      </c>
      <c r="H53" s="6" t="s">
        <v>92</v>
      </c>
      <c r="I53" s="6" t="s">
        <v>144</v>
      </c>
      <c r="J53" s="25">
        <v>1</v>
      </c>
      <c r="K53" s="21">
        <v>160.29</v>
      </c>
      <c r="L53" s="63">
        <v>0.15</v>
      </c>
      <c r="M53" s="21">
        <v>56.35</v>
      </c>
      <c r="N53" s="6" t="s">
        <v>94</v>
      </c>
      <c r="O53" s="60">
        <f>Vendas2025[[#This Row],[Quantidade]]*Vendas2025[[#This Row],[Preço_Unitário_R$]]</f>
        <v>160.29</v>
      </c>
      <c r="P53" s="60">
        <f>Vendas2025[[#This Row],[Receita_Bruta_R$]]*Vendas2025[[#This Row],[Desconto_pct]]</f>
        <v>24.043499999999998</v>
      </c>
      <c r="Q53" s="60">
        <f t="shared" si="0"/>
        <v>136.2465</v>
      </c>
      <c r="R53" s="60">
        <f t="shared" si="1"/>
        <v>56.35</v>
      </c>
      <c r="S53" s="60">
        <f t="shared" si="2"/>
        <v>79.896500000000003</v>
      </c>
      <c r="T53" s="65">
        <f t="shared" si="3"/>
        <v>0.58641139405415921</v>
      </c>
    </row>
    <row r="54" spans="1:20">
      <c r="A54" s="41">
        <f t="shared" si="4"/>
        <v>1</v>
      </c>
      <c r="B54" s="6" t="s">
        <v>192</v>
      </c>
      <c r="C54" s="20">
        <v>45677</v>
      </c>
      <c r="D54" s="6" t="s">
        <v>88</v>
      </c>
      <c r="E54" s="6" t="s">
        <v>89</v>
      </c>
      <c r="F54" s="6" t="s">
        <v>104</v>
      </c>
      <c r="G54" s="6" t="s">
        <v>98</v>
      </c>
      <c r="H54" s="6" t="s">
        <v>124</v>
      </c>
      <c r="I54" s="6" t="s">
        <v>193</v>
      </c>
      <c r="J54" s="25">
        <v>1</v>
      </c>
      <c r="K54" s="21">
        <v>376.68</v>
      </c>
      <c r="L54" s="63">
        <v>0</v>
      </c>
      <c r="M54" s="21">
        <v>169.04</v>
      </c>
      <c r="N54" s="6" t="s">
        <v>94</v>
      </c>
      <c r="O54" s="60">
        <f>Vendas2025[[#This Row],[Quantidade]]*Vendas2025[[#This Row],[Preço_Unitário_R$]]</f>
        <v>376.68</v>
      </c>
      <c r="P54" s="60">
        <f>Vendas2025[[#This Row],[Receita_Bruta_R$]]*Vendas2025[[#This Row],[Desconto_pct]]</f>
        <v>0</v>
      </c>
      <c r="Q54" s="60">
        <f t="shared" si="0"/>
        <v>376.68</v>
      </c>
      <c r="R54" s="60">
        <f t="shared" si="1"/>
        <v>169.04</v>
      </c>
      <c r="S54" s="60">
        <f t="shared" si="2"/>
        <v>207.64000000000001</v>
      </c>
      <c r="T54" s="65">
        <f t="shared" si="3"/>
        <v>0.55123712434958061</v>
      </c>
    </row>
    <row r="55" spans="1:20">
      <c r="A55" s="41">
        <f t="shared" si="4"/>
        <v>1</v>
      </c>
      <c r="B55" s="6" t="s">
        <v>194</v>
      </c>
      <c r="C55" s="20">
        <v>45677</v>
      </c>
      <c r="D55" s="6" t="s">
        <v>88</v>
      </c>
      <c r="E55" s="6" t="s">
        <v>89</v>
      </c>
      <c r="F55" s="6" t="s">
        <v>97</v>
      </c>
      <c r="G55" s="6" t="s">
        <v>160</v>
      </c>
      <c r="H55" s="6" t="s">
        <v>92</v>
      </c>
      <c r="I55" s="6" t="s">
        <v>93</v>
      </c>
      <c r="J55" s="25">
        <v>1</v>
      </c>
      <c r="K55" s="21">
        <v>229.5</v>
      </c>
      <c r="L55" s="63">
        <v>0.05</v>
      </c>
      <c r="M55" s="21">
        <v>99.71</v>
      </c>
      <c r="N55" s="6" t="s">
        <v>94</v>
      </c>
      <c r="O55" s="60">
        <f>Vendas2025[[#This Row],[Quantidade]]*Vendas2025[[#This Row],[Preço_Unitário_R$]]</f>
        <v>229.5</v>
      </c>
      <c r="P55" s="60">
        <f>Vendas2025[[#This Row],[Receita_Bruta_R$]]*Vendas2025[[#This Row],[Desconto_pct]]</f>
        <v>11.475000000000001</v>
      </c>
      <c r="Q55" s="60">
        <f t="shared" si="0"/>
        <v>218.02500000000001</v>
      </c>
      <c r="R55" s="60">
        <f t="shared" si="1"/>
        <v>99.71</v>
      </c>
      <c r="S55" s="60">
        <f t="shared" si="2"/>
        <v>118.31500000000001</v>
      </c>
      <c r="T55" s="65">
        <f t="shared" si="3"/>
        <v>0.5426671253296641</v>
      </c>
    </row>
    <row r="56" spans="1:20">
      <c r="A56" s="41">
        <f t="shared" si="4"/>
        <v>1</v>
      </c>
      <c r="B56" s="6" t="s">
        <v>195</v>
      </c>
      <c r="C56" s="20">
        <v>45678</v>
      </c>
      <c r="D56" s="6" t="s">
        <v>88</v>
      </c>
      <c r="E56" s="6" t="s">
        <v>89</v>
      </c>
      <c r="F56" s="6" t="s">
        <v>97</v>
      </c>
      <c r="G56" s="6" t="s">
        <v>123</v>
      </c>
      <c r="H56" s="6" t="s">
        <v>119</v>
      </c>
      <c r="I56" s="6" t="s">
        <v>155</v>
      </c>
      <c r="J56" s="25">
        <v>1</v>
      </c>
      <c r="K56" s="21">
        <v>343.39</v>
      </c>
      <c r="L56" s="63">
        <v>0.05</v>
      </c>
      <c r="M56" s="21">
        <v>194.61</v>
      </c>
      <c r="N56" s="6" t="s">
        <v>94</v>
      </c>
      <c r="O56" s="60">
        <f>Vendas2025[[#This Row],[Quantidade]]*Vendas2025[[#This Row],[Preço_Unitário_R$]]</f>
        <v>343.39</v>
      </c>
      <c r="P56" s="60">
        <f>Vendas2025[[#This Row],[Receita_Bruta_R$]]*Vendas2025[[#This Row],[Desconto_pct]]</f>
        <v>17.169499999999999</v>
      </c>
      <c r="Q56" s="60">
        <f t="shared" si="0"/>
        <v>326.22050000000002</v>
      </c>
      <c r="R56" s="60">
        <f t="shared" si="1"/>
        <v>194.61</v>
      </c>
      <c r="S56" s="60">
        <f t="shared" si="2"/>
        <v>131.6105</v>
      </c>
      <c r="T56" s="65">
        <f t="shared" si="3"/>
        <v>0.40344031107793654</v>
      </c>
    </row>
    <row r="57" spans="1:20">
      <c r="A57" s="41">
        <f t="shared" si="4"/>
        <v>1</v>
      </c>
      <c r="B57" s="6" t="s">
        <v>196</v>
      </c>
      <c r="C57" s="20">
        <v>45678</v>
      </c>
      <c r="D57" s="6" t="s">
        <v>132</v>
      </c>
      <c r="E57" s="6" t="s">
        <v>89</v>
      </c>
      <c r="F57" s="6" t="s">
        <v>104</v>
      </c>
      <c r="G57" s="6" t="s">
        <v>110</v>
      </c>
      <c r="H57" s="6" t="s">
        <v>99</v>
      </c>
      <c r="I57" s="6" t="s">
        <v>158</v>
      </c>
      <c r="J57" s="25">
        <v>1</v>
      </c>
      <c r="K57" s="21">
        <v>201.84</v>
      </c>
      <c r="L57" s="63">
        <v>0.1</v>
      </c>
      <c r="M57" s="21">
        <v>92.07</v>
      </c>
      <c r="N57" s="6" t="s">
        <v>94</v>
      </c>
      <c r="O57" s="60">
        <f>Vendas2025[[#This Row],[Quantidade]]*Vendas2025[[#This Row],[Preço_Unitário_R$]]</f>
        <v>201.84</v>
      </c>
      <c r="P57" s="60">
        <f>Vendas2025[[#This Row],[Receita_Bruta_R$]]*Vendas2025[[#This Row],[Desconto_pct]]</f>
        <v>20.184000000000001</v>
      </c>
      <c r="Q57" s="60">
        <f t="shared" si="0"/>
        <v>181.65600000000001</v>
      </c>
      <c r="R57" s="60">
        <f t="shared" si="1"/>
        <v>92.07</v>
      </c>
      <c r="S57" s="60">
        <f t="shared" si="2"/>
        <v>89.586000000000013</v>
      </c>
      <c r="T57" s="65">
        <f t="shared" si="3"/>
        <v>0.49316290130796675</v>
      </c>
    </row>
    <row r="58" spans="1:20">
      <c r="A58" s="41">
        <f t="shared" si="4"/>
        <v>1</v>
      </c>
      <c r="B58" s="6" t="s">
        <v>197</v>
      </c>
      <c r="C58" s="20">
        <v>45678</v>
      </c>
      <c r="D58" s="6" t="s">
        <v>88</v>
      </c>
      <c r="E58" s="6" t="s">
        <v>89</v>
      </c>
      <c r="F58" s="6" t="s">
        <v>122</v>
      </c>
      <c r="G58" s="6" t="s">
        <v>91</v>
      </c>
      <c r="H58" s="6" t="s">
        <v>92</v>
      </c>
      <c r="I58" s="6" t="s">
        <v>144</v>
      </c>
      <c r="J58" s="25">
        <v>2</v>
      </c>
      <c r="K58" s="21">
        <v>142.72</v>
      </c>
      <c r="L58" s="63">
        <v>0.2</v>
      </c>
      <c r="M58" s="21">
        <v>49.81</v>
      </c>
      <c r="N58" s="6" t="s">
        <v>94</v>
      </c>
      <c r="O58" s="60">
        <f>Vendas2025[[#This Row],[Quantidade]]*Vendas2025[[#This Row],[Preço_Unitário_R$]]</f>
        <v>285.44</v>
      </c>
      <c r="P58" s="60">
        <f>Vendas2025[[#This Row],[Receita_Bruta_R$]]*Vendas2025[[#This Row],[Desconto_pct]]</f>
        <v>57.088000000000001</v>
      </c>
      <c r="Q58" s="60">
        <f t="shared" si="0"/>
        <v>228.352</v>
      </c>
      <c r="R58" s="60">
        <f t="shared" si="1"/>
        <v>99.62</v>
      </c>
      <c r="S58" s="60">
        <f t="shared" si="2"/>
        <v>128.732</v>
      </c>
      <c r="T58" s="65">
        <f t="shared" si="3"/>
        <v>0.56374369394618828</v>
      </c>
    </row>
    <row r="59" spans="1:20">
      <c r="A59" s="41">
        <f t="shared" si="4"/>
        <v>1</v>
      </c>
      <c r="B59" s="6" t="s">
        <v>198</v>
      </c>
      <c r="C59" s="20">
        <v>45678</v>
      </c>
      <c r="D59" s="6" t="s">
        <v>88</v>
      </c>
      <c r="E59" s="6" t="s">
        <v>89</v>
      </c>
      <c r="F59" s="6" t="s">
        <v>90</v>
      </c>
      <c r="G59" s="6" t="s">
        <v>123</v>
      </c>
      <c r="H59" s="6" t="s">
        <v>124</v>
      </c>
      <c r="I59" s="6" t="s">
        <v>199</v>
      </c>
      <c r="J59" s="25">
        <v>1</v>
      </c>
      <c r="K59" s="21">
        <v>297.11</v>
      </c>
      <c r="L59" s="63">
        <v>0.05</v>
      </c>
      <c r="M59" s="21">
        <v>131.41999999999999</v>
      </c>
      <c r="N59" s="6" t="s">
        <v>94</v>
      </c>
      <c r="O59" s="60">
        <f>Vendas2025[[#This Row],[Quantidade]]*Vendas2025[[#This Row],[Preço_Unitário_R$]]</f>
        <v>297.11</v>
      </c>
      <c r="P59" s="60">
        <f>Vendas2025[[#This Row],[Receita_Bruta_R$]]*Vendas2025[[#This Row],[Desconto_pct]]</f>
        <v>14.855500000000001</v>
      </c>
      <c r="Q59" s="60">
        <f t="shared" si="0"/>
        <v>282.25450000000001</v>
      </c>
      <c r="R59" s="60">
        <f t="shared" si="1"/>
        <v>131.41999999999999</v>
      </c>
      <c r="S59" s="60">
        <f t="shared" si="2"/>
        <v>150.83450000000002</v>
      </c>
      <c r="T59" s="65">
        <f t="shared" si="3"/>
        <v>0.53439183431973636</v>
      </c>
    </row>
    <row r="60" spans="1:20">
      <c r="A60" s="41">
        <f t="shared" si="4"/>
        <v>1</v>
      </c>
      <c r="B60" s="6" t="s">
        <v>200</v>
      </c>
      <c r="C60" s="20">
        <v>45679</v>
      </c>
      <c r="D60" s="6" t="s">
        <v>136</v>
      </c>
      <c r="E60" s="6" t="s">
        <v>137</v>
      </c>
      <c r="F60" s="6" t="s">
        <v>122</v>
      </c>
      <c r="G60" s="6" t="s">
        <v>91</v>
      </c>
      <c r="H60" s="6" t="s">
        <v>99</v>
      </c>
      <c r="I60" s="6" t="s">
        <v>130</v>
      </c>
      <c r="J60" s="25">
        <v>1</v>
      </c>
      <c r="K60" s="21">
        <v>238.39</v>
      </c>
      <c r="L60" s="63">
        <v>0.2</v>
      </c>
      <c r="M60" s="21">
        <v>114.81</v>
      </c>
      <c r="N60" s="6" t="s">
        <v>94</v>
      </c>
      <c r="O60" s="60">
        <f>Vendas2025[[#This Row],[Quantidade]]*Vendas2025[[#This Row],[Preço_Unitário_R$]]</f>
        <v>238.39</v>
      </c>
      <c r="P60" s="60">
        <f>Vendas2025[[#This Row],[Receita_Bruta_R$]]*Vendas2025[[#This Row],[Desconto_pct]]</f>
        <v>47.677999999999997</v>
      </c>
      <c r="Q60" s="60">
        <f t="shared" si="0"/>
        <v>190.71199999999999</v>
      </c>
      <c r="R60" s="60">
        <f t="shared" si="1"/>
        <v>114.81</v>
      </c>
      <c r="S60" s="60">
        <f t="shared" si="2"/>
        <v>75.901999999999987</v>
      </c>
      <c r="T60" s="65">
        <f t="shared" si="3"/>
        <v>0.39799278493225382</v>
      </c>
    </row>
    <row r="61" spans="1:20">
      <c r="A61" s="41">
        <f t="shared" si="4"/>
        <v>1</v>
      </c>
      <c r="B61" s="6" t="s">
        <v>201</v>
      </c>
      <c r="C61" s="20">
        <v>45683</v>
      </c>
      <c r="D61" s="6" t="s">
        <v>88</v>
      </c>
      <c r="E61" s="6" t="s">
        <v>89</v>
      </c>
      <c r="F61" s="6" t="s">
        <v>122</v>
      </c>
      <c r="G61" s="6" t="s">
        <v>154</v>
      </c>
      <c r="H61" s="6" t="s">
        <v>99</v>
      </c>
      <c r="I61" s="6" t="s">
        <v>100</v>
      </c>
      <c r="J61" s="25">
        <v>2</v>
      </c>
      <c r="K61" s="21">
        <v>407.08</v>
      </c>
      <c r="L61" s="63">
        <v>0.15</v>
      </c>
      <c r="M61" s="21">
        <v>233.89</v>
      </c>
      <c r="N61" s="6" t="s">
        <v>94</v>
      </c>
      <c r="O61" s="60">
        <f>Vendas2025[[#This Row],[Quantidade]]*Vendas2025[[#This Row],[Preço_Unitário_R$]]</f>
        <v>814.16</v>
      </c>
      <c r="P61" s="60">
        <f>Vendas2025[[#This Row],[Receita_Bruta_R$]]*Vendas2025[[#This Row],[Desconto_pct]]</f>
        <v>122.124</v>
      </c>
      <c r="Q61" s="60">
        <f t="shared" si="0"/>
        <v>692.03599999999994</v>
      </c>
      <c r="R61" s="60">
        <f t="shared" si="1"/>
        <v>467.78</v>
      </c>
      <c r="S61" s="60">
        <f t="shared" si="2"/>
        <v>224.25599999999997</v>
      </c>
      <c r="T61" s="65">
        <f t="shared" si="3"/>
        <v>0.32405250593899737</v>
      </c>
    </row>
    <row r="62" spans="1:20">
      <c r="A62" s="41">
        <f t="shared" si="4"/>
        <v>1</v>
      </c>
      <c r="B62" s="6" t="s">
        <v>202</v>
      </c>
      <c r="C62" s="20">
        <v>45683</v>
      </c>
      <c r="D62" s="6" t="s">
        <v>132</v>
      </c>
      <c r="E62" s="6" t="s">
        <v>89</v>
      </c>
      <c r="F62" s="6" t="s">
        <v>90</v>
      </c>
      <c r="G62" s="6" t="s">
        <v>154</v>
      </c>
      <c r="H62" s="6" t="s">
        <v>99</v>
      </c>
      <c r="I62" s="6" t="s">
        <v>130</v>
      </c>
      <c r="J62" s="25">
        <v>2</v>
      </c>
      <c r="K62" s="21">
        <v>260.68</v>
      </c>
      <c r="L62" s="63">
        <v>0.05</v>
      </c>
      <c r="M62" s="21">
        <v>127.6</v>
      </c>
      <c r="N62" s="6" t="s">
        <v>94</v>
      </c>
      <c r="O62" s="60">
        <f>Vendas2025[[#This Row],[Quantidade]]*Vendas2025[[#This Row],[Preço_Unitário_R$]]</f>
        <v>521.36</v>
      </c>
      <c r="P62" s="60">
        <f>Vendas2025[[#This Row],[Receita_Bruta_R$]]*Vendas2025[[#This Row],[Desconto_pct]]</f>
        <v>26.068000000000001</v>
      </c>
      <c r="Q62" s="60">
        <f t="shared" si="0"/>
        <v>495.29200000000003</v>
      </c>
      <c r="R62" s="60">
        <f t="shared" si="1"/>
        <v>255.2</v>
      </c>
      <c r="S62" s="60">
        <f t="shared" si="2"/>
        <v>240.09200000000004</v>
      </c>
      <c r="T62" s="65">
        <f t="shared" si="3"/>
        <v>0.48474839084822696</v>
      </c>
    </row>
    <row r="63" spans="1:20">
      <c r="A63" s="41">
        <f t="shared" si="4"/>
        <v>1</v>
      </c>
      <c r="B63" s="6" t="s">
        <v>203</v>
      </c>
      <c r="C63" s="20">
        <v>45683</v>
      </c>
      <c r="D63" s="6" t="s">
        <v>136</v>
      </c>
      <c r="E63" s="6" t="s">
        <v>137</v>
      </c>
      <c r="F63" s="6" t="s">
        <v>104</v>
      </c>
      <c r="G63" s="6" t="s">
        <v>123</v>
      </c>
      <c r="H63" s="6" t="s">
        <v>92</v>
      </c>
      <c r="I63" s="6" t="s">
        <v>144</v>
      </c>
      <c r="J63" s="25">
        <v>1</v>
      </c>
      <c r="K63" s="21">
        <v>157.77000000000001</v>
      </c>
      <c r="L63" s="63">
        <v>0.03</v>
      </c>
      <c r="M63" s="21">
        <v>54.84</v>
      </c>
      <c r="N63" s="6" t="s">
        <v>94</v>
      </c>
      <c r="O63" s="60">
        <f>Vendas2025[[#This Row],[Quantidade]]*Vendas2025[[#This Row],[Preço_Unitário_R$]]</f>
        <v>157.77000000000001</v>
      </c>
      <c r="P63" s="60">
        <f>Vendas2025[[#This Row],[Receita_Bruta_R$]]*Vendas2025[[#This Row],[Desconto_pct]]</f>
        <v>4.7331000000000003</v>
      </c>
      <c r="Q63" s="60">
        <f t="shared" si="0"/>
        <v>153.0369</v>
      </c>
      <c r="R63" s="60">
        <f t="shared" si="1"/>
        <v>54.84</v>
      </c>
      <c r="S63" s="60">
        <f t="shared" si="2"/>
        <v>98.196899999999999</v>
      </c>
      <c r="T63" s="65">
        <f t="shared" si="3"/>
        <v>0.64165505182083538</v>
      </c>
    </row>
    <row r="64" spans="1:20">
      <c r="A64" s="41">
        <f t="shared" si="4"/>
        <v>1</v>
      </c>
      <c r="B64" s="6" t="s">
        <v>204</v>
      </c>
      <c r="C64" s="20">
        <v>45683</v>
      </c>
      <c r="D64" s="6" t="s">
        <v>136</v>
      </c>
      <c r="E64" s="6" t="s">
        <v>137</v>
      </c>
      <c r="F64" s="6" t="s">
        <v>97</v>
      </c>
      <c r="G64" s="6" t="s">
        <v>115</v>
      </c>
      <c r="H64" s="6" t="s">
        <v>119</v>
      </c>
      <c r="I64" s="6" t="s">
        <v>120</v>
      </c>
      <c r="J64" s="25">
        <v>2</v>
      </c>
      <c r="K64" s="21">
        <v>2262.85</v>
      </c>
      <c r="L64" s="63">
        <v>0</v>
      </c>
      <c r="M64" s="21">
        <v>1534.38</v>
      </c>
      <c r="N64" s="6" t="s">
        <v>94</v>
      </c>
      <c r="O64" s="60">
        <f>Vendas2025[[#This Row],[Quantidade]]*Vendas2025[[#This Row],[Preço_Unitário_R$]]</f>
        <v>4525.7</v>
      </c>
      <c r="P64" s="60">
        <f>Vendas2025[[#This Row],[Receita_Bruta_R$]]*Vendas2025[[#This Row],[Desconto_pct]]</f>
        <v>0</v>
      </c>
      <c r="Q64" s="60">
        <f t="shared" si="0"/>
        <v>4525.7</v>
      </c>
      <c r="R64" s="60">
        <f t="shared" si="1"/>
        <v>3068.76</v>
      </c>
      <c r="S64" s="60">
        <f t="shared" si="2"/>
        <v>1456.9399999999996</v>
      </c>
      <c r="T64" s="65">
        <f t="shared" si="3"/>
        <v>0.32192588991758175</v>
      </c>
    </row>
    <row r="65" spans="1:20">
      <c r="A65" s="41">
        <f t="shared" si="4"/>
        <v>1</v>
      </c>
      <c r="B65" s="6" t="s">
        <v>205</v>
      </c>
      <c r="C65" s="20">
        <v>45683</v>
      </c>
      <c r="D65" s="6" t="s">
        <v>136</v>
      </c>
      <c r="E65" s="6" t="s">
        <v>137</v>
      </c>
      <c r="F65" s="6" t="s">
        <v>97</v>
      </c>
      <c r="G65" s="6" t="s">
        <v>123</v>
      </c>
      <c r="H65" s="6" t="s">
        <v>92</v>
      </c>
      <c r="I65" s="6" t="s">
        <v>144</v>
      </c>
      <c r="J65" s="25">
        <v>1</v>
      </c>
      <c r="K65" s="21">
        <v>156.68</v>
      </c>
      <c r="L65" s="63">
        <v>0.1</v>
      </c>
      <c r="M65" s="21">
        <v>53.58</v>
      </c>
      <c r="N65" s="6" t="s">
        <v>94</v>
      </c>
      <c r="O65" s="60">
        <f>Vendas2025[[#This Row],[Quantidade]]*Vendas2025[[#This Row],[Preço_Unitário_R$]]</f>
        <v>156.68</v>
      </c>
      <c r="P65" s="60">
        <f>Vendas2025[[#This Row],[Receita_Bruta_R$]]*Vendas2025[[#This Row],[Desconto_pct]]</f>
        <v>15.668000000000001</v>
      </c>
      <c r="Q65" s="60">
        <f t="shared" si="0"/>
        <v>141.012</v>
      </c>
      <c r="R65" s="60">
        <f t="shared" si="1"/>
        <v>53.58</v>
      </c>
      <c r="S65" s="60">
        <f t="shared" si="2"/>
        <v>87.432000000000002</v>
      </c>
      <c r="T65" s="65">
        <f t="shared" si="3"/>
        <v>0.6200323376733895</v>
      </c>
    </row>
    <row r="66" spans="1:20">
      <c r="A66" s="41">
        <f t="shared" si="4"/>
        <v>1</v>
      </c>
      <c r="B66" s="6" t="s">
        <v>206</v>
      </c>
      <c r="C66" s="20">
        <v>45684</v>
      </c>
      <c r="D66" s="6" t="s">
        <v>129</v>
      </c>
      <c r="E66" s="6" t="s">
        <v>103</v>
      </c>
      <c r="F66" s="6" t="s">
        <v>122</v>
      </c>
      <c r="G66" s="6" t="s">
        <v>105</v>
      </c>
      <c r="H66" s="6" t="s">
        <v>99</v>
      </c>
      <c r="I66" s="6" t="s">
        <v>130</v>
      </c>
      <c r="J66" s="25">
        <v>2</v>
      </c>
      <c r="K66" s="21">
        <v>252.83</v>
      </c>
      <c r="L66" s="63">
        <v>0.1</v>
      </c>
      <c r="M66" s="21">
        <v>124.39</v>
      </c>
      <c r="N66" s="6" t="s">
        <v>94</v>
      </c>
      <c r="O66" s="60">
        <f>Vendas2025[[#This Row],[Quantidade]]*Vendas2025[[#This Row],[Preço_Unitário_R$]]</f>
        <v>505.66</v>
      </c>
      <c r="P66" s="60">
        <f>Vendas2025[[#This Row],[Receita_Bruta_R$]]*Vendas2025[[#This Row],[Desconto_pct]]</f>
        <v>50.566000000000003</v>
      </c>
      <c r="Q66" s="60">
        <f t="shared" ref="Q66:Q129" si="5">IF(N66="Concluída",O66-P66,0)</f>
        <v>455.09400000000005</v>
      </c>
      <c r="R66" s="60">
        <f t="shared" ref="R66:R129" si="6">IF(N66="Concluída",J66*M66,0)</f>
        <v>248.78</v>
      </c>
      <c r="S66" s="60">
        <f t="shared" ref="S66:S129" si="7">Q66-R66</f>
        <v>206.31400000000005</v>
      </c>
      <c r="T66" s="65">
        <f t="shared" ref="T66:T129" si="8">IF(Q66=0,"",S66/Q66)</f>
        <v>0.45334370481702685</v>
      </c>
    </row>
    <row r="67" spans="1:20">
      <c r="A67" s="41">
        <f t="shared" ref="A67:A130" si="9">MONTH(C67)</f>
        <v>1</v>
      </c>
      <c r="B67" s="6" t="s">
        <v>207</v>
      </c>
      <c r="C67" s="20">
        <v>45684</v>
      </c>
      <c r="D67" s="6" t="s">
        <v>88</v>
      </c>
      <c r="E67" s="6" t="s">
        <v>89</v>
      </c>
      <c r="F67" s="6" t="s">
        <v>97</v>
      </c>
      <c r="G67" s="6" t="s">
        <v>127</v>
      </c>
      <c r="H67" s="6" t="s">
        <v>99</v>
      </c>
      <c r="I67" s="6" t="s">
        <v>130</v>
      </c>
      <c r="J67" s="25">
        <v>1</v>
      </c>
      <c r="K67" s="21">
        <v>250.5</v>
      </c>
      <c r="L67" s="63">
        <v>0.15</v>
      </c>
      <c r="M67" s="21">
        <v>115.84</v>
      </c>
      <c r="N67" s="6" t="s">
        <v>94</v>
      </c>
      <c r="O67" s="60">
        <f>Vendas2025[[#This Row],[Quantidade]]*Vendas2025[[#This Row],[Preço_Unitário_R$]]</f>
        <v>250.5</v>
      </c>
      <c r="P67" s="60">
        <f>Vendas2025[[#This Row],[Receita_Bruta_R$]]*Vendas2025[[#This Row],[Desconto_pct]]</f>
        <v>37.574999999999996</v>
      </c>
      <c r="Q67" s="60">
        <f t="shared" si="5"/>
        <v>212.92500000000001</v>
      </c>
      <c r="R67" s="60">
        <f t="shared" si="6"/>
        <v>115.84</v>
      </c>
      <c r="S67" s="60">
        <f t="shared" si="7"/>
        <v>97.085000000000008</v>
      </c>
      <c r="T67" s="65">
        <f t="shared" si="8"/>
        <v>0.45595867089350711</v>
      </c>
    </row>
    <row r="68" spans="1:20">
      <c r="A68" s="41">
        <f t="shared" si="9"/>
        <v>1</v>
      </c>
      <c r="B68" s="6" t="s">
        <v>208</v>
      </c>
      <c r="C68" s="20">
        <v>45684</v>
      </c>
      <c r="D68" s="6" t="s">
        <v>118</v>
      </c>
      <c r="E68" s="6" t="s">
        <v>114</v>
      </c>
      <c r="F68" s="6" t="s">
        <v>104</v>
      </c>
      <c r="G68" s="6" t="s">
        <v>160</v>
      </c>
      <c r="H68" s="6" t="s">
        <v>92</v>
      </c>
      <c r="I68" s="6" t="s">
        <v>144</v>
      </c>
      <c r="J68" s="25">
        <v>1</v>
      </c>
      <c r="K68" s="21">
        <v>148.27000000000001</v>
      </c>
      <c r="L68" s="63">
        <v>0</v>
      </c>
      <c r="M68" s="21">
        <v>51.22</v>
      </c>
      <c r="N68" s="6" t="s">
        <v>94</v>
      </c>
      <c r="O68" s="60">
        <f>Vendas2025[[#This Row],[Quantidade]]*Vendas2025[[#This Row],[Preço_Unitário_R$]]</f>
        <v>148.27000000000001</v>
      </c>
      <c r="P68" s="60">
        <f>Vendas2025[[#This Row],[Receita_Bruta_R$]]*Vendas2025[[#This Row],[Desconto_pct]]</f>
        <v>0</v>
      </c>
      <c r="Q68" s="60">
        <f t="shared" si="5"/>
        <v>148.27000000000001</v>
      </c>
      <c r="R68" s="60">
        <f t="shared" si="6"/>
        <v>51.22</v>
      </c>
      <c r="S68" s="60">
        <f t="shared" si="7"/>
        <v>97.050000000000011</v>
      </c>
      <c r="T68" s="65">
        <f t="shared" si="8"/>
        <v>0.65454913333782971</v>
      </c>
    </row>
    <row r="69" spans="1:20">
      <c r="A69" s="41">
        <f t="shared" si="9"/>
        <v>1</v>
      </c>
      <c r="B69" s="6" t="s">
        <v>209</v>
      </c>
      <c r="C69" s="20">
        <v>45685</v>
      </c>
      <c r="D69" s="6" t="s">
        <v>136</v>
      </c>
      <c r="E69" s="6" t="s">
        <v>137</v>
      </c>
      <c r="F69" s="6" t="s">
        <v>122</v>
      </c>
      <c r="G69" s="6" t="s">
        <v>123</v>
      </c>
      <c r="H69" s="6" t="s">
        <v>92</v>
      </c>
      <c r="I69" s="6" t="s">
        <v>144</v>
      </c>
      <c r="J69" s="25">
        <v>3</v>
      </c>
      <c r="K69" s="21">
        <v>153.51</v>
      </c>
      <c r="L69" s="63">
        <v>0.03</v>
      </c>
      <c r="M69" s="21">
        <v>51.99</v>
      </c>
      <c r="N69" s="6" t="s">
        <v>94</v>
      </c>
      <c r="O69" s="60">
        <f>Vendas2025[[#This Row],[Quantidade]]*Vendas2025[[#This Row],[Preço_Unitário_R$]]</f>
        <v>460.53</v>
      </c>
      <c r="P69" s="60">
        <f>Vendas2025[[#This Row],[Receita_Bruta_R$]]*Vendas2025[[#This Row],[Desconto_pct]]</f>
        <v>13.815899999999999</v>
      </c>
      <c r="Q69" s="60">
        <f t="shared" si="5"/>
        <v>446.71409999999997</v>
      </c>
      <c r="R69" s="60">
        <f t="shared" si="6"/>
        <v>155.97</v>
      </c>
      <c r="S69" s="60">
        <f t="shared" si="7"/>
        <v>290.7441</v>
      </c>
      <c r="T69" s="65">
        <f t="shared" si="8"/>
        <v>0.65085051042713904</v>
      </c>
    </row>
    <row r="70" spans="1:20">
      <c r="A70" s="41">
        <f t="shared" si="9"/>
        <v>2</v>
      </c>
      <c r="B70" s="6" t="s">
        <v>210</v>
      </c>
      <c r="C70" s="20">
        <v>45689</v>
      </c>
      <c r="D70" s="6" t="s">
        <v>118</v>
      </c>
      <c r="E70" s="6" t="s">
        <v>114</v>
      </c>
      <c r="F70" s="6" t="s">
        <v>90</v>
      </c>
      <c r="G70" s="6" t="s">
        <v>115</v>
      </c>
      <c r="H70" s="6" t="s">
        <v>99</v>
      </c>
      <c r="I70" s="6" t="s">
        <v>158</v>
      </c>
      <c r="J70" s="25">
        <v>1</v>
      </c>
      <c r="K70" s="21">
        <v>186.55</v>
      </c>
      <c r="L70" s="63">
        <v>0.25</v>
      </c>
      <c r="M70" s="21">
        <v>83.17</v>
      </c>
      <c r="N70" s="6" t="s">
        <v>94</v>
      </c>
      <c r="O70" s="60">
        <f>Vendas2025[[#This Row],[Quantidade]]*Vendas2025[[#This Row],[Preço_Unitário_R$]]</f>
        <v>186.55</v>
      </c>
      <c r="P70" s="60">
        <f>Vendas2025[[#This Row],[Receita_Bruta_R$]]*Vendas2025[[#This Row],[Desconto_pct]]</f>
        <v>46.637500000000003</v>
      </c>
      <c r="Q70" s="60">
        <f t="shared" si="5"/>
        <v>139.91250000000002</v>
      </c>
      <c r="R70" s="60">
        <f t="shared" si="6"/>
        <v>83.17</v>
      </c>
      <c r="S70" s="60">
        <f t="shared" si="7"/>
        <v>56.742500000000021</v>
      </c>
      <c r="T70" s="65">
        <f t="shared" si="8"/>
        <v>0.40555704458143493</v>
      </c>
    </row>
    <row r="71" spans="1:20">
      <c r="A71" s="41">
        <f t="shared" si="9"/>
        <v>2</v>
      </c>
      <c r="B71" s="6" t="s">
        <v>211</v>
      </c>
      <c r="C71" s="20">
        <v>45689</v>
      </c>
      <c r="D71" s="6" t="s">
        <v>102</v>
      </c>
      <c r="E71" s="6" t="s">
        <v>103</v>
      </c>
      <c r="F71" s="6" t="s">
        <v>97</v>
      </c>
      <c r="G71" s="6" t="s">
        <v>151</v>
      </c>
      <c r="H71" s="6" t="s">
        <v>92</v>
      </c>
      <c r="I71" s="6" t="s">
        <v>144</v>
      </c>
      <c r="J71" s="25">
        <v>1</v>
      </c>
      <c r="K71" s="21">
        <v>138.47</v>
      </c>
      <c r="L71" s="63">
        <v>0.08</v>
      </c>
      <c r="M71" s="21">
        <v>49.54</v>
      </c>
      <c r="N71" s="6" t="s">
        <v>94</v>
      </c>
      <c r="O71" s="60">
        <f>Vendas2025[[#This Row],[Quantidade]]*Vendas2025[[#This Row],[Preço_Unitário_R$]]</f>
        <v>138.47</v>
      </c>
      <c r="P71" s="60">
        <f>Vendas2025[[#This Row],[Receita_Bruta_R$]]*Vendas2025[[#This Row],[Desconto_pct]]</f>
        <v>11.0776</v>
      </c>
      <c r="Q71" s="60">
        <f t="shared" si="5"/>
        <v>127.39239999999999</v>
      </c>
      <c r="R71" s="60">
        <f t="shared" si="6"/>
        <v>49.54</v>
      </c>
      <c r="S71" s="60">
        <f t="shared" si="7"/>
        <v>77.852399999999989</v>
      </c>
      <c r="T71" s="65">
        <f t="shared" si="8"/>
        <v>0.61112279853429241</v>
      </c>
    </row>
    <row r="72" spans="1:20">
      <c r="A72" s="41">
        <f t="shared" si="9"/>
        <v>2</v>
      </c>
      <c r="B72" s="6" t="s">
        <v>212</v>
      </c>
      <c r="C72" s="20">
        <v>45690</v>
      </c>
      <c r="D72" s="6" t="s">
        <v>136</v>
      </c>
      <c r="E72" s="6" t="s">
        <v>137</v>
      </c>
      <c r="F72" s="6" t="s">
        <v>90</v>
      </c>
      <c r="G72" s="6" t="s">
        <v>115</v>
      </c>
      <c r="H72" s="6" t="s">
        <v>99</v>
      </c>
      <c r="I72" s="6" t="s">
        <v>130</v>
      </c>
      <c r="J72" s="25">
        <v>1</v>
      </c>
      <c r="K72" s="21">
        <v>229.15</v>
      </c>
      <c r="L72" s="63">
        <v>0.05</v>
      </c>
      <c r="M72" s="21">
        <v>110.69</v>
      </c>
      <c r="N72" s="6" t="s">
        <v>94</v>
      </c>
      <c r="O72" s="60">
        <f>Vendas2025[[#This Row],[Quantidade]]*Vendas2025[[#This Row],[Preço_Unitário_R$]]</f>
        <v>229.15</v>
      </c>
      <c r="P72" s="60">
        <f>Vendas2025[[#This Row],[Receita_Bruta_R$]]*Vendas2025[[#This Row],[Desconto_pct]]</f>
        <v>11.457500000000001</v>
      </c>
      <c r="Q72" s="60">
        <f t="shared" si="5"/>
        <v>217.6925</v>
      </c>
      <c r="R72" s="60">
        <f t="shared" si="6"/>
        <v>110.69</v>
      </c>
      <c r="S72" s="60">
        <f t="shared" si="7"/>
        <v>107.0025</v>
      </c>
      <c r="T72" s="65">
        <f t="shared" si="8"/>
        <v>0.49153048451370623</v>
      </c>
    </row>
    <row r="73" spans="1:20">
      <c r="A73" s="41">
        <f t="shared" si="9"/>
        <v>2</v>
      </c>
      <c r="B73" s="6" t="s">
        <v>213</v>
      </c>
      <c r="C73" s="20">
        <v>45690</v>
      </c>
      <c r="D73" s="6" t="s">
        <v>132</v>
      </c>
      <c r="E73" s="6" t="s">
        <v>89</v>
      </c>
      <c r="F73" s="6" t="s">
        <v>122</v>
      </c>
      <c r="G73" s="6" t="s">
        <v>105</v>
      </c>
      <c r="H73" s="6" t="s">
        <v>92</v>
      </c>
      <c r="I73" s="6" t="s">
        <v>134</v>
      </c>
      <c r="J73" s="25">
        <v>1</v>
      </c>
      <c r="K73" s="21">
        <v>402.69</v>
      </c>
      <c r="L73" s="63">
        <v>0.03</v>
      </c>
      <c r="M73" s="21">
        <v>225.13</v>
      </c>
      <c r="N73" s="6" t="s">
        <v>94</v>
      </c>
      <c r="O73" s="60">
        <f>Vendas2025[[#This Row],[Quantidade]]*Vendas2025[[#This Row],[Preço_Unitário_R$]]</f>
        <v>402.69</v>
      </c>
      <c r="P73" s="60">
        <f>Vendas2025[[#This Row],[Receita_Bruta_R$]]*Vendas2025[[#This Row],[Desconto_pct]]</f>
        <v>12.0807</v>
      </c>
      <c r="Q73" s="60">
        <f t="shared" si="5"/>
        <v>390.60930000000002</v>
      </c>
      <c r="R73" s="60">
        <f t="shared" si="6"/>
        <v>225.13</v>
      </c>
      <c r="S73" s="60">
        <f t="shared" si="7"/>
        <v>165.47930000000002</v>
      </c>
      <c r="T73" s="65">
        <f t="shared" si="8"/>
        <v>0.4236440351010588</v>
      </c>
    </row>
    <row r="74" spans="1:20">
      <c r="A74" s="41">
        <f t="shared" si="9"/>
        <v>2</v>
      </c>
      <c r="B74" s="6" t="s">
        <v>214</v>
      </c>
      <c r="C74" s="20">
        <v>45690</v>
      </c>
      <c r="D74" s="6" t="s">
        <v>129</v>
      </c>
      <c r="E74" s="6" t="s">
        <v>103</v>
      </c>
      <c r="F74" s="6" t="s">
        <v>90</v>
      </c>
      <c r="G74" s="6" t="s">
        <v>140</v>
      </c>
      <c r="H74" s="6" t="s">
        <v>124</v>
      </c>
      <c r="I74" s="6" t="s">
        <v>199</v>
      </c>
      <c r="J74" s="25">
        <v>1</v>
      </c>
      <c r="K74" s="21">
        <v>328</v>
      </c>
      <c r="L74" s="63">
        <v>0.1</v>
      </c>
      <c r="M74" s="21">
        <v>150</v>
      </c>
      <c r="N74" s="6" t="s">
        <v>94</v>
      </c>
      <c r="O74" s="60">
        <f>Vendas2025[[#This Row],[Quantidade]]*Vendas2025[[#This Row],[Preço_Unitário_R$]]</f>
        <v>328</v>
      </c>
      <c r="P74" s="60">
        <f>Vendas2025[[#This Row],[Receita_Bruta_R$]]*Vendas2025[[#This Row],[Desconto_pct]]</f>
        <v>32.800000000000004</v>
      </c>
      <c r="Q74" s="60">
        <f t="shared" si="5"/>
        <v>295.2</v>
      </c>
      <c r="R74" s="60">
        <f t="shared" si="6"/>
        <v>150</v>
      </c>
      <c r="S74" s="60">
        <f t="shared" si="7"/>
        <v>145.19999999999999</v>
      </c>
      <c r="T74" s="65">
        <f t="shared" si="8"/>
        <v>0.49186991869918695</v>
      </c>
    </row>
    <row r="75" spans="1:20">
      <c r="A75" s="41">
        <f t="shared" si="9"/>
        <v>2</v>
      </c>
      <c r="B75" s="6" t="s">
        <v>215</v>
      </c>
      <c r="C75" s="20">
        <v>45691</v>
      </c>
      <c r="D75" s="6" t="s">
        <v>118</v>
      </c>
      <c r="E75" s="6" t="s">
        <v>114</v>
      </c>
      <c r="F75" s="6" t="s">
        <v>104</v>
      </c>
      <c r="G75" s="6" t="s">
        <v>115</v>
      </c>
      <c r="H75" s="6" t="s">
        <v>119</v>
      </c>
      <c r="I75" s="6" t="s">
        <v>138</v>
      </c>
      <c r="J75" s="25">
        <v>1</v>
      </c>
      <c r="K75" s="21">
        <v>143.72</v>
      </c>
      <c r="L75" s="63">
        <v>0.03</v>
      </c>
      <c r="M75" s="21">
        <v>56.4</v>
      </c>
      <c r="N75" s="6" t="s">
        <v>94</v>
      </c>
      <c r="O75" s="60">
        <f>Vendas2025[[#This Row],[Quantidade]]*Vendas2025[[#This Row],[Preço_Unitário_R$]]</f>
        <v>143.72</v>
      </c>
      <c r="P75" s="60">
        <f>Vendas2025[[#This Row],[Receita_Bruta_R$]]*Vendas2025[[#This Row],[Desconto_pct]]</f>
        <v>4.3115999999999994</v>
      </c>
      <c r="Q75" s="60">
        <f t="shared" si="5"/>
        <v>139.4084</v>
      </c>
      <c r="R75" s="60">
        <f t="shared" si="6"/>
        <v>56.4</v>
      </c>
      <c r="S75" s="60">
        <f t="shared" si="7"/>
        <v>83.008399999999995</v>
      </c>
      <c r="T75" s="65">
        <f t="shared" si="8"/>
        <v>0.5954332737482102</v>
      </c>
    </row>
    <row r="76" spans="1:20">
      <c r="A76" s="41">
        <f t="shared" si="9"/>
        <v>2</v>
      </c>
      <c r="B76" s="6" t="s">
        <v>216</v>
      </c>
      <c r="C76" s="20">
        <v>45691</v>
      </c>
      <c r="D76" s="6" t="s">
        <v>88</v>
      </c>
      <c r="E76" s="6" t="s">
        <v>89</v>
      </c>
      <c r="F76" s="6" t="s">
        <v>97</v>
      </c>
      <c r="G76" s="6" t="s">
        <v>110</v>
      </c>
      <c r="H76" s="6" t="s">
        <v>106</v>
      </c>
      <c r="I76" s="6" t="s">
        <v>107</v>
      </c>
      <c r="J76" s="25">
        <v>1</v>
      </c>
      <c r="K76" s="21">
        <v>646.22</v>
      </c>
      <c r="L76" s="63">
        <v>0</v>
      </c>
      <c r="M76" s="21">
        <v>361.71</v>
      </c>
      <c r="N76" s="6" t="s">
        <v>94</v>
      </c>
      <c r="O76" s="60">
        <f>Vendas2025[[#This Row],[Quantidade]]*Vendas2025[[#This Row],[Preço_Unitário_R$]]</f>
        <v>646.22</v>
      </c>
      <c r="P76" s="60">
        <f>Vendas2025[[#This Row],[Receita_Bruta_R$]]*Vendas2025[[#This Row],[Desconto_pct]]</f>
        <v>0</v>
      </c>
      <c r="Q76" s="60">
        <f t="shared" si="5"/>
        <v>646.22</v>
      </c>
      <c r="R76" s="60">
        <f t="shared" si="6"/>
        <v>361.71</v>
      </c>
      <c r="S76" s="60">
        <f t="shared" si="7"/>
        <v>284.51000000000005</v>
      </c>
      <c r="T76" s="65">
        <f t="shared" si="8"/>
        <v>0.4402680201788865</v>
      </c>
    </row>
    <row r="77" spans="1:20">
      <c r="A77" s="41">
        <f t="shared" si="9"/>
        <v>2</v>
      </c>
      <c r="B77" s="6" t="s">
        <v>217</v>
      </c>
      <c r="C77" s="20">
        <v>45692</v>
      </c>
      <c r="D77" s="6" t="s">
        <v>118</v>
      </c>
      <c r="E77" s="6" t="s">
        <v>114</v>
      </c>
      <c r="F77" s="6" t="s">
        <v>97</v>
      </c>
      <c r="G77" s="6" t="s">
        <v>140</v>
      </c>
      <c r="H77" s="6" t="s">
        <v>99</v>
      </c>
      <c r="I77" s="6" t="s">
        <v>130</v>
      </c>
      <c r="J77" s="25">
        <v>1</v>
      </c>
      <c r="K77" s="21">
        <v>263.13</v>
      </c>
      <c r="L77" s="63">
        <v>0.08</v>
      </c>
      <c r="M77" s="21">
        <v>131.13</v>
      </c>
      <c r="N77" s="6" t="s">
        <v>94</v>
      </c>
      <c r="O77" s="60">
        <f>Vendas2025[[#This Row],[Quantidade]]*Vendas2025[[#This Row],[Preço_Unitário_R$]]</f>
        <v>263.13</v>
      </c>
      <c r="P77" s="60">
        <f>Vendas2025[[#This Row],[Receita_Bruta_R$]]*Vendas2025[[#This Row],[Desconto_pct]]</f>
        <v>21.0504</v>
      </c>
      <c r="Q77" s="60">
        <f t="shared" si="5"/>
        <v>242.0796</v>
      </c>
      <c r="R77" s="60">
        <f t="shared" si="6"/>
        <v>131.13</v>
      </c>
      <c r="S77" s="60">
        <f t="shared" si="7"/>
        <v>110.9496</v>
      </c>
      <c r="T77" s="65">
        <f t="shared" si="8"/>
        <v>0.45831866873540772</v>
      </c>
    </row>
    <row r="78" spans="1:20">
      <c r="A78" s="41">
        <f t="shared" si="9"/>
        <v>2</v>
      </c>
      <c r="B78" s="6" t="s">
        <v>218</v>
      </c>
      <c r="C78" s="20">
        <v>45692</v>
      </c>
      <c r="D78" s="6" t="s">
        <v>88</v>
      </c>
      <c r="E78" s="6" t="s">
        <v>89</v>
      </c>
      <c r="F78" s="6" t="s">
        <v>97</v>
      </c>
      <c r="G78" s="6" t="s">
        <v>140</v>
      </c>
      <c r="H78" s="6" t="s">
        <v>124</v>
      </c>
      <c r="I78" s="6" t="s">
        <v>193</v>
      </c>
      <c r="J78" s="25">
        <v>1</v>
      </c>
      <c r="K78" s="21">
        <v>372.18</v>
      </c>
      <c r="L78" s="63">
        <v>0</v>
      </c>
      <c r="M78" s="21">
        <v>157.47</v>
      </c>
      <c r="N78" s="6" t="s">
        <v>94</v>
      </c>
      <c r="O78" s="60">
        <f>Vendas2025[[#This Row],[Quantidade]]*Vendas2025[[#This Row],[Preço_Unitário_R$]]</f>
        <v>372.18</v>
      </c>
      <c r="P78" s="60">
        <f>Vendas2025[[#This Row],[Receita_Bruta_R$]]*Vendas2025[[#This Row],[Desconto_pct]]</f>
        <v>0</v>
      </c>
      <c r="Q78" s="60">
        <f t="shared" si="5"/>
        <v>372.18</v>
      </c>
      <c r="R78" s="60">
        <f t="shared" si="6"/>
        <v>157.47</v>
      </c>
      <c r="S78" s="60">
        <f t="shared" si="7"/>
        <v>214.71</v>
      </c>
      <c r="T78" s="65">
        <f t="shared" si="8"/>
        <v>0.57689827502821212</v>
      </c>
    </row>
    <row r="79" spans="1:20">
      <c r="A79" s="41">
        <f t="shared" si="9"/>
        <v>2</v>
      </c>
      <c r="B79" s="6" t="s">
        <v>219</v>
      </c>
      <c r="C79" s="20">
        <v>45692</v>
      </c>
      <c r="D79" s="6" t="s">
        <v>129</v>
      </c>
      <c r="E79" s="6" t="s">
        <v>103</v>
      </c>
      <c r="F79" s="6" t="s">
        <v>122</v>
      </c>
      <c r="G79" s="6" t="s">
        <v>91</v>
      </c>
      <c r="H79" s="6" t="s">
        <v>124</v>
      </c>
      <c r="I79" s="6" t="s">
        <v>193</v>
      </c>
      <c r="J79" s="25">
        <v>1</v>
      </c>
      <c r="K79" s="21">
        <v>356.83</v>
      </c>
      <c r="L79" s="63">
        <v>0.03</v>
      </c>
      <c r="M79" s="21">
        <v>153.79</v>
      </c>
      <c r="N79" s="6" t="s">
        <v>94</v>
      </c>
      <c r="O79" s="60">
        <f>Vendas2025[[#This Row],[Quantidade]]*Vendas2025[[#This Row],[Preço_Unitário_R$]]</f>
        <v>356.83</v>
      </c>
      <c r="P79" s="60">
        <f>Vendas2025[[#This Row],[Receita_Bruta_R$]]*Vendas2025[[#This Row],[Desconto_pct]]</f>
        <v>10.704899999999999</v>
      </c>
      <c r="Q79" s="60">
        <f t="shared" si="5"/>
        <v>346.12509999999997</v>
      </c>
      <c r="R79" s="60">
        <f t="shared" si="6"/>
        <v>153.79</v>
      </c>
      <c r="S79" s="60">
        <f t="shared" si="7"/>
        <v>192.33509999999998</v>
      </c>
      <c r="T79" s="65">
        <f t="shared" si="8"/>
        <v>0.5556808795432634</v>
      </c>
    </row>
    <row r="80" spans="1:20">
      <c r="A80" s="41">
        <f t="shared" si="9"/>
        <v>2</v>
      </c>
      <c r="B80" s="6" t="s">
        <v>220</v>
      </c>
      <c r="C80" s="20">
        <v>45693</v>
      </c>
      <c r="D80" s="6" t="s">
        <v>96</v>
      </c>
      <c r="E80" s="6" t="s">
        <v>89</v>
      </c>
      <c r="F80" s="6" t="s">
        <v>90</v>
      </c>
      <c r="G80" s="6" t="s">
        <v>110</v>
      </c>
      <c r="H80" s="6" t="s">
        <v>92</v>
      </c>
      <c r="I80" s="6" t="s">
        <v>134</v>
      </c>
      <c r="J80" s="25">
        <v>2</v>
      </c>
      <c r="K80" s="21">
        <v>424.39</v>
      </c>
      <c r="L80" s="63">
        <v>0.25</v>
      </c>
      <c r="M80" s="21">
        <v>225.69</v>
      </c>
      <c r="N80" s="6" t="s">
        <v>94</v>
      </c>
      <c r="O80" s="60">
        <f>Vendas2025[[#This Row],[Quantidade]]*Vendas2025[[#This Row],[Preço_Unitário_R$]]</f>
        <v>848.78</v>
      </c>
      <c r="P80" s="60">
        <f>Vendas2025[[#This Row],[Receita_Bruta_R$]]*Vendas2025[[#This Row],[Desconto_pct]]</f>
        <v>212.19499999999999</v>
      </c>
      <c r="Q80" s="60">
        <f t="shared" si="5"/>
        <v>636.58500000000004</v>
      </c>
      <c r="R80" s="60">
        <f t="shared" si="6"/>
        <v>451.38</v>
      </c>
      <c r="S80" s="60">
        <f t="shared" si="7"/>
        <v>185.20500000000004</v>
      </c>
      <c r="T80" s="65">
        <f t="shared" si="8"/>
        <v>0.29093522467541655</v>
      </c>
    </row>
    <row r="81" spans="1:20">
      <c r="A81" s="41">
        <f t="shared" si="9"/>
        <v>2</v>
      </c>
      <c r="B81" s="6" t="s">
        <v>221</v>
      </c>
      <c r="C81" s="20">
        <v>45693</v>
      </c>
      <c r="D81" s="6" t="s">
        <v>136</v>
      </c>
      <c r="E81" s="6" t="s">
        <v>137</v>
      </c>
      <c r="F81" s="6" t="s">
        <v>122</v>
      </c>
      <c r="G81" s="6" t="s">
        <v>177</v>
      </c>
      <c r="H81" s="6" t="s">
        <v>119</v>
      </c>
      <c r="I81" s="6" t="s">
        <v>155</v>
      </c>
      <c r="J81" s="25">
        <v>1</v>
      </c>
      <c r="K81" s="21">
        <v>344.07</v>
      </c>
      <c r="L81" s="63">
        <v>0.03</v>
      </c>
      <c r="M81" s="21">
        <v>199.44</v>
      </c>
      <c r="N81" s="6" t="s">
        <v>94</v>
      </c>
      <c r="O81" s="60">
        <f>Vendas2025[[#This Row],[Quantidade]]*Vendas2025[[#This Row],[Preço_Unitário_R$]]</f>
        <v>344.07</v>
      </c>
      <c r="P81" s="60">
        <f>Vendas2025[[#This Row],[Receita_Bruta_R$]]*Vendas2025[[#This Row],[Desconto_pct]]</f>
        <v>10.322099999999999</v>
      </c>
      <c r="Q81" s="60">
        <f t="shared" si="5"/>
        <v>333.74790000000002</v>
      </c>
      <c r="R81" s="60">
        <f t="shared" si="6"/>
        <v>199.44</v>
      </c>
      <c r="S81" s="60">
        <f t="shared" si="7"/>
        <v>134.30790000000002</v>
      </c>
      <c r="T81" s="65">
        <f t="shared" si="8"/>
        <v>0.40242320625837646</v>
      </c>
    </row>
    <row r="82" spans="1:20">
      <c r="A82" s="41">
        <f t="shared" si="9"/>
        <v>2</v>
      </c>
      <c r="B82" s="6" t="s">
        <v>222</v>
      </c>
      <c r="C82" s="20">
        <v>45693</v>
      </c>
      <c r="D82" s="6" t="s">
        <v>118</v>
      </c>
      <c r="E82" s="6" t="s">
        <v>114</v>
      </c>
      <c r="F82" s="6" t="s">
        <v>97</v>
      </c>
      <c r="G82" s="6" t="s">
        <v>160</v>
      </c>
      <c r="H82" s="6" t="s">
        <v>106</v>
      </c>
      <c r="I82" s="6" t="s">
        <v>184</v>
      </c>
      <c r="J82" s="25">
        <v>2</v>
      </c>
      <c r="K82" s="21">
        <v>1207.2</v>
      </c>
      <c r="L82" s="63">
        <v>0</v>
      </c>
      <c r="M82" s="21">
        <v>858.08</v>
      </c>
      <c r="N82" s="6" t="s">
        <v>94</v>
      </c>
      <c r="O82" s="60">
        <f>Vendas2025[[#This Row],[Quantidade]]*Vendas2025[[#This Row],[Preço_Unitário_R$]]</f>
        <v>2414.4</v>
      </c>
      <c r="P82" s="60">
        <f>Vendas2025[[#This Row],[Receita_Bruta_R$]]*Vendas2025[[#This Row],[Desconto_pct]]</f>
        <v>0</v>
      </c>
      <c r="Q82" s="60">
        <f t="shared" si="5"/>
        <v>2414.4</v>
      </c>
      <c r="R82" s="60">
        <f t="shared" si="6"/>
        <v>1716.16</v>
      </c>
      <c r="S82" s="60">
        <f t="shared" si="7"/>
        <v>698.24</v>
      </c>
      <c r="T82" s="65">
        <f t="shared" si="8"/>
        <v>0.28919814446653413</v>
      </c>
    </row>
    <row r="83" spans="1:20">
      <c r="A83" s="41">
        <f t="shared" si="9"/>
        <v>2</v>
      </c>
      <c r="B83" s="6" t="s">
        <v>223</v>
      </c>
      <c r="C83" s="20">
        <v>45693</v>
      </c>
      <c r="D83" s="6" t="s">
        <v>136</v>
      </c>
      <c r="E83" s="6" t="s">
        <v>137</v>
      </c>
      <c r="F83" s="6" t="s">
        <v>97</v>
      </c>
      <c r="G83" s="6" t="s">
        <v>105</v>
      </c>
      <c r="H83" s="6" t="s">
        <v>106</v>
      </c>
      <c r="I83" s="6" t="s">
        <v>170</v>
      </c>
      <c r="J83" s="25">
        <v>1</v>
      </c>
      <c r="K83" s="21">
        <v>564.77</v>
      </c>
      <c r="L83" s="63">
        <v>0.08</v>
      </c>
      <c r="M83" s="21">
        <v>294.77</v>
      </c>
      <c r="N83" s="6" t="s">
        <v>94</v>
      </c>
      <c r="O83" s="60">
        <f>Vendas2025[[#This Row],[Quantidade]]*Vendas2025[[#This Row],[Preço_Unitário_R$]]</f>
        <v>564.77</v>
      </c>
      <c r="P83" s="60">
        <f>Vendas2025[[#This Row],[Receita_Bruta_R$]]*Vendas2025[[#This Row],[Desconto_pct]]</f>
        <v>45.181599999999996</v>
      </c>
      <c r="Q83" s="60">
        <f t="shared" si="5"/>
        <v>519.58839999999998</v>
      </c>
      <c r="R83" s="60">
        <f t="shared" si="6"/>
        <v>294.77</v>
      </c>
      <c r="S83" s="60">
        <f t="shared" si="7"/>
        <v>224.8184</v>
      </c>
      <c r="T83" s="65">
        <f t="shared" si="8"/>
        <v>0.43268556418888493</v>
      </c>
    </row>
    <row r="84" spans="1:20">
      <c r="A84" s="41">
        <f t="shared" si="9"/>
        <v>2</v>
      </c>
      <c r="B84" s="6" t="s">
        <v>224</v>
      </c>
      <c r="C84" s="20">
        <v>45694</v>
      </c>
      <c r="D84" s="6" t="s">
        <v>136</v>
      </c>
      <c r="E84" s="6" t="s">
        <v>137</v>
      </c>
      <c r="F84" s="6" t="s">
        <v>122</v>
      </c>
      <c r="G84" s="6" t="s">
        <v>151</v>
      </c>
      <c r="H84" s="6" t="s">
        <v>99</v>
      </c>
      <c r="I84" s="6" t="s">
        <v>100</v>
      </c>
      <c r="J84" s="25">
        <v>2</v>
      </c>
      <c r="K84" s="21">
        <v>394.2</v>
      </c>
      <c r="L84" s="63">
        <v>0.2</v>
      </c>
      <c r="M84" s="21">
        <v>224.88</v>
      </c>
      <c r="N84" s="6" t="s">
        <v>94</v>
      </c>
      <c r="O84" s="60">
        <f>Vendas2025[[#This Row],[Quantidade]]*Vendas2025[[#This Row],[Preço_Unitário_R$]]</f>
        <v>788.4</v>
      </c>
      <c r="P84" s="60">
        <f>Vendas2025[[#This Row],[Receita_Bruta_R$]]*Vendas2025[[#This Row],[Desconto_pct]]</f>
        <v>157.68</v>
      </c>
      <c r="Q84" s="60">
        <f t="shared" si="5"/>
        <v>630.72</v>
      </c>
      <c r="R84" s="60">
        <f t="shared" si="6"/>
        <v>449.76</v>
      </c>
      <c r="S84" s="60">
        <f t="shared" si="7"/>
        <v>180.96000000000004</v>
      </c>
      <c r="T84" s="65">
        <f t="shared" si="8"/>
        <v>0.28691019786910205</v>
      </c>
    </row>
    <row r="85" spans="1:20">
      <c r="A85" s="41">
        <f t="shared" si="9"/>
        <v>2</v>
      </c>
      <c r="B85" s="6" t="s">
        <v>225</v>
      </c>
      <c r="C85" s="20">
        <v>45694</v>
      </c>
      <c r="D85" s="6" t="s">
        <v>132</v>
      </c>
      <c r="E85" s="6" t="s">
        <v>89</v>
      </c>
      <c r="F85" s="6" t="s">
        <v>97</v>
      </c>
      <c r="G85" s="6" t="s">
        <v>123</v>
      </c>
      <c r="H85" s="6" t="s">
        <v>106</v>
      </c>
      <c r="I85" s="6" t="s">
        <v>111</v>
      </c>
      <c r="J85" s="25">
        <v>2</v>
      </c>
      <c r="K85" s="21">
        <v>300.77</v>
      </c>
      <c r="L85" s="63">
        <v>0.15</v>
      </c>
      <c r="M85" s="21">
        <v>129.63</v>
      </c>
      <c r="N85" s="6" t="s">
        <v>94</v>
      </c>
      <c r="O85" s="60">
        <f>Vendas2025[[#This Row],[Quantidade]]*Vendas2025[[#This Row],[Preço_Unitário_R$]]</f>
        <v>601.54</v>
      </c>
      <c r="P85" s="60">
        <f>Vendas2025[[#This Row],[Receita_Bruta_R$]]*Vendas2025[[#This Row],[Desconto_pct]]</f>
        <v>90.230999999999995</v>
      </c>
      <c r="Q85" s="60">
        <f t="shared" si="5"/>
        <v>511.30899999999997</v>
      </c>
      <c r="R85" s="60">
        <f t="shared" si="6"/>
        <v>259.26</v>
      </c>
      <c r="S85" s="60">
        <f t="shared" si="7"/>
        <v>252.04899999999998</v>
      </c>
      <c r="T85" s="65">
        <f t="shared" si="8"/>
        <v>0.49294849102988603</v>
      </c>
    </row>
    <row r="86" spans="1:20">
      <c r="A86" s="41">
        <f t="shared" si="9"/>
        <v>2</v>
      </c>
      <c r="B86" s="6" t="s">
        <v>226</v>
      </c>
      <c r="C86" s="20">
        <v>45694</v>
      </c>
      <c r="D86" s="6" t="s">
        <v>102</v>
      </c>
      <c r="E86" s="6" t="s">
        <v>103</v>
      </c>
      <c r="F86" s="6" t="s">
        <v>122</v>
      </c>
      <c r="G86" s="6" t="s">
        <v>91</v>
      </c>
      <c r="H86" s="6" t="s">
        <v>106</v>
      </c>
      <c r="I86" s="6" t="s">
        <v>107</v>
      </c>
      <c r="J86" s="25">
        <v>1</v>
      </c>
      <c r="K86" s="21">
        <v>694.8</v>
      </c>
      <c r="L86" s="63">
        <v>0.05</v>
      </c>
      <c r="M86" s="21">
        <v>404.64</v>
      </c>
      <c r="N86" s="6" t="s">
        <v>94</v>
      </c>
      <c r="O86" s="60">
        <f>Vendas2025[[#This Row],[Quantidade]]*Vendas2025[[#This Row],[Preço_Unitário_R$]]</f>
        <v>694.8</v>
      </c>
      <c r="P86" s="60">
        <f>Vendas2025[[#This Row],[Receita_Bruta_R$]]*Vendas2025[[#This Row],[Desconto_pct]]</f>
        <v>34.74</v>
      </c>
      <c r="Q86" s="60">
        <f t="shared" si="5"/>
        <v>660.06</v>
      </c>
      <c r="R86" s="60">
        <f t="shared" si="6"/>
        <v>404.64</v>
      </c>
      <c r="S86" s="60">
        <f t="shared" si="7"/>
        <v>255.41999999999996</v>
      </c>
      <c r="T86" s="65">
        <f t="shared" si="8"/>
        <v>0.38696482137987454</v>
      </c>
    </row>
    <row r="87" spans="1:20">
      <c r="A87" s="41">
        <f t="shared" si="9"/>
        <v>2</v>
      </c>
      <c r="B87" s="6" t="s">
        <v>227</v>
      </c>
      <c r="C87" s="20">
        <v>45695</v>
      </c>
      <c r="D87" s="6" t="s">
        <v>129</v>
      </c>
      <c r="E87" s="6" t="s">
        <v>103</v>
      </c>
      <c r="F87" s="6" t="s">
        <v>90</v>
      </c>
      <c r="G87" s="6" t="s">
        <v>160</v>
      </c>
      <c r="H87" s="6" t="s">
        <v>124</v>
      </c>
      <c r="I87" s="6" t="s">
        <v>199</v>
      </c>
      <c r="J87" s="25">
        <v>1</v>
      </c>
      <c r="K87" s="21">
        <v>337.77</v>
      </c>
      <c r="L87" s="63">
        <v>0.2</v>
      </c>
      <c r="M87" s="21">
        <v>151.26</v>
      </c>
      <c r="N87" s="6" t="s">
        <v>94</v>
      </c>
      <c r="O87" s="60">
        <f>Vendas2025[[#This Row],[Quantidade]]*Vendas2025[[#This Row],[Preço_Unitário_R$]]</f>
        <v>337.77</v>
      </c>
      <c r="P87" s="60">
        <f>Vendas2025[[#This Row],[Receita_Bruta_R$]]*Vendas2025[[#This Row],[Desconto_pct]]</f>
        <v>67.554000000000002</v>
      </c>
      <c r="Q87" s="60">
        <f t="shared" si="5"/>
        <v>270.21600000000001</v>
      </c>
      <c r="R87" s="60">
        <f t="shared" si="6"/>
        <v>151.26</v>
      </c>
      <c r="S87" s="60">
        <f t="shared" si="7"/>
        <v>118.95600000000002</v>
      </c>
      <c r="T87" s="65">
        <f t="shared" si="8"/>
        <v>0.44022559729993788</v>
      </c>
    </row>
    <row r="88" spans="1:20">
      <c r="A88" s="41">
        <f t="shared" si="9"/>
        <v>2</v>
      </c>
      <c r="B88" s="6" t="s">
        <v>228</v>
      </c>
      <c r="C88" s="20">
        <v>45695</v>
      </c>
      <c r="D88" s="6" t="s">
        <v>129</v>
      </c>
      <c r="E88" s="6" t="s">
        <v>103</v>
      </c>
      <c r="F88" s="6" t="s">
        <v>122</v>
      </c>
      <c r="G88" s="6" t="s">
        <v>115</v>
      </c>
      <c r="H88" s="6" t="s">
        <v>106</v>
      </c>
      <c r="I88" s="6" t="s">
        <v>107</v>
      </c>
      <c r="J88" s="25">
        <v>2</v>
      </c>
      <c r="K88" s="21">
        <v>663.79</v>
      </c>
      <c r="L88" s="63">
        <v>0.1</v>
      </c>
      <c r="M88" s="21">
        <v>373.08</v>
      </c>
      <c r="N88" s="6" t="s">
        <v>94</v>
      </c>
      <c r="O88" s="60">
        <f>Vendas2025[[#This Row],[Quantidade]]*Vendas2025[[#This Row],[Preço_Unitário_R$]]</f>
        <v>1327.58</v>
      </c>
      <c r="P88" s="60">
        <f>Vendas2025[[#This Row],[Receita_Bruta_R$]]*Vendas2025[[#This Row],[Desconto_pct]]</f>
        <v>132.75800000000001</v>
      </c>
      <c r="Q88" s="60">
        <f t="shared" si="5"/>
        <v>1194.8219999999999</v>
      </c>
      <c r="R88" s="60">
        <f t="shared" si="6"/>
        <v>746.16</v>
      </c>
      <c r="S88" s="60">
        <f t="shared" si="7"/>
        <v>448.66199999999992</v>
      </c>
      <c r="T88" s="65">
        <f t="shared" si="8"/>
        <v>0.37550530539276977</v>
      </c>
    </row>
    <row r="89" spans="1:20">
      <c r="A89" s="41">
        <f t="shared" si="9"/>
        <v>2</v>
      </c>
      <c r="B89" s="6" t="s">
        <v>229</v>
      </c>
      <c r="C89" s="20">
        <v>45696</v>
      </c>
      <c r="D89" s="6" t="s">
        <v>132</v>
      </c>
      <c r="E89" s="6" t="s">
        <v>89</v>
      </c>
      <c r="F89" s="6" t="s">
        <v>90</v>
      </c>
      <c r="G89" s="6" t="s">
        <v>105</v>
      </c>
      <c r="H89" s="6" t="s">
        <v>92</v>
      </c>
      <c r="I89" s="6" t="s">
        <v>144</v>
      </c>
      <c r="J89" s="25">
        <v>1</v>
      </c>
      <c r="K89" s="21">
        <v>145.61000000000001</v>
      </c>
      <c r="L89" s="63">
        <v>0.1</v>
      </c>
      <c r="M89" s="21">
        <v>49.66</v>
      </c>
      <c r="N89" s="6" t="s">
        <v>94</v>
      </c>
      <c r="O89" s="60">
        <f>Vendas2025[[#This Row],[Quantidade]]*Vendas2025[[#This Row],[Preço_Unitário_R$]]</f>
        <v>145.61000000000001</v>
      </c>
      <c r="P89" s="60">
        <f>Vendas2025[[#This Row],[Receita_Bruta_R$]]*Vendas2025[[#This Row],[Desconto_pct]]</f>
        <v>14.561000000000002</v>
      </c>
      <c r="Q89" s="60">
        <f t="shared" si="5"/>
        <v>131.04900000000001</v>
      </c>
      <c r="R89" s="60">
        <f t="shared" si="6"/>
        <v>49.66</v>
      </c>
      <c r="S89" s="60">
        <f t="shared" si="7"/>
        <v>81.38900000000001</v>
      </c>
      <c r="T89" s="65">
        <f t="shared" si="8"/>
        <v>0.62105777228364967</v>
      </c>
    </row>
    <row r="90" spans="1:20">
      <c r="A90" s="41">
        <f t="shared" si="9"/>
        <v>2</v>
      </c>
      <c r="B90" s="6" t="s">
        <v>230</v>
      </c>
      <c r="C90" s="20">
        <v>45698</v>
      </c>
      <c r="D90" s="6" t="s">
        <v>118</v>
      </c>
      <c r="E90" s="6" t="s">
        <v>114</v>
      </c>
      <c r="F90" s="6" t="s">
        <v>122</v>
      </c>
      <c r="G90" s="6" t="s">
        <v>140</v>
      </c>
      <c r="H90" s="6" t="s">
        <v>106</v>
      </c>
      <c r="I90" s="6" t="s">
        <v>116</v>
      </c>
      <c r="J90" s="25">
        <v>2</v>
      </c>
      <c r="K90" s="21">
        <v>462.24</v>
      </c>
      <c r="L90" s="63">
        <v>0.03</v>
      </c>
      <c r="M90" s="21">
        <v>246.19</v>
      </c>
      <c r="N90" s="6" t="s">
        <v>94</v>
      </c>
      <c r="O90" s="60">
        <f>Vendas2025[[#This Row],[Quantidade]]*Vendas2025[[#This Row],[Preço_Unitário_R$]]</f>
        <v>924.48</v>
      </c>
      <c r="P90" s="60">
        <f>Vendas2025[[#This Row],[Receita_Bruta_R$]]*Vendas2025[[#This Row],[Desconto_pct]]</f>
        <v>27.734400000000001</v>
      </c>
      <c r="Q90" s="60">
        <f t="shared" si="5"/>
        <v>896.74559999999997</v>
      </c>
      <c r="R90" s="60">
        <f t="shared" si="6"/>
        <v>492.38</v>
      </c>
      <c r="S90" s="60">
        <f t="shared" si="7"/>
        <v>404.36559999999997</v>
      </c>
      <c r="T90" s="65">
        <f t="shared" si="8"/>
        <v>0.45092565829149311</v>
      </c>
    </row>
    <row r="91" spans="1:20">
      <c r="A91" s="41">
        <f t="shared" si="9"/>
        <v>2</v>
      </c>
      <c r="B91" s="6" t="s">
        <v>231</v>
      </c>
      <c r="C91" s="20">
        <v>45698</v>
      </c>
      <c r="D91" s="6" t="s">
        <v>113</v>
      </c>
      <c r="E91" s="6" t="s">
        <v>114</v>
      </c>
      <c r="F91" s="6" t="s">
        <v>122</v>
      </c>
      <c r="G91" s="6" t="s">
        <v>98</v>
      </c>
      <c r="H91" s="6" t="s">
        <v>124</v>
      </c>
      <c r="I91" s="6" t="s">
        <v>199</v>
      </c>
      <c r="J91" s="25">
        <v>1</v>
      </c>
      <c r="K91" s="21">
        <v>310.68</v>
      </c>
      <c r="L91" s="63">
        <v>0.1</v>
      </c>
      <c r="M91" s="21">
        <v>144.57</v>
      </c>
      <c r="N91" s="6" t="s">
        <v>94</v>
      </c>
      <c r="O91" s="60">
        <f>Vendas2025[[#This Row],[Quantidade]]*Vendas2025[[#This Row],[Preço_Unitário_R$]]</f>
        <v>310.68</v>
      </c>
      <c r="P91" s="60">
        <f>Vendas2025[[#This Row],[Receita_Bruta_R$]]*Vendas2025[[#This Row],[Desconto_pct]]</f>
        <v>31.068000000000001</v>
      </c>
      <c r="Q91" s="60">
        <f t="shared" si="5"/>
        <v>279.61200000000002</v>
      </c>
      <c r="R91" s="60">
        <f t="shared" si="6"/>
        <v>144.57</v>
      </c>
      <c r="S91" s="60">
        <f t="shared" si="7"/>
        <v>135.04200000000003</v>
      </c>
      <c r="T91" s="65">
        <f t="shared" si="8"/>
        <v>0.4829621046307026</v>
      </c>
    </row>
    <row r="92" spans="1:20">
      <c r="A92" s="41">
        <f t="shared" si="9"/>
        <v>2</v>
      </c>
      <c r="B92" s="6" t="s">
        <v>232</v>
      </c>
      <c r="C92" s="20">
        <v>45698</v>
      </c>
      <c r="D92" s="6" t="s">
        <v>132</v>
      </c>
      <c r="E92" s="6" t="s">
        <v>89</v>
      </c>
      <c r="F92" s="6" t="s">
        <v>122</v>
      </c>
      <c r="G92" s="6" t="s">
        <v>123</v>
      </c>
      <c r="H92" s="6" t="s">
        <v>106</v>
      </c>
      <c r="I92" s="6" t="s">
        <v>116</v>
      </c>
      <c r="J92" s="25">
        <v>1</v>
      </c>
      <c r="K92" s="21">
        <v>421.85</v>
      </c>
      <c r="L92" s="63">
        <v>0.03</v>
      </c>
      <c r="M92" s="21">
        <v>230.6</v>
      </c>
      <c r="N92" s="6" t="s">
        <v>94</v>
      </c>
      <c r="O92" s="60">
        <f>Vendas2025[[#This Row],[Quantidade]]*Vendas2025[[#This Row],[Preço_Unitário_R$]]</f>
        <v>421.85</v>
      </c>
      <c r="P92" s="60">
        <f>Vendas2025[[#This Row],[Receita_Bruta_R$]]*Vendas2025[[#This Row],[Desconto_pct]]</f>
        <v>12.6555</v>
      </c>
      <c r="Q92" s="60">
        <f t="shared" si="5"/>
        <v>409.19450000000001</v>
      </c>
      <c r="R92" s="60">
        <f t="shared" si="6"/>
        <v>230.6</v>
      </c>
      <c r="S92" s="60">
        <f t="shared" si="7"/>
        <v>178.59450000000001</v>
      </c>
      <c r="T92" s="65">
        <f t="shared" si="8"/>
        <v>0.43645381352877421</v>
      </c>
    </row>
    <row r="93" spans="1:20">
      <c r="A93" s="41">
        <f t="shared" si="9"/>
        <v>2</v>
      </c>
      <c r="B93" s="6" t="s">
        <v>233</v>
      </c>
      <c r="C93" s="20">
        <v>45699</v>
      </c>
      <c r="D93" s="6" t="s">
        <v>113</v>
      </c>
      <c r="E93" s="6" t="s">
        <v>114</v>
      </c>
      <c r="F93" s="6" t="s">
        <v>90</v>
      </c>
      <c r="G93" s="6" t="s">
        <v>123</v>
      </c>
      <c r="H93" s="6" t="s">
        <v>92</v>
      </c>
      <c r="I93" s="6" t="s">
        <v>144</v>
      </c>
      <c r="J93" s="25">
        <v>1</v>
      </c>
      <c r="K93" s="21">
        <v>153.27000000000001</v>
      </c>
      <c r="L93" s="63">
        <v>0.05</v>
      </c>
      <c r="M93" s="21">
        <v>54.66</v>
      </c>
      <c r="N93" s="6" t="s">
        <v>94</v>
      </c>
      <c r="O93" s="60">
        <f>Vendas2025[[#This Row],[Quantidade]]*Vendas2025[[#This Row],[Preço_Unitário_R$]]</f>
        <v>153.27000000000001</v>
      </c>
      <c r="P93" s="60">
        <f>Vendas2025[[#This Row],[Receita_Bruta_R$]]*Vendas2025[[#This Row],[Desconto_pct]]</f>
        <v>7.6635000000000009</v>
      </c>
      <c r="Q93" s="60">
        <f t="shared" si="5"/>
        <v>145.60650000000001</v>
      </c>
      <c r="R93" s="60">
        <f t="shared" si="6"/>
        <v>54.66</v>
      </c>
      <c r="S93" s="60">
        <f t="shared" si="7"/>
        <v>90.946500000000015</v>
      </c>
      <c r="T93" s="65">
        <f t="shared" si="8"/>
        <v>0.62460467080796533</v>
      </c>
    </row>
    <row r="94" spans="1:20">
      <c r="A94" s="41">
        <f t="shared" si="9"/>
        <v>2</v>
      </c>
      <c r="B94" s="6" t="s">
        <v>234</v>
      </c>
      <c r="C94" s="20">
        <v>45699</v>
      </c>
      <c r="D94" s="6" t="s">
        <v>96</v>
      </c>
      <c r="E94" s="6" t="s">
        <v>89</v>
      </c>
      <c r="F94" s="6" t="s">
        <v>104</v>
      </c>
      <c r="G94" s="6" t="s">
        <v>154</v>
      </c>
      <c r="H94" s="6" t="s">
        <v>106</v>
      </c>
      <c r="I94" s="6" t="s">
        <v>107</v>
      </c>
      <c r="J94" s="25">
        <v>1</v>
      </c>
      <c r="K94" s="21">
        <v>729.46</v>
      </c>
      <c r="L94" s="63">
        <v>0.1</v>
      </c>
      <c r="M94" s="21">
        <v>423.8</v>
      </c>
      <c r="N94" s="6" t="s">
        <v>94</v>
      </c>
      <c r="O94" s="60">
        <f>Vendas2025[[#This Row],[Quantidade]]*Vendas2025[[#This Row],[Preço_Unitário_R$]]</f>
        <v>729.46</v>
      </c>
      <c r="P94" s="60">
        <f>Vendas2025[[#This Row],[Receita_Bruta_R$]]*Vendas2025[[#This Row],[Desconto_pct]]</f>
        <v>72.946000000000012</v>
      </c>
      <c r="Q94" s="60">
        <f t="shared" si="5"/>
        <v>656.51400000000001</v>
      </c>
      <c r="R94" s="60">
        <f t="shared" si="6"/>
        <v>423.8</v>
      </c>
      <c r="S94" s="60">
        <f t="shared" si="7"/>
        <v>232.714</v>
      </c>
      <c r="T94" s="65">
        <f t="shared" si="8"/>
        <v>0.35446921162381911</v>
      </c>
    </row>
    <row r="95" spans="1:20">
      <c r="A95" s="41">
        <f t="shared" si="9"/>
        <v>2</v>
      </c>
      <c r="B95" s="6" t="s">
        <v>235</v>
      </c>
      <c r="C95" s="20">
        <v>45700</v>
      </c>
      <c r="D95" s="6" t="s">
        <v>132</v>
      </c>
      <c r="E95" s="6" t="s">
        <v>89</v>
      </c>
      <c r="F95" s="6" t="s">
        <v>90</v>
      </c>
      <c r="G95" s="6" t="s">
        <v>127</v>
      </c>
      <c r="H95" s="6" t="s">
        <v>99</v>
      </c>
      <c r="I95" s="6" t="s">
        <v>163</v>
      </c>
      <c r="J95" s="25">
        <v>2</v>
      </c>
      <c r="K95" s="21">
        <v>1280.1400000000001</v>
      </c>
      <c r="L95" s="63">
        <v>0.25</v>
      </c>
      <c r="M95" s="21">
        <v>880.78</v>
      </c>
      <c r="N95" s="6" t="s">
        <v>94</v>
      </c>
      <c r="O95" s="60">
        <f>Vendas2025[[#This Row],[Quantidade]]*Vendas2025[[#This Row],[Preço_Unitário_R$]]</f>
        <v>2560.2800000000002</v>
      </c>
      <c r="P95" s="60">
        <f>Vendas2025[[#This Row],[Receita_Bruta_R$]]*Vendas2025[[#This Row],[Desconto_pct]]</f>
        <v>640.07000000000005</v>
      </c>
      <c r="Q95" s="60">
        <f t="shared" si="5"/>
        <v>1920.21</v>
      </c>
      <c r="R95" s="60">
        <f t="shared" si="6"/>
        <v>1761.56</v>
      </c>
      <c r="S95" s="60">
        <f t="shared" si="7"/>
        <v>158.65000000000009</v>
      </c>
      <c r="T95" s="65">
        <f t="shared" si="8"/>
        <v>8.2621171642684954E-2</v>
      </c>
    </row>
    <row r="96" spans="1:20">
      <c r="A96" s="41">
        <f t="shared" si="9"/>
        <v>2</v>
      </c>
      <c r="B96" s="6" t="s">
        <v>236</v>
      </c>
      <c r="C96" s="20">
        <v>45701</v>
      </c>
      <c r="D96" s="6" t="s">
        <v>96</v>
      </c>
      <c r="E96" s="6" t="s">
        <v>89</v>
      </c>
      <c r="F96" s="6" t="s">
        <v>97</v>
      </c>
      <c r="G96" s="6" t="s">
        <v>151</v>
      </c>
      <c r="H96" s="6" t="s">
        <v>119</v>
      </c>
      <c r="I96" s="6" t="s">
        <v>120</v>
      </c>
      <c r="J96" s="25">
        <v>1</v>
      </c>
      <c r="K96" s="21">
        <v>2425.2399999999998</v>
      </c>
      <c r="L96" s="63">
        <v>0.05</v>
      </c>
      <c r="M96" s="21">
        <v>1690.53</v>
      </c>
      <c r="N96" s="6" t="s">
        <v>94</v>
      </c>
      <c r="O96" s="60">
        <f>Vendas2025[[#This Row],[Quantidade]]*Vendas2025[[#This Row],[Preço_Unitário_R$]]</f>
        <v>2425.2399999999998</v>
      </c>
      <c r="P96" s="60">
        <f>Vendas2025[[#This Row],[Receita_Bruta_R$]]*Vendas2025[[#This Row],[Desconto_pct]]</f>
        <v>121.262</v>
      </c>
      <c r="Q96" s="60">
        <f t="shared" si="5"/>
        <v>2303.9779999999996</v>
      </c>
      <c r="R96" s="60">
        <f t="shared" si="6"/>
        <v>1690.53</v>
      </c>
      <c r="S96" s="60">
        <f t="shared" si="7"/>
        <v>613.44799999999964</v>
      </c>
      <c r="T96" s="65">
        <f t="shared" si="8"/>
        <v>0.26625601459736148</v>
      </c>
    </row>
    <row r="97" spans="1:20">
      <c r="A97" s="41">
        <f t="shared" si="9"/>
        <v>2</v>
      </c>
      <c r="B97" s="6" t="s">
        <v>237</v>
      </c>
      <c r="C97" s="20">
        <v>45702</v>
      </c>
      <c r="D97" s="6" t="s">
        <v>132</v>
      </c>
      <c r="E97" s="6" t="s">
        <v>89</v>
      </c>
      <c r="F97" s="6" t="s">
        <v>90</v>
      </c>
      <c r="G97" s="6" t="s">
        <v>127</v>
      </c>
      <c r="H97" s="6" t="s">
        <v>92</v>
      </c>
      <c r="I97" s="6" t="s">
        <v>93</v>
      </c>
      <c r="J97" s="25">
        <v>1</v>
      </c>
      <c r="K97" s="21">
        <v>220.39</v>
      </c>
      <c r="L97" s="63">
        <v>0.1</v>
      </c>
      <c r="M97" s="21">
        <v>98.17</v>
      </c>
      <c r="N97" s="6" t="s">
        <v>94</v>
      </c>
      <c r="O97" s="60">
        <f>Vendas2025[[#This Row],[Quantidade]]*Vendas2025[[#This Row],[Preço_Unitário_R$]]</f>
        <v>220.39</v>
      </c>
      <c r="P97" s="60">
        <f>Vendas2025[[#This Row],[Receita_Bruta_R$]]*Vendas2025[[#This Row],[Desconto_pct]]</f>
        <v>22.039000000000001</v>
      </c>
      <c r="Q97" s="60">
        <f t="shared" si="5"/>
        <v>198.351</v>
      </c>
      <c r="R97" s="60">
        <f t="shared" si="6"/>
        <v>98.17</v>
      </c>
      <c r="S97" s="60">
        <f t="shared" si="7"/>
        <v>100.181</v>
      </c>
      <c r="T97" s="65">
        <f t="shared" si="8"/>
        <v>0.50506929634839248</v>
      </c>
    </row>
    <row r="98" spans="1:20">
      <c r="A98" s="41">
        <f t="shared" si="9"/>
        <v>2</v>
      </c>
      <c r="B98" s="6" t="s">
        <v>238</v>
      </c>
      <c r="C98" s="20">
        <v>45702</v>
      </c>
      <c r="D98" s="6" t="s">
        <v>132</v>
      </c>
      <c r="E98" s="6" t="s">
        <v>89</v>
      </c>
      <c r="F98" s="6" t="s">
        <v>97</v>
      </c>
      <c r="G98" s="6" t="s">
        <v>115</v>
      </c>
      <c r="H98" s="6" t="s">
        <v>99</v>
      </c>
      <c r="I98" s="6" t="s">
        <v>130</v>
      </c>
      <c r="J98" s="25">
        <v>1</v>
      </c>
      <c r="K98" s="21">
        <v>253.59</v>
      </c>
      <c r="L98" s="63">
        <v>0</v>
      </c>
      <c r="M98" s="21">
        <v>123.77</v>
      </c>
      <c r="N98" s="6" t="s">
        <v>94</v>
      </c>
      <c r="O98" s="60">
        <f>Vendas2025[[#This Row],[Quantidade]]*Vendas2025[[#This Row],[Preço_Unitário_R$]]</f>
        <v>253.59</v>
      </c>
      <c r="P98" s="60">
        <f>Vendas2025[[#This Row],[Receita_Bruta_R$]]*Vendas2025[[#This Row],[Desconto_pct]]</f>
        <v>0</v>
      </c>
      <c r="Q98" s="60">
        <f t="shared" si="5"/>
        <v>253.59</v>
      </c>
      <c r="R98" s="60">
        <f t="shared" si="6"/>
        <v>123.77</v>
      </c>
      <c r="S98" s="60">
        <f t="shared" si="7"/>
        <v>129.82</v>
      </c>
      <c r="T98" s="65">
        <f t="shared" si="8"/>
        <v>0.51192870381324185</v>
      </c>
    </row>
    <row r="99" spans="1:20">
      <c r="A99" s="41">
        <f t="shared" si="9"/>
        <v>2</v>
      </c>
      <c r="B99" s="6" t="s">
        <v>239</v>
      </c>
      <c r="C99" s="20">
        <v>45702</v>
      </c>
      <c r="D99" s="6" t="s">
        <v>96</v>
      </c>
      <c r="E99" s="6" t="s">
        <v>89</v>
      </c>
      <c r="F99" s="6" t="s">
        <v>122</v>
      </c>
      <c r="G99" s="6" t="s">
        <v>105</v>
      </c>
      <c r="H99" s="6" t="s">
        <v>92</v>
      </c>
      <c r="I99" s="6" t="s">
        <v>134</v>
      </c>
      <c r="J99" s="25">
        <v>2</v>
      </c>
      <c r="K99" s="21">
        <v>405.53</v>
      </c>
      <c r="L99" s="63">
        <v>0.03</v>
      </c>
      <c r="M99" s="21">
        <v>230.88</v>
      </c>
      <c r="N99" s="6" t="s">
        <v>94</v>
      </c>
      <c r="O99" s="60">
        <f>Vendas2025[[#This Row],[Quantidade]]*Vendas2025[[#This Row],[Preço_Unitário_R$]]</f>
        <v>811.06</v>
      </c>
      <c r="P99" s="60">
        <f>Vendas2025[[#This Row],[Receita_Bruta_R$]]*Vendas2025[[#This Row],[Desconto_pct]]</f>
        <v>24.331799999999998</v>
      </c>
      <c r="Q99" s="60">
        <f t="shared" si="5"/>
        <v>786.7281999999999</v>
      </c>
      <c r="R99" s="60">
        <f t="shared" si="6"/>
        <v>461.76</v>
      </c>
      <c r="S99" s="60">
        <f t="shared" si="7"/>
        <v>324.96819999999991</v>
      </c>
      <c r="T99" s="65">
        <f t="shared" si="8"/>
        <v>0.41306285957462813</v>
      </c>
    </row>
    <row r="100" spans="1:20">
      <c r="A100" s="41">
        <f t="shared" si="9"/>
        <v>2</v>
      </c>
      <c r="B100" s="6" t="s">
        <v>240</v>
      </c>
      <c r="C100" s="20">
        <v>45702</v>
      </c>
      <c r="D100" s="6" t="s">
        <v>113</v>
      </c>
      <c r="E100" s="6" t="s">
        <v>114</v>
      </c>
      <c r="F100" s="6" t="s">
        <v>104</v>
      </c>
      <c r="G100" s="6" t="s">
        <v>110</v>
      </c>
      <c r="H100" s="6" t="s">
        <v>92</v>
      </c>
      <c r="I100" s="6" t="s">
        <v>134</v>
      </c>
      <c r="J100" s="25">
        <v>1</v>
      </c>
      <c r="K100" s="21">
        <v>398.35</v>
      </c>
      <c r="L100" s="63">
        <v>0.05</v>
      </c>
      <c r="M100" s="21">
        <v>227.22</v>
      </c>
      <c r="N100" s="6" t="s">
        <v>94</v>
      </c>
      <c r="O100" s="60">
        <f>Vendas2025[[#This Row],[Quantidade]]*Vendas2025[[#This Row],[Preço_Unitário_R$]]</f>
        <v>398.35</v>
      </c>
      <c r="P100" s="60">
        <f>Vendas2025[[#This Row],[Receita_Bruta_R$]]*Vendas2025[[#This Row],[Desconto_pct]]</f>
        <v>19.917500000000004</v>
      </c>
      <c r="Q100" s="60">
        <f t="shared" si="5"/>
        <v>378.4325</v>
      </c>
      <c r="R100" s="60">
        <f t="shared" si="6"/>
        <v>227.22</v>
      </c>
      <c r="S100" s="60">
        <f t="shared" si="7"/>
        <v>151.21250000000001</v>
      </c>
      <c r="T100" s="65">
        <f t="shared" si="8"/>
        <v>0.39957588209257927</v>
      </c>
    </row>
    <row r="101" spans="1:20">
      <c r="A101" s="41">
        <f t="shared" si="9"/>
        <v>2</v>
      </c>
      <c r="B101" s="6" t="s">
        <v>241</v>
      </c>
      <c r="C101" s="20">
        <v>45703</v>
      </c>
      <c r="D101" s="6" t="s">
        <v>88</v>
      </c>
      <c r="E101" s="6" t="s">
        <v>89</v>
      </c>
      <c r="F101" s="6" t="s">
        <v>97</v>
      </c>
      <c r="G101" s="6" t="s">
        <v>98</v>
      </c>
      <c r="H101" s="6" t="s">
        <v>106</v>
      </c>
      <c r="I101" s="6" t="s">
        <v>111</v>
      </c>
      <c r="J101" s="25">
        <v>1</v>
      </c>
      <c r="K101" s="21">
        <v>278.2</v>
      </c>
      <c r="L101" s="63">
        <v>0.05</v>
      </c>
      <c r="M101" s="21">
        <v>126.82</v>
      </c>
      <c r="N101" s="6" t="s">
        <v>94</v>
      </c>
      <c r="O101" s="60">
        <f>Vendas2025[[#This Row],[Quantidade]]*Vendas2025[[#This Row],[Preço_Unitário_R$]]</f>
        <v>278.2</v>
      </c>
      <c r="P101" s="60">
        <f>Vendas2025[[#This Row],[Receita_Bruta_R$]]*Vendas2025[[#This Row],[Desconto_pct]]</f>
        <v>13.91</v>
      </c>
      <c r="Q101" s="60">
        <f t="shared" si="5"/>
        <v>264.28999999999996</v>
      </c>
      <c r="R101" s="60">
        <f t="shared" si="6"/>
        <v>126.82</v>
      </c>
      <c r="S101" s="60">
        <f t="shared" si="7"/>
        <v>137.46999999999997</v>
      </c>
      <c r="T101" s="65">
        <f t="shared" si="8"/>
        <v>0.52014832191910398</v>
      </c>
    </row>
    <row r="102" spans="1:20">
      <c r="A102" s="41">
        <f t="shared" si="9"/>
        <v>2</v>
      </c>
      <c r="B102" s="6" t="s">
        <v>242</v>
      </c>
      <c r="C102" s="20">
        <v>45703</v>
      </c>
      <c r="D102" s="6" t="s">
        <v>129</v>
      </c>
      <c r="E102" s="6" t="s">
        <v>103</v>
      </c>
      <c r="F102" s="6" t="s">
        <v>97</v>
      </c>
      <c r="G102" s="6" t="s">
        <v>140</v>
      </c>
      <c r="H102" s="6" t="s">
        <v>106</v>
      </c>
      <c r="I102" s="6" t="s">
        <v>116</v>
      </c>
      <c r="J102" s="25">
        <v>1</v>
      </c>
      <c r="K102" s="21">
        <v>479.89</v>
      </c>
      <c r="L102" s="63">
        <v>0.1</v>
      </c>
      <c r="M102" s="21">
        <v>274.04000000000002</v>
      </c>
      <c r="N102" s="6" t="s">
        <v>94</v>
      </c>
      <c r="O102" s="60">
        <f>Vendas2025[[#This Row],[Quantidade]]*Vendas2025[[#This Row],[Preço_Unitário_R$]]</f>
        <v>479.89</v>
      </c>
      <c r="P102" s="60">
        <f>Vendas2025[[#This Row],[Receita_Bruta_R$]]*Vendas2025[[#This Row],[Desconto_pct]]</f>
        <v>47.989000000000004</v>
      </c>
      <c r="Q102" s="60">
        <f t="shared" si="5"/>
        <v>431.90099999999995</v>
      </c>
      <c r="R102" s="60">
        <f t="shared" si="6"/>
        <v>274.04000000000002</v>
      </c>
      <c r="S102" s="60">
        <f t="shared" si="7"/>
        <v>157.86099999999993</v>
      </c>
      <c r="T102" s="65">
        <f t="shared" si="8"/>
        <v>0.36550274252664372</v>
      </c>
    </row>
    <row r="103" spans="1:20">
      <c r="A103" s="41">
        <f t="shared" si="9"/>
        <v>2</v>
      </c>
      <c r="B103" s="6" t="s">
        <v>243</v>
      </c>
      <c r="C103" s="20">
        <v>45704</v>
      </c>
      <c r="D103" s="6" t="s">
        <v>118</v>
      </c>
      <c r="E103" s="6" t="s">
        <v>114</v>
      </c>
      <c r="F103" s="6" t="s">
        <v>122</v>
      </c>
      <c r="G103" s="6" t="s">
        <v>110</v>
      </c>
      <c r="H103" s="6" t="s">
        <v>99</v>
      </c>
      <c r="I103" s="6" t="s">
        <v>130</v>
      </c>
      <c r="J103" s="25">
        <v>1</v>
      </c>
      <c r="K103" s="21">
        <v>261.86</v>
      </c>
      <c r="L103" s="63">
        <v>0.2</v>
      </c>
      <c r="M103" s="21">
        <v>124.93</v>
      </c>
      <c r="N103" s="6" t="s">
        <v>94</v>
      </c>
      <c r="O103" s="60">
        <f>Vendas2025[[#This Row],[Quantidade]]*Vendas2025[[#This Row],[Preço_Unitário_R$]]</f>
        <v>261.86</v>
      </c>
      <c r="P103" s="60">
        <f>Vendas2025[[#This Row],[Receita_Bruta_R$]]*Vendas2025[[#This Row],[Desconto_pct]]</f>
        <v>52.372000000000007</v>
      </c>
      <c r="Q103" s="60">
        <f t="shared" si="5"/>
        <v>209.488</v>
      </c>
      <c r="R103" s="60">
        <f t="shared" si="6"/>
        <v>124.93</v>
      </c>
      <c r="S103" s="60">
        <f t="shared" si="7"/>
        <v>84.557999999999993</v>
      </c>
      <c r="T103" s="65">
        <f t="shared" si="8"/>
        <v>0.40364125868784845</v>
      </c>
    </row>
    <row r="104" spans="1:20">
      <c r="A104" s="41">
        <f t="shared" si="9"/>
        <v>2</v>
      </c>
      <c r="B104" s="6" t="s">
        <v>244</v>
      </c>
      <c r="C104" s="20">
        <v>45704</v>
      </c>
      <c r="D104" s="6" t="s">
        <v>102</v>
      </c>
      <c r="E104" s="6" t="s">
        <v>103</v>
      </c>
      <c r="F104" s="6" t="s">
        <v>97</v>
      </c>
      <c r="G104" s="6" t="s">
        <v>140</v>
      </c>
      <c r="H104" s="6" t="s">
        <v>119</v>
      </c>
      <c r="I104" s="6" t="s">
        <v>120</v>
      </c>
      <c r="J104" s="25">
        <v>1</v>
      </c>
      <c r="K104" s="21">
        <v>2262.98</v>
      </c>
      <c r="L104" s="63">
        <v>0.05</v>
      </c>
      <c r="M104" s="21">
        <v>1595.58</v>
      </c>
      <c r="N104" s="6" t="s">
        <v>245</v>
      </c>
      <c r="O104" s="60">
        <f>Vendas2025[[#This Row],[Quantidade]]*Vendas2025[[#This Row],[Preço_Unitário_R$]]</f>
        <v>2262.98</v>
      </c>
      <c r="P104" s="60">
        <f>Vendas2025[[#This Row],[Receita_Bruta_R$]]*Vendas2025[[#This Row],[Desconto_pct]]</f>
        <v>113.149</v>
      </c>
      <c r="Q104" s="60">
        <f t="shared" si="5"/>
        <v>0</v>
      </c>
      <c r="R104" s="60">
        <f t="shared" si="6"/>
        <v>0</v>
      </c>
      <c r="S104" s="60">
        <f t="shared" si="7"/>
        <v>0</v>
      </c>
      <c r="T104" s="65" t="str">
        <f t="shared" si="8"/>
        <v/>
      </c>
    </row>
    <row r="105" spans="1:20">
      <c r="A105" s="41">
        <f t="shared" si="9"/>
        <v>2</v>
      </c>
      <c r="B105" s="6" t="s">
        <v>246</v>
      </c>
      <c r="C105" s="20">
        <v>45704</v>
      </c>
      <c r="D105" s="6" t="s">
        <v>96</v>
      </c>
      <c r="E105" s="6" t="s">
        <v>89</v>
      </c>
      <c r="F105" s="6" t="s">
        <v>90</v>
      </c>
      <c r="G105" s="6" t="s">
        <v>110</v>
      </c>
      <c r="H105" s="6" t="s">
        <v>119</v>
      </c>
      <c r="I105" s="6" t="s">
        <v>155</v>
      </c>
      <c r="J105" s="25">
        <v>1</v>
      </c>
      <c r="K105" s="21">
        <v>386.22</v>
      </c>
      <c r="L105" s="63">
        <v>0.05</v>
      </c>
      <c r="M105" s="21">
        <v>223.56</v>
      </c>
      <c r="N105" s="6" t="s">
        <v>94</v>
      </c>
      <c r="O105" s="60">
        <f>Vendas2025[[#This Row],[Quantidade]]*Vendas2025[[#This Row],[Preço_Unitário_R$]]</f>
        <v>386.22</v>
      </c>
      <c r="P105" s="60">
        <f>Vendas2025[[#This Row],[Receita_Bruta_R$]]*Vendas2025[[#This Row],[Desconto_pct]]</f>
        <v>19.311000000000003</v>
      </c>
      <c r="Q105" s="60">
        <f t="shared" si="5"/>
        <v>366.90900000000005</v>
      </c>
      <c r="R105" s="60">
        <f t="shared" si="6"/>
        <v>223.56</v>
      </c>
      <c r="S105" s="60">
        <f t="shared" si="7"/>
        <v>143.34900000000005</v>
      </c>
      <c r="T105" s="65">
        <f t="shared" si="8"/>
        <v>0.39069360522636409</v>
      </c>
    </row>
    <row r="106" spans="1:20">
      <c r="A106" s="41">
        <f t="shared" si="9"/>
        <v>2</v>
      </c>
      <c r="B106" s="6" t="s">
        <v>247</v>
      </c>
      <c r="C106" s="20">
        <v>45704</v>
      </c>
      <c r="D106" s="6" t="s">
        <v>96</v>
      </c>
      <c r="E106" s="6" t="s">
        <v>89</v>
      </c>
      <c r="F106" s="6" t="s">
        <v>90</v>
      </c>
      <c r="G106" s="6" t="s">
        <v>115</v>
      </c>
      <c r="H106" s="6" t="s">
        <v>99</v>
      </c>
      <c r="I106" s="6" t="s">
        <v>130</v>
      </c>
      <c r="J106" s="25">
        <v>1</v>
      </c>
      <c r="K106" s="21">
        <v>235.19</v>
      </c>
      <c r="L106" s="63">
        <v>0.1</v>
      </c>
      <c r="M106" s="21">
        <v>117.22</v>
      </c>
      <c r="N106" s="6" t="s">
        <v>94</v>
      </c>
      <c r="O106" s="60">
        <f>Vendas2025[[#This Row],[Quantidade]]*Vendas2025[[#This Row],[Preço_Unitário_R$]]</f>
        <v>235.19</v>
      </c>
      <c r="P106" s="60">
        <f>Vendas2025[[#This Row],[Receita_Bruta_R$]]*Vendas2025[[#This Row],[Desconto_pct]]</f>
        <v>23.519000000000002</v>
      </c>
      <c r="Q106" s="60">
        <f t="shared" si="5"/>
        <v>211.67099999999999</v>
      </c>
      <c r="R106" s="60">
        <f t="shared" si="6"/>
        <v>117.22</v>
      </c>
      <c r="S106" s="60">
        <f t="shared" si="7"/>
        <v>94.450999999999993</v>
      </c>
      <c r="T106" s="65">
        <f t="shared" si="8"/>
        <v>0.44621606171842149</v>
      </c>
    </row>
    <row r="107" spans="1:20">
      <c r="A107" s="41">
        <f t="shared" si="9"/>
        <v>2</v>
      </c>
      <c r="B107" s="6" t="s">
        <v>248</v>
      </c>
      <c r="C107" s="20">
        <v>45704</v>
      </c>
      <c r="D107" s="6" t="s">
        <v>102</v>
      </c>
      <c r="E107" s="6" t="s">
        <v>103</v>
      </c>
      <c r="F107" s="6" t="s">
        <v>122</v>
      </c>
      <c r="G107" s="6" t="s">
        <v>98</v>
      </c>
      <c r="H107" s="6" t="s">
        <v>92</v>
      </c>
      <c r="I107" s="6" t="s">
        <v>134</v>
      </c>
      <c r="J107" s="25">
        <v>2</v>
      </c>
      <c r="K107" s="21">
        <v>429.79</v>
      </c>
      <c r="L107" s="63">
        <v>0.03</v>
      </c>
      <c r="M107" s="21">
        <v>229.96</v>
      </c>
      <c r="N107" s="6" t="s">
        <v>94</v>
      </c>
      <c r="O107" s="60">
        <f>Vendas2025[[#This Row],[Quantidade]]*Vendas2025[[#This Row],[Preço_Unitário_R$]]</f>
        <v>859.58</v>
      </c>
      <c r="P107" s="60">
        <f>Vendas2025[[#This Row],[Receita_Bruta_R$]]*Vendas2025[[#This Row],[Desconto_pct]]</f>
        <v>25.787400000000002</v>
      </c>
      <c r="Q107" s="60">
        <f t="shared" si="5"/>
        <v>833.79259999999999</v>
      </c>
      <c r="R107" s="60">
        <f t="shared" si="6"/>
        <v>459.92</v>
      </c>
      <c r="S107" s="60">
        <f t="shared" si="7"/>
        <v>373.87259999999998</v>
      </c>
      <c r="T107" s="65">
        <f t="shared" si="8"/>
        <v>0.44839999779321615</v>
      </c>
    </row>
    <row r="108" spans="1:20">
      <c r="A108" s="41">
        <f t="shared" si="9"/>
        <v>2</v>
      </c>
      <c r="B108" s="6" t="s">
        <v>249</v>
      </c>
      <c r="C108" s="20">
        <v>45705</v>
      </c>
      <c r="D108" s="6" t="s">
        <v>118</v>
      </c>
      <c r="E108" s="6" t="s">
        <v>114</v>
      </c>
      <c r="F108" s="6" t="s">
        <v>97</v>
      </c>
      <c r="G108" s="6" t="s">
        <v>98</v>
      </c>
      <c r="H108" s="6" t="s">
        <v>119</v>
      </c>
      <c r="I108" s="6" t="s">
        <v>155</v>
      </c>
      <c r="J108" s="25">
        <v>1</v>
      </c>
      <c r="K108" s="21">
        <v>383.49</v>
      </c>
      <c r="L108" s="63">
        <v>0.15</v>
      </c>
      <c r="M108" s="21">
        <v>215.52</v>
      </c>
      <c r="N108" s="6" t="s">
        <v>245</v>
      </c>
      <c r="O108" s="60">
        <f>Vendas2025[[#This Row],[Quantidade]]*Vendas2025[[#This Row],[Preço_Unitário_R$]]</f>
        <v>383.49</v>
      </c>
      <c r="P108" s="60">
        <f>Vendas2025[[#This Row],[Receita_Bruta_R$]]*Vendas2025[[#This Row],[Desconto_pct]]</f>
        <v>57.523499999999999</v>
      </c>
      <c r="Q108" s="60">
        <f t="shared" si="5"/>
        <v>0</v>
      </c>
      <c r="R108" s="60">
        <f t="shared" si="6"/>
        <v>0</v>
      </c>
      <c r="S108" s="60">
        <f t="shared" si="7"/>
        <v>0</v>
      </c>
      <c r="T108" s="65" t="str">
        <f t="shared" si="8"/>
        <v/>
      </c>
    </row>
    <row r="109" spans="1:20">
      <c r="A109" s="41">
        <f t="shared" si="9"/>
        <v>2</v>
      </c>
      <c r="B109" s="6" t="s">
        <v>250</v>
      </c>
      <c r="C109" s="20">
        <v>45705</v>
      </c>
      <c r="D109" s="6" t="s">
        <v>129</v>
      </c>
      <c r="E109" s="6" t="s">
        <v>103</v>
      </c>
      <c r="F109" s="6" t="s">
        <v>97</v>
      </c>
      <c r="G109" s="6" t="s">
        <v>160</v>
      </c>
      <c r="H109" s="6" t="s">
        <v>106</v>
      </c>
      <c r="I109" s="6" t="s">
        <v>111</v>
      </c>
      <c r="J109" s="25">
        <v>2</v>
      </c>
      <c r="K109" s="21">
        <v>302.11</v>
      </c>
      <c r="L109" s="63">
        <v>0.05</v>
      </c>
      <c r="M109" s="21">
        <v>130.43</v>
      </c>
      <c r="N109" s="6" t="s">
        <v>94</v>
      </c>
      <c r="O109" s="60">
        <f>Vendas2025[[#This Row],[Quantidade]]*Vendas2025[[#This Row],[Preço_Unitário_R$]]</f>
        <v>604.22</v>
      </c>
      <c r="P109" s="60">
        <f>Vendas2025[[#This Row],[Receita_Bruta_R$]]*Vendas2025[[#This Row],[Desconto_pct]]</f>
        <v>30.211000000000002</v>
      </c>
      <c r="Q109" s="60">
        <f t="shared" si="5"/>
        <v>574.00900000000001</v>
      </c>
      <c r="R109" s="60">
        <f t="shared" si="6"/>
        <v>260.86</v>
      </c>
      <c r="S109" s="60">
        <f t="shared" si="7"/>
        <v>313.149</v>
      </c>
      <c r="T109" s="65">
        <f t="shared" si="8"/>
        <v>0.54554719525303608</v>
      </c>
    </row>
    <row r="110" spans="1:20">
      <c r="A110" s="41">
        <f t="shared" si="9"/>
        <v>2</v>
      </c>
      <c r="B110" s="6" t="s">
        <v>251</v>
      </c>
      <c r="C110" s="20">
        <v>45705</v>
      </c>
      <c r="D110" s="6" t="s">
        <v>132</v>
      </c>
      <c r="E110" s="6" t="s">
        <v>89</v>
      </c>
      <c r="F110" s="6" t="s">
        <v>97</v>
      </c>
      <c r="G110" s="6" t="s">
        <v>151</v>
      </c>
      <c r="H110" s="6" t="s">
        <v>92</v>
      </c>
      <c r="I110" s="6" t="s">
        <v>144</v>
      </c>
      <c r="J110" s="25">
        <v>1</v>
      </c>
      <c r="K110" s="21">
        <v>158.69</v>
      </c>
      <c r="L110" s="63">
        <v>0.15</v>
      </c>
      <c r="M110" s="21">
        <v>54.12</v>
      </c>
      <c r="N110" s="6" t="s">
        <v>94</v>
      </c>
      <c r="O110" s="60">
        <f>Vendas2025[[#This Row],[Quantidade]]*Vendas2025[[#This Row],[Preço_Unitário_R$]]</f>
        <v>158.69</v>
      </c>
      <c r="P110" s="60">
        <f>Vendas2025[[#This Row],[Receita_Bruta_R$]]*Vendas2025[[#This Row],[Desconto_pct]]</f>
        <v>23.8035</v>
      </c>
      <c r="Q110" s="60">
        <f t="shared" si="5"/>
        <v>134.88650000000001</v>
      </c>
      <c r="R110" s="60">
        <f t="shared" si="6"/>
        <v>54.12</v>
      </c>
      <c r="S110" s="60">
        <f t="shared" si="7"/>
        <v>80.766500000000008</v>
      </c>
      <c r="T110" s="65">
        <f t="shared" si="8"/>
        <v>0.59877378388496993</v>
      </c>
    </row>
    <row r="111" spans="1:20">
      <c r="A111" s="41">
        <f t="shared" si="9"/>
        <v>2</v>
      </c>
      <c r="B111" s="6" t="s">
        <v>252</v>
      </c>
      <c r="C111" s="20">
        <v>45705</v>
      </c>
      <c r="D111" s="6" t="s">
        <v>129</v>
      </c>
      <c r="E111" s="6" t="s">
        <v>103</v>
      </c>
      <c r="F111" s="6" t="s">
        <v>104</v>
      </c>
      <c r="G111" s="6" t="s">
        <v>154</v>
      </c>
      <c r="H111" s="6" t="s">
        <v>92</v>
      </c>
      <c r="I111" s="6" t="s">
        <v>93</v>
      </c>
      <c r="J111" s="25">
        <v>1</v>
      </c>
      <c r="K111" s="21">
        <v>237.06</v>
      </c>
      <c r="L111" s="63">
        <v>0.12</v>
      </c>
      <c r="M111" s="21">
        <v>98.68</v>
      </c>
      <c r="N111" s="6" t="s">
        <v>94</v>
      </c>
      <c r="O111" s="60">
        <f>Vendas2025[[#This Row],[Quantidade]]*Vendas2025[[#This Row],[Preço_Unitário_R$]]</f>
        <v>237.06</v>
      </c>
      <c r="P111" s="60">
        <f>Vendas2025[[#This Row],[Receita_Bruta_R$]]*Vendas2025[[#This Row],[Desconto_pct]]</f>
        <v>28.447199999999999</v>
      </c>
      <c r="Q111" s="60">
        <f t="shared" si="5"/>
        <v>208.61279999999999</v>
      </c>
      <c r="R111" s="60">
        <f t="shared" si="6"/>
        <v>98.68</v>
      </c>
      <c r="S111" s="60">
        <f t="shared" si="7"/>
        <v>109.93279999999999</v>
      </c>
      <c r="T111" s="65">
        <f t="shared" si="8"/>
        <v>0.52697054063796656</v>
      </c>
    </row>
    <row r="112" spans="1:20">
      <c r="A112" s="41">
        <f t="shared" si="9"/>
        <v>2</v>
      </c>
      <c r="B112" s="6" t="s">
        <v>253</v>
      </c>
      <c r="C112" s="20">
        <v>45706</v>
      </c>
      <c r="D112" s="6" t="s">
        <v>102</v>
      </c>
      <c r="E112" s="6" t="s">
        <v>103</v>
      </c>
      <c r="F112" s="6" t="s">
        <v>97</v>
      </c>
      <c r="G112" s="6" t="s">
        <v>160</v>
      </c>
      <c r="H112" s="6" t="s">
        <v>106</v>
      </c>
      <c r="I112" s="6" t="s">
        <v>170</v>
      </c>
      <c r="J112" s="25">
        <v>2</v>
      </c>
      <c r="K112" s="21">
        <v>561.46</v>
      </c>
      <c r="L112" s="63">
        <v>0.05</v>
      </c>
      <c r="M112" s="21">
        <v>297.75</v>
      </c>
      <c r="N112" s="6" t="s">
        <v>94</v>
      </c>
      <c r="O112" s="60">
        <f>Vendas2025[[#This Row],[Quantidade]]*Vendas2025[[#This Row],[Preço_Unitário_R$]]</f>
        <v>1122.92</v>
      </c>
      <c r="P112" s="60">
        <f>Vendas2025[[#This Row],[Receita_Bruta_R$]]*Vendas2025[[#This Row],[Desconto_pct]]</f>
        <v>56.146000000000008</v>
      </c>
      <c r="Q112" s="60">
        <f t="shared" si="5"/>
        <v>1066.7740000000001</v>
      </c>
      <c r="R112" s="60">
        <f t="shared" si="6"/>
        <v>595.5</v>
      </c>
      <c r="S112" s="60">
        <f t="shared" si="7"/>
        <v>471.27400000000011</v>
      </c>
      <c r="T112" s="65">
        <f t="shared" si="8"/>
        <v>0.44177492139853436</v>
      </c>
    </row>
    <row r="113" spans="1:20">
      <c r="A113" s="41">
        <f t="shared" si="9"/>
        <v>2</v>
      </c>
      <c r="B113" s="6" t="s">
        <v>254</v>
      </c>
      <c r="C113" s="20">
        <v>45706</v>
      </c>
      <c r="D113" s="6" t="s">
        <v>102</v>
      </c>
      <c r="E113" s="6" t="s">
        <v>103</v>
      </c>
      <c r="F113" s="6" t="s">
        <v>122</v>
      </c>
      <c r="G113" s="6" t="s">
        <v>98</v>
      </c>
      <c r="H113" s="6" t="s">
        <v>92</v>
      </c>
      <c r="I113" s="6" t="s">
        <v>144</v>
      </c>
      <c r="J113" s="25">
        <v>1</v>
      </c>
      <c r="K113" s="21">
        <v>139.11000000000001</v>
      </c>
      <c r="L113" s="63">
        <v>0.05</v>
      </c>
      <c r="M113" s="21">
        <v>47.86</v>
      </c>
      <c r="N113" s="6" t="s">
        <v>94</v>
      </c>
      <c r="O113" s="60">
        <f>Vendas2025[[#This Row],[Quantidade]]*Vendas2025[[#This Row],[Preço_Unitário_R$]]</f>
        <v>139.11000000000001</v>
      </c>
      <c r="P113" s="60">
        <f>Vendas2025[[#This Row],[Receita_Bruta_R$]]*Vendas2025[[#This Row],[Desconto_pct]]</f>
        <v>6.9555000000000007</v>
      </c>
      <c r="Q113" s="60">
        <f t="shared" si="5"/>
        <v>132.15450000000001</v>
      </c>
      <c r="R113" s="60">
        <f t="shared" si="6"/>
        <v>47.86</v>
      </c>
      <c r="S113" s="60">
        <f t="shared" si="7"/>
        <v>84.294500000000014</v>
      </c>
      <c r="T113" s="65">
        <f t="shared" si="8"/>
        <v>0.63784812473279384</v>
      </c>
    </row>
    <row r="114" spans="1:20">
      <c r="A114" s="41">
        <f t="shared" si="9"/>
        <v>2</v>
      </c>
      <c r="B114" s="6" t="s">
        <v>255</v>
      </c>
      <c r="C114" s="20">
        <v>45707</v>
      </c>
      <c r="D114" s="6" t="s">
        <v>88</v>
      </c>
      <c r="E114" s="6" t="s">
        <v>89</v>
      </c>
      <c r="F114" s="6" t="s">
        <v>97</v>
      </c>
      <c r="G114" s="6" t="s">
        <v>154</v>
      </c>
      <c r="H114" s="6" t="s">
        <v>92</v>
      </c>
      <c r="I114" s="6" t="s">
        <v>134</v>
      </c>
      <c r="J114" s="25">
        <v>2</v>
      </c>
      <c r="K114" s="21">
        <v>446.21</v>
      </c>
      <c r="L114" s="63">
        <v>0.1</v>
      </c>
      <c r="M114" s="21">
        <v>243.91</v>
      </c>
      <c r="N114" s="6" t="s">
        <v>94</v>
      </c>
      <c r="O114" s="60">
        <f>Vendas2025[[#This Row],[Quantidade]]*Vendas2025[[#This Row],[Preço_Unitário_R$]]</f>
        <v>892.42</v>
      </c>
      <c r="P114" s="60">
        <f>Vendas2025[[#This Row],[Receita_Bruta_R$]]*Vendas2025[[#This Row],[Desconto_pct]]</f>
        <v>89.242000000000004</v>
      </c>
      <c r="Q114" s="60">
        <f t="shared" si="5"/>
        <v>803.178</v>
      </c>
      <c r="R114" s="60">
        <f t="shared" si="6"/>
        <v>487.82</v>
      </c>
      <c r="S114" s="60">
        <f t="shared" si="7"/>
        <v>315.358</v>
      </c>
      <c r="T114" s="65">
        <f t="shared" si="8"/>
        <v>0.39263774655182287</v>
      </c>
    </row>
    <row r="115" spans="1:20">
      <c r="A115" s="41">
        <f t="shared" si="9"/>
        <v>2</v>
      </c>
      <c r="B115" s="6" t="s">
        <v>256</v>
      </c>
      <c r="C115" s="20">
        <v>45708</v>
      </c>
      <c r="D115" s="6" t="s">
        <v>113</v>
      </c>
      <c r="E115" s="6" t="s">
        <v>114</v>
      </c>
      <c r="F115" s="6" t="s">
        <v>122</v>
      </c>
      <c r="G115" s="6" t="s">
        <v>154</v>
      </c>
      <c r="H115" s="6" t="s">
        <v>92</v>
      </c>
      <c r="I115" s="6" t="s">
        <v>144</v>
      </c>
      <c r="J115" s="25">
        <v>1</v>
      </c>
      <c r="K115" s="21">
        <v>148.72999999999999</v>
      </c>
      <c r="L115" s="63">
        <v>0.05</v>
      </c>
      <c r="M115" s="21">
        <v>53.15</v>
      </c>
      <c r="N115" s="6" t="s">
        <v>94</v>
      </c>
      <c r="O115" s="60">
        <f>Vendas2025[[#This Row],[Quantidade]]*Vendas2025[[#This Row],[Preço_Unitário_R$]]</f>
        <v>148.72999999999999</v>
      </c>
      <c r="P115" s="60">
        <f>Vendas2025[[#This Row],[Receita_Bruta_R$]]*Vendas2025[[#This Row],[Desconto_pct]]</f>
        <v>7.4364999999999997</v>
      </c>
      <c r="Q115" s="60">
        <f t="shared" si="5"/>
        <v>141.29349999999999</v>
      </c>
      <c r="R115" s="60">
        <f t="shared" si="6"/>
        <v>53.15</v>
      </c>
      <c r="S115" s="60">
        <f t="shared" si="7"/>
        <v>88.143499999999989</v>
      </c>
      <c r="T115" s="65">
        <f t="shared" si="8"/>
        <v>0.62383266038423557</v>
      </c>
    </row>
    <row r="116" spans="1:20">
      <c r="A116" s="41">
        <f t="shared" si="9"/>
        <v>2</v>
      </c>
      <c r="B116" s="6" t="s">
        <v>257</v>
      </c>
      <c r="C116" s="20">
        <v>45708</v>
      </c>
      <c r="D116" s="6" t="s">
        <v>132</v>
      </c>
      <c r="E116" s="6" t="s">
        <v>89</v>
      </c>
      <c r="F116" s="6" t="s">
        <v>97</v>
      </c>
      <c r="G116" s="6" t="s">
        <v>160</v>
      </c>
      <c r="H116" s="6" t="s">
        <v>99</v>
      </c>
      <c r="I116" s="6" t="s">
        <v>130</v>
      </c>
      <c r="J116" s="25">
        <v>1</v>
      </c>
      <c r="K116" s="21">
        <v>241.04</v>
      </c>
      <c r="L116" s="63">
        <v>0.1</v>
      </c>
      <c r="M116" s="21">
        <v>119.12</v>
      </c>
      <c r="N116" s="6" t="s">
        <v>94</v>
      </c>
      <c r="O116" s="60">
        <f>Vendas2025[[#This Row],[Quantidade]]*Vendas2025[[#This Row],[Preço_Unitário_R$]]</f>
        <v>241.04</v>
      </c>
      <c r="P116" s="60">
        <f>Vendas2025[[#This Row],[Receita_Bruta_R$]]*Vendas2025[[#This Row],[Desconto_pct]]</f>
        <v>24.103999999999999</v>
      </c>
      <c r="Q116" s="60">
        <f t="shared" si="5"/>
        <v>216.93599999999998</v>
      </c>
      <c r="R116" s="60">
        <f t="shared" si="6"/>
        <v>119.12</v>
      </c>
      <c r="S116" s="60">
        <f t="shared" si="7"/>
        <v>97.815999999999974</v>
      </c>
      <c r="T116" s="65">
        <f t="shared" si="8"/>
        <v>0.45089796068886667</v>
      </c>
    </row>
    <row r="117" spans="1:20">
      <c r="A117" s="41">
        <f t="shared" si="9"/>
        <v>2</v>
      </c>
      <c r="B117" s="6" t="s">
        <v>258</v>
      </c>
      <c r="C117" s="20">
        <v>45708</v>
      </c>
      <c r="D117" s="6" t="s">
        <v>113</v>
      </c>
      <c r="E117" s="6" t="s">
        <v>114</v>
      </c>
      <c r="F117" s="6" t="s">
        <v>122</v>
      </c>
      <c r="G117" s="6" t="s">
        <v>98</v>
      </c>
      <c r="H117" s="6" t="s">
        <v>99</v>
      </c>
      <c r="I117" s="6" t="s">
        <v>158</v>
      </c>
      <c r="J117" s="25">
        <v>1</v>
      </c>
      <c r="K117" s="21">
        <v>194.36</v>
      </c>
      <c r="L117" s="63">
        <v>0.15</v>
      </c>
      <c r="M117" s="21">
        <v>90.29</v>
      </c>
      <c r="N117" s="6" t="s">
        <v>94</v>
      </c>
      <c r="O117" s="60">
        <f>Vendas2025[[#This Row],[Quantidade]]*Vendas2025[[#This Row],[Preço_Unitário_R$]]</f>
        <v>194.36</v>
      </c>
      <c r="P117" s="60">
        <f>Vendas2025[[#This Row],[Receita_Bruta_R$]]*Vendas2025[[#This Row],[Desconto_pct]]</f>
        <v>29.154</v>
      </c>
      <c r="Q117" s="60">
        <f t="shared" si="5"/>
        <v>165.20600000000002</v>
      </c>
      <c r="R117" s="60">
        <f t="shared" si="6"/>
        <v>90.29</v>
      </c>
      <c r="S117" s="60">
        <f t="shared" si="7"/>
        <v>74.916000000000011</v>
      </c>
      <c r="T117" s="65">
        <f t="shared" si="8"/>
        <v>0.45347021294626105</v>
      </c>
    </row>
    <row r="118" spans="1:20">
      <c r="A118" s="41">
        <f t="shared" si="9"/>
        <v>2</v>
      </c>
      <c r="B118" s="6" t="s">
        <v>259</v>
      </c>
      <c r="C118" s="20">
        <v>45708</v>
      </c>
      <c r="D118" s="6" t="s">
        <v>113</v>
      </c>
      <c r="E118" s="6" t="s">
        <v>114</v>
      </c>
      <c r="F118" s="6" t="s">
        <v>90</v>
      </c>
      <c r="G118" s="6" t="s">
        <v>177</v>
      </c>
      <c r="H118" s="6" t="s">
        <v>119</v>
      </c>
      <c r="I118" s="6" t="s">
        <v>155</v>
      </c>
      <c r="J118" s="25">
        <v>2</v>
      </c>
      <c r="K118" s="21">
        <v>367.29</v>
      </c>
      <c r="L118" s="63">
        <v>0.1</v>
      </c>
      <c r="M118" s="21">
        <v>212.65</v>
      </c>
      <c r="N118" s="6" t="s">
        <v>94</v>
      </c>
      <c r="O118" s="60">
        <f>Vendas2025[[#This Row],[Quantidade]]*Vendas2025[[#This Row],[Preço_Unitário_R$]]</f>
        <v>734.58</v>
      </c>
      <c r="P118" s="60">
        <f>Vendas2025[[#This Row],[Receita_Bruta_R$]]*Vendas2025[[#This Row],[Desconto_pct]]</f>
        <v>73.458000000000013</v>
      </c>
      <c r="Q118" s="60">
        <f t="shared" si="5"/>
        <v>661.12200000000007</v>
      </c>
      <c r="R118" s="60">
        <f t="shared" si="6"/>
        <v>425.3</v>
      </c>
      <c r="S118" s="60">
        <f t="shared" si="7"/>
        <v>235.82200000000006</v>
      </c>
      <c r="T118" s="65">
        <f t="shared" si="8"/>
        <v>0.35669967116508</v>
      </c>
    </row>
    <row r="119" spans="1:20">
      <c r="A119" s="41">
        <f t="shared" si="9"/>
        <v>2</v>
      </c>
      <c r="B119" s="6" t="s">
        <v>260</v>
      </c>
      <c r="C119" s="20">
        <v>45709</v>
      </c>
      <c r="D119" s="6" t="s">
        <v>96</v>
      </c>
      <c r="E119" s="6" t="s">
        <v>89</v>
      </c>
      <c r="F119" s="6" t="s">
        <v>90</v>
      </c>
      <c r="G119" s="6" t="s">
        <v>105</v>
      </c>
      <c r="H119" s="6" t="s">
        <v>106</v>
      </c>
      <c r="I119" s="6" t="s">
        <v>170</v>
      </c>
      <c r="J119" s="25">
        <v>1</v>
      </c>
      <c r="K119" s="21">
        <v>494.77</v>
      </c>
      <c r="L119" s="63">
        <v>0.2</v>
      </c>
      <c r="M119" s="21">
        <v>251.54</v>
      </c>
      <c r="N119" s="6" t="s">
        <v>94</v>
      </c>
      <c r="O119" s="60">
        <f>Vendas2025[[#This Row],[Quantidade]]*Vendas2025[[#This Row],[Preço_Unitário_R$]]</f>
        <v>494.77</v>
      </c>
      <c r="P119" s="60">
        <f>Vendas2025[[#This Row],[Receita_Bruta_R$]]*Vendas2025[[#This Row],[Desconto_pct]]</f>
        <v>98.954000000000008</v>
      </c>
      <c r="Q119" s="60">
        <f t="shared" si="5"/>
        <v>395.81599999999997</v>
      </c>
      <c r="R119" s="60">
        <f t="shared" si="6"/>
        <v>251.54</v>
      </c>
      <c r="S119" s="60">
        <f t="shared" si="7"/>
        <v>144.27599999999998</v>
      </c>
      <c r="T119" s="65">
        <f t="shared" si="8"/>
        <v>0.36450269822341691</v>
      </c>
    </row>
    <row r="120" spans="1:20">
      <c r="A120" s="41">
        <f t="shared" si="9"/>
        <v>2</v>
      </c>
      <c r="B120" s="6" t="s">
        <v>261</v>
      </c>
      <c r="C120" s="20">
        <v>45709</v>
      </c>
      <c r="D120" s="6" t="s">
        <v>102</v>
      </c>
      <c r="E120" s="6" t="s">
        <v>103</v>
      </c>
      <c r="F120" s="6" t="s">
        <v>97</v>
      </c>
      <c r="G120" s="6" t="s">
        <v>177</v>
      </c>
      <c r="H120" s="6" t="s">
        <v>124</v>
      </c>
      <c r="I120" s="6" t="s">
        <v>125</v>
      </c>
      <c r="J120" s="25">
        <v>2</v>
      </c>
      <c r="K120" s="21">
        <v>649.41</v>
      </c>
      <c r="L120" s="63">
        <v>0.05</v>
      </c>
      <c r="M120" s="21">
        <v>318.74</v>
      </c>
      <c r="N120" s="6" t="s">
        <v>94</v>
      </c>
      <c r="O120" s="60">
        <f>Vendas2025[[#This Row],[Quantidade]]*Vendas2025[[#This Row],[Preço_Unitário_R$]]</f>
        <v>1298.82</v>
      </c>
      <c r="P120" s="60">
        <f>Vendas2025[[#This Row],[Receita_Bruta_R$]]*Vendas2025[[#This Row],[Desconto_pct]]</f>
        <v>64.941000000000003</v>
      </c>
      <c r="Q120" s="60">
        <f t="shared" si="5"/>
        <v>1233.8789999999999</v>
      </c>
      <c r="R120" s="60">
        <f t="shared" si="6"/>
        <v>637.48</v>
      </c>
      <c r="S120" s="60">
        <f t="shared" si="7"/>
        <v>596.39899999999989</v>
      </c>
      <c r="T120" s="65">
        <f t="shared" si="8"/>
        <v>0.48335290575494028</v>
      </c>
    </row>
    <row r="121" spans="1:20">
      <c r="A121" s="41">
        <f t="shared" si="9"/>
        <v>2</v>
      </c>
      <c r="B121" s="6" t="s">
        <v>262</v>
      </c>
      <c r="C121" s="20">
        <v>45709</v>
      </c>
      <c r="D121" s="6" t="s">
        <v>118</v>
      </c>
      <c r="E121" s="6" t="s">
        <v>114</v>
      </c>
      <c r="F121" s="6" t="s">
        <v>122</v>
      </c>
      <c r="G121" s="6" t="s">
        <v>91</v>
      </c>
      <c r="H121" s="6" t="s">
        <v>92</v>
      </c>
      <c r="I121" s="6" t="s">
        <v>93</v>
      </c>
      <c r="J121" s="25">
        <v>1</v>
      </c>
      <c r="K121" s="21">
        <v>242.57</v>
      </c>
      <c r="L121" s="63">
        <v>0.15</v>
      </c>
      <c r="M121" s="21">
        <v>101.18</v>
      </c>
      <c r="N121" s="6" t="s">
        <v>94</v>
      </c>
      <c r="O121" s="60">
        <f>Vendas2025[[#This Row],[Quantidade]]*Vendas2025[[#This Row],[Preço_Unitário_R$]]</f>
        <v>242.57</v>
      </c>
      <c r="P121" s="60">
        <f>Vendas2025[[#This Row],[Receita_Bruta_R$]]*Vendas2025[[#This Row],[Desconto_pct]]</f>
        <v>36.3855</v>
      </c>
      <c r="Q121" s="60">
        <f t="shared" si="5"/>
        <v>206.18449999999999</v>
      </c>
      <c r="R121" s="60">
        <f t="shared" si="6"/>
        <v>101.18</v>
      </c>
      <c r="S121" s="60">
        <f t="shared" si="7"/>
        <v>105.00449999999998</v>
      </c>
      <c r="T121" s="65">
        <f t="shared" si="8"/>
        <v>0.50927446049533298</v>
      </c>
    </row>
    <row r="122" spans="1:20">
      <c r="A122" s="41">
        <f t="shared" si="9"/>
        <v>2</v>
      </c>
      <c r="B122" s="6" t="s">
        <v>263</v>
      </c>
      <c r="C122" s="20">
        <v>45710</v>
      </c>
      <c r="D122" s="6" t="s">
        <v>129</v>
      </c>
      <c r="E122" s="6" t="s">
        <v>103</v>
      </c>
      <c r="F122" s="6" t="s">
        <v>97</v>
      </c>
      <c r="G122" s="6" t="s">
        <v>91</v>
      </c>
      <c r="H122" s="6" t="s">
        <v>106</v>
      </c>
      <c r="I122" s="6" t="s">
        <v>184</v>
      </c>
      <c r="J122" s="25">
        <v>3</v>
      </c>
      <c r="K122" s="21">
        <v>1249.9000000000001</v>
      </c>
      <c r="L122" s="63">
        <v>0.05</v>
      </c>
      <c r="M122" s="21">
        <v>894.13</v>
      </c>
      <c r="N122" s="6" t="s">
        <v>94</v>
      </c>
      <c r="O122" s="60">
        <f>Vendas2025[[#This Row],[Quantidade]]*Vendas2025[[#This Row],[Preço_Unitário_R$]]</f>
        <v>3749.7000000000003</v>
      </c>
      <c r="P122" s="60">
        <f>Vendas2025[[#This Row],[Receita_Bruta_R$]]*Vendas2025[[#This Row],[Desconto_pct]]</f>
        <v>187.48500000000001</v>
      </c>
      <c r="Q122" s="60">
        <f t="shared" si="5"/>
        <v>3562.2150000000001</v>
      </c>
      <c r="R122" s="60">
        <f t="shared" si="6"/>
        <v>2682.39</v>
      </c>
      <c r="S122" s="60">
        <f t="shared" si="7"/>
        <v>879.82500000000027</v>
      </c>
      <c r="T122" s="65">
        <f t="shared" si="8"/>
        <v>0.24698818010704021</v>
      </c>
    </row>
    <row r="123" spans="1:20">
      <c r="A123" s="41">
        <f t="shared" si="9"/>
        <v>2</v>
      </c>
      <c r="B123" s="6" t="s">
        <v>264</v>
      </c>
      <c r="C123" s="20">
        <v>45710</v>
      </c>
      <c r="D123" s="6" t="s">
        <v>129</v>
      </c>
      <c r="E123" s="6" t="s">
        <v>103</v>
      </c>
      <c r="F123" s="6" t="s">
        <v>122</v>
      </c>
      <c r="G123" s="6" t="s">
        <v>110</v>
      </c>
      <c r="H123" s="6" t="s">
        <v>99</v>
      </c>
      <c r="I123" s="6" t="s">
        <v>173</v>
      </c>
      <c r="J123" s="25">
        <v>1</v>
      </c>
      <c r="K123" s="21">
        <v>3750.3</v>
      </c>
      <c r="L123" s="63">
        <v>0.1</v>
      </c>
      <c r="M123" s="21">
        <v>2941.89</v>
      </c>
      <c r="N123" s="6" t="s">
        <v>94</v>
      </c>
      <c r="O123" s="60">
        <f>Vendas2025[[#This Row],[Quantidade]]*Vendas2025[[#This Row],[Preço_Unitário_R$]]</f>
        <v>3750.3</v>
      </c>
      <c r="P123" s="60">
        <f>Vendas2025[[#This Row],[Receita_Bruta_R$]]*Vendas2025[[#This Row],[Desconto_pct]]</f>
        <v>375.03000000000003</v>
      </c>
      <c r="Q123" s="60">
        <f t="shared" si="5"/>
        <v>3375.27</v>
      </c>
      <c r="R123" s="60">
        <f t="shared" si="6"/>
        <v>2941.89</v>
      </c>
      <c r="S123" s="60">
        <f t="shared" si="7"/>
        <v>433.38000000000011</v>
      </c>
      <c r="T123" s="65">
        <f t="shared" si="8"/>
        <v>0.12839861699952895</v>
      </c>
    </row>
    <row r="124" spans="1:20">
      <c r="A124" s="41">
        <f t="shared" si="9"/>
        <v>2</v>
      </c>
      <c r="B124" s="6" t="s">
        <v>265</v>
      </c>
      <c r="C124" s="20">
        <v>45710</v>
      </c>
      <c r="D124" s="6" t="s">
        <v>96</v>
      </c>
      <c r="E124" s="6" t="s">
        <v>89</v>
      </c>
      <c r="F124" s="6" t="s">
        <v>122</v>
      </c>
      <c r="G124" s="6" t="s">
        <v>123</v>
      </c>
      <c r="H124" s="6" t="s">
        <v>106</v>
      </c>
      <c r="I124" s="6" t="s">
        <v>170</v>
      </c>
      <c r="J124" s="25">
        <v>1</v>
      </c>
      <c r="K124" s="21">
        <v>498.02</v>
      </c>
      <c r="L124" s="63">
        <v>0.05</v>
      </c>
      <c r="M124" s="21">
        <v>267.45999999999998</v>
      </c>
      <c r="N124" s="6" t="s">
        <v>94</v>
      </c>
      <c r="O124" s="60">
        <f>Vendas2025[[#This Row],[Quantidade]]*Vendas2025[[#This Row],[Preço_Unitário_R$]]</f>
        <v>498.02</v>
      </c>
      <c r="P124" s="60">
        <f>Vendas2025[[#This Row],[Receita_Bruta_R$]]*Vendas2025[[#This Row],[Desconto_pct]]</f>
        <v>24.901</v>
      </c>
      <c r="Q124" s="60">
        <f t="shared" si="5"/>
        <v>473.11899999999997</v>
      </c>
      <c r="R124" s="60">
        <f t="shared" si="6"/>
        <v>267.45999999999998</v>
      </c>
      <c r="S124" s="60">
        <f t="shared" si="7"/>
        <v>205.65899999999999</v>
      </c>
      <c r="T124" s="65">
        <f t="shared" si="8"/>
        <v>0.43468767899830701</v>
      </c>
    </row>
    <row r="125" spans="1:20">
      <c r="A125" s="41">
        <f t="shared" si="9"/>
        <v>2</v>
      </c>
      <c r="B125" s="6" t="s">
        <v>266</v>
      </c>
      <c r="C125" s="20">
        <v>45711</v>
      </c>
      <c r="D125" s="6" t="s">
        <v>136</v>
      </c>
      <c r="E125" s="6" t="s">
        <v>137</v>
      </c>
      <c r="F125" s="6" t="s">
        <v>122</v>
      </c>
      <c r="G125" s="6" t="s">
        <v>160</v>
      </c>
      <c r="H125" s="6" t="s">
        <v>119</v>
      </c>
      <c r="I125" s="6" t="s">
        <v>120</v>
      </c>
      <c r="J125" s="25">
        <v>2</v>
      </c>
      <c r="K125" s="21">
        <v>2111.33</v>
      </c>
      <c r="L125" s="63">
        <v>0.03</v>
      </c>
      <c r="M125" s="21">
        <v>1466.03</v>
      </c>
      <c r="N125" s="6" t="s">
        <v>94</v>
      </c>
      <c r="O125" s="60">
        <f>Vendas2025[[#This Row],[Quantidade]]*Vendas2025[[#This Row],[Preço_Unitário_R$]]</f>
        <v>4222.66</v>
      </c>
      <c r="P125" s="60">
        <f>Vendas2025[[#This Row],[Receita_Bruta_R$]]*Vendas2025[[#This Row],[Desconto_pct]]</f>
        <v>126.67979999999999</v>
      </c>
      <c r="Q125" s="60">
        <f t="shared" si="5"/>
        <v>4095.9802</v>
      </c>
      <c r="R125" s="60">
        <f t="shared" si="6"/>
        <v>2932.06</v>
      </c>
      <c r="S125" s="60">
        <f t="shared" si="7"/>
        <v>1163.9202</v>
      </c>
      <c r="T125" s="65">
        <f t="shared" si="8"/>
        <v>0.28416157871075648</v>
      </c>
    </row>
    <row r="126" spans="1:20">
      <c r="A126" s="41">
        <f t="shared" si="9"/>
        <v>2</v>
      </c>
      <c r="B126" s="6" t="s">
        <v>267</v>
      </c>
      <c r="C126" s="20">
        <v>45712</v>
      </c>
      <c r="D126" s="6" t="s">
        <v>136</v>
      </c>
      <c r="E126" s="6" t="s">
        <v>137</v>
      </c>
      <c r="F126" s="6" t="s">
        <v>90</v>
      </c>
      <c r="G126" s="6" t="s">
        <v>123</v>
      </c>
      <c r="H126" s="6" t="s">
        <v>99</v>
      </c>
      <c r="I126" s="6" t="s">
        <v>130</v>
      </c>
      <c r="J126" s="25">
        <v>1</v>
      </c>
      <c r="K126" s="21">
        <v>260.91000000000003</v>
      </c>
      <c r="L126" s="63">
        <v>0.05</v>
      </c>
      <c r="M126" s="21">
        <v>122.28</v>
      </c>
      <c r="N126" s="6" t="s">
        <v>94</v>
      </c>
      <c r="O126" s="60">
        <f>Vendas2025[[#This Row],[Quantidade]]*Vendas2025[[#This Row],[Preço_Unitário_R$]]</f>
        <v>260.91000000000003</v>
      </c>
      <c r="P126" s="60">
        <f>Vendas2025[[#This Row],[Receita_Bruta_R$]]*Vendas2025[[#This Row],[Desconto_pct]]</f>
        <v>13.045500000000002</v>
      </c>
      <c r="Q126" s="60">
        <f t="shared" si="5"/>
        <v>247.86450000000002</v>
      </c>
      <c r="R126" s="60">
        <f t="shared" si="6"/>
        <v>122.28</v>
      </c>
      <c r="S126" s="60">
        <f t="shared" si="7"/>
        <v>125.58450000000002</v>
      </c>
      <c r="T126" s="65">
        <f t="shared" si="8"/>
        <v>0.50666594046343871</v>
      </c>
    </row>
    <row r="127" spans="1:20">
      <c r="A127" s="41">
        <f t="shared" si="9"/>
        <v>2</v>
      </c>
      <c r="B127" s="6" t="s">
        <v>268</v>
      </c>
      <c r="C127" s="20">
        <v>45712</v>
      </c>
      <c r="D127" s="6" t="s">
        <v>129</v>
      </c>
      <c r="E127" s="6" t="s">
        <v>103</v>
      </c>
      <c r="F127" s="6" t="s">
        <v>90</v>
      </c>
      <c r="G127" s="6" t="s">
        <v>98</v>
      </c>
      <c r="H127" s="6" t="s">
        <v>99</v>
      </c>
      <c r="I127" s="6" t="s">
        <v>163</v>
      </c>
      <c r="J127" s="25">
        <v>1</v>
      </c>
      <c r="K127" s="21">
        <v>1224.17</v>
      </c>
      <c r="L127" s="63">
        <v>0.15</v>
      </c>
      <c r="M127" s="21">
        <v>860.94</v>
      </c>
      <c r="N127" s="6" t="s">
        <v>94</v>
      </c>
      <c r="O127" s="60">
        <f>Vendas2025[[#This Row],[Quantidade]]*Vendas2025[[#This Row],[Preço_Unitário_R$]]</f>
        <v>1224.17</v>
      </c>
      <c r="P127" s="60">
        <f>Vendas2025[[#This Row],[Receita_Bruta_R$]]*Vendas2025[[#This Row],[Desconto_pct]]</f>
        <v>183.62550000000002</v>
      </c>
      <c r="Q127" s="60">
        <f t="shared" si="5"/>
        <v>1040.5445</v>
      </c>
      <c r="R127" s="60">
        <f t="shared" si="6"/>
        <v>860.94</v>
      </c>
      <c r="S127" s="60">
        <f t="shared" si="7"/>
        <v>179.60449999999992</v>
      </c>
      <c r="T127" s="65">
        <f t="shared" si="8"/>
        <v>0.17260626527745804</v>
      </c>
    </row>
    <row r="128" spans="1:20">
      <c r="A128" s="41">
        <f t="shared" si="9"/>
        <v>2</v>
      </c>
      <c r="B128" s="6" t="s">
        <v>269</v>
      </c>
      <c r="C128" s="20">
        <v>45712</v>
      </c>
      <c r="D128" s="6" t="s">
        <v>118</v>
      </c>
      <c r="E128" s="6" t="s">
        <v>114</v>
      </c>
      <c r="F128" s="6" t="s">
        <v>97</v>
      </c>
      <c r="G128" s="6" t="s">
        <v>123</v>
      </c>
      <c r="H128" s="6" t="s">
        <v>106</v>
      </c>
      <c r="I128" s="6" t="s">
        <v>184</v>
      </c>
      <c r="J128" s="25">
        <v>2</v>
      </c>
      <c r="K128" s="21">
        <v>1218.8800000000001</v>
      </c>
      <c r="L128" s="63">
        <v>0.05</v>
      </c>
      <c r="M128" s="21">
        <v>891.67</v>
      </c>
      <c r="N128" s="6" t="s">
        <v>94</v>
      </c>
      <c r="O128" s="60">
        <f>Vendas2025[[#This Row],[Quantidade]]*Vendas2025[[#This Row],[Preço_Unitário_R$]]</f>
        <v>2437.7600000000002</v>
      </c>
      <c r="P128" s="60">
        <f>Vendas2025[[#This Row],[Receita_Bruta_R$]]*Vendas2025[[#This Row],[Desconto_pct]]</f>
        <v>121.88800000000002</v>
      </c>
      <c r="Q128" s="60">
        <f t="shared" si="5"/>
        <v>2315.8720000000003</v>
      </c>
      <c r="R128" s="60">
        <f t="shared" si="6"/>
        <v>1783.34</v>
      </c>
      <c r="S128" s="60">
        <f t="shared" si="7"/>
        <v>532.53200000000038</v>
      </c>
      <c r="T128" s="65">
        <f t="shared" si="8"/>
        <v>0.229948805460751</v>
      </c>
    </row>
    <row r="129" spans="1:20">
      <c r="A129" s="41">
        <f t="shared" si="9"/>
        <v>2</v>
      </c>
      <c r="B129" s="6" t="s">
        <v>270</v>
      </c>
      <c r="C129" s="20">
        <v>45712</v>
      </c>
      <c r="D129" s="6" t="s">
        <v>118</v>
      </c>
      <c r="E129" s="6" t="s">
        <v>114</v>
      </c>
      <c r="F129" s="6" t="s">
        <v>104</v>
      </c>
      <c r="G129" s="6" t="s">
        <v>151</v>
      </c>
      <c r="H129" s="6" t="s">
        <v>99</v>
      </c>
      <c r="I129" s="6" t="s">
        <v>173</v>
      </c>
      <c r="J129" s="25">
        <v>1</v>
      </c>
      <c r="K129" s="21">
        <v>3849.48</v>
      </c>
      <c r="L129" s="63">
        <v>0</v>
      </c>
      <c r="M129" s="21">
        <v>2925.88</v>
      </c>
      <c r="N129" s="6" t="s">
        <v>94</v>
      </c>
      <c r="O129" s="60">
        <f>Vendas2025[[#This Row],[Quantidade]]*Vendas2025[[#This Row],[Preço_Unitário_R$]]</f>
        <v>3849.48</v>
      </c>
      <c r="P129" s="60">
        <f>Vendas2025[[#This Row],[Receita_Bruta_R$]]*Vendas2025[[#This Row],[Desconto_pct]]</f>
        <v>0</v>
      </c>
      <c r="Q129" s="60">
        <f t="shared" si="5"/>
        <v>3849.48</v>
      </c>
      <c r="R129" s="60">
        <f t="shared" si="6"/>
        <v>2925.88</v>
      </c>
      <c r="S129" s="60">
        <f t="shared" si="7"/>
        <v>923.59999999999991</v>
      </c>
      <c r="T129" s="65">
        <f t="shared" si="8"/>
        <v>0.23992850982470357</v>
      </c>
    </row>
    <row r="130" spans="1:20">
      <c r="A130" s="41">
        <f t="shared" si="9"/>
        <v>2</v>
      </c>
      <c r="B130" s="6" t="s">
        <v>271</v>
      </c>
      <c r="C130" s="20">
        <v>45712</v>
      </c>
      <c r="D130" s="6" t="s">
        <v>102</v>
      </c>
      <c r="E130" s="6" t="s">
        <v>103</v>
      </c>
      <c r="F130" s="6" t="s">
        <v>97</v>
      </c>
      <c r="G130" s="6" t="s">
        <v>154</v>
      </c>
      <c r="H130" s="6" t="s">
        <v>92</v>
      </c>
      <c r="I130" s="6" t="s">
        <v>144</v>
      </c>
      <c r="J130" s="25">
        <v>1</v>
      </c>
      <c r="K130" s="21">
        <v>158.88999999999999</v>
      </c>
      <c r="L130" s="63">
        <v>0</v>
      </c>
      <c r="M130" s="21">
        <v>53.57</v>
      </c>
      <c r="N130" s="6" t="s">
        <v>94</v>
      </c>
      <c r="O130" s="60">
        <f>Vendas2025[[#This Row],[Quantidade]]*Vendas2025[[#This Row],[Preço_Unitário_R$]]</f>
        <v>158.88999999999999</v>
      </c>
      <c r="P130" s="60">
        <f>Vendas2025[[#This Row],[Receita_Bruta_R$]]*Vendas2025[[#This Row],[Desconto_pct]]</f>
        <v>0</v>
      </c>
      <c r="Q130" s="60">
        <f t="shared" ref="Q130:Q193" si="10">IF(N130="Concluída",O130-P130,0)</f>
        <v>158.88999999999999</v>
      </c>
      <c r="R130" s="60">
        <f t="shared" ref="R130:R193" si="11">IF(N130="Concluída",J130*M130,0)</f>
        <v>53.57</v>
      </c>
      <c r="S130" s="60">
        <f t="shared" ref="S130:S193" si="12">Q130-R130</f>
        <v>105.32</v>
      </c>
      <c r="T130" s="65">
        <f t="shared" ref="T130:T193" si="13">IF(Q130=0,"",S130/Q130)</f>
        <v>0.66284851154887026</v>
      </c>
    </row>
    <row r="131" spans="1:20">
      <c r="A131" s="41">
        <f t="shared" ref="A131:A194" si="14">MONTH(C131)</f>
        <v>2</v>
      </c>
      <c r="B131" s="6" t="s">
        <v>272</v>
      </c>
      <c r="C131" s="20">
        <v>45714</v>
      </c>
      <c r="D131" s="6" t="s">
        <v>132</v>
      </c>
      <c r="E131" s="6" t="s">
        <v>89</v>
      </c>
      <c r="F131" s="6" t="s">
        <v>97</v>
      </c>
      <c r="G131" s="6" t="s">
        <v>123</v>
      </c>
      <c r="H131" s="6" t="s">
        <v>99</v>
      </c>
      <c r="I131" s="6" t="s">
        <v>173</v>
      </c>
      <c r="J131" s="25">
        <v>1</v>
      </c>
      <c r="K131" s="21">
        <v>3728.91</v>
      </c>
      <c r="L131" s="63">
        <v>0.08</v>
      </c>
      <c r="M131" s="21">
        <v>2879.71</v>
      </c>
      <c r="N131" s="6" t="s">
        <v>94</v>
      </c>
      <c r="O131" s="60">
        <f>Vendas2025[[#This Row],[Quantidade]]*Vendas2025[[#This Row],[Preço_Unitário_R$]]</f>
        <v>3728.91</v>
      </c>
      <c r="P131" s="60">
        <f>Vendas2025[[#This Row],[Receita_Bruta_R$]]*Vendas2025[[#This Row],[Desconto_pct]]</f>
        <v>298.31279999999998</v>
      </c>
      <c r="Q131" s="60">
        <f t="shared" si="10"/>
        <v>3430.5971999999997</v>
      </c>
      <c r="R131" s="60">
        <f t="shared" si="11"/>
        <v>2879.71</v>
      </c>
      <c r="S131" s="60">
        <f t="shared" si="12"/>
        <v>550.88719999999967</v>
      </c>
      <c r="T131" s="65">
        <f t="shared" si="13"/>
        <v>0.16058055431281751</v>
      </c>
    </row>
    <row r="132" spans="1:20">
      <c r="A132" s="41">
        <f t="shared" si="14"/>
        <v>2</v>
      </c>
      <c r="B132" s="6" t="s">
        <v>273</v>
      </c>
      <c r="C132" s="20">
        <v>45716</v>
      </c>
      <c r="D132" s="6" t="s">
        <v>118</v>
      </c>
      <c r="E132" s="6" t="s">
        <v>114</v>
      </c>
      <c r="F132" s="6" t="s">
        <v>97</v>
      </c>
      <c r="G132" s="6" t="s">
        <v>177</v>
      </c>
      <c r="H132" s="6" t="s">
        <v>106</v>
      </c>
      <c r="I132" s="6" t="s">
        <v>116</v>
      </c>
      <c r="J132" s="25">
        <v>2</v>
      </c>
      <c r="K132" s="21">
        <v>461.89</v>
      </c>
      <c r="L132" s="63">
        <v>0.15</v>
      </c>
      <c r="M132" s="21">
        <v>254.28</v>
      </c>
      <c r="N132" s="6" t="s">
        <v>94</v>
      </c>
      <c r="O132" s="60">
        <f>Vendas2025[[#This Row],[Quantidade]]*Vendas2025[[#This Row],[Preço_Unitário_R$]]</f>
        <v>923.78</v>
      </c>
      <c r="P132" s="60">
        <f>Vendas2025[[#This Row],[Receita_Bruta_R$]]*Vendas2025[[#This Row],[Desconto_pct]]</f>
        <v>138.56699999999998</v>
      </c>
      <c r="Q132" s="60">
        <f t="shared" si="10"/>
        <v>785.21299999999997</v>
      </c>
      <c r="R132" s="60">
        <f t="shared" si="11"/>
        <v>508.56</v>
      </c>
      <c r="S132" s="60">
        <f t="shared" si="12"/>
        <v>276.65299999999996</v>
      </c>
      <c r="T132" s="65">
        <f t="shared" si="13"/>
        <v>0.35232860383106235</v>
      </c>
    </row>
    <row r="133" spans="1:20">
      <c r="A133" s="41">
        <f t="shared" si="14"/>
        <v>2</v>
      </c>
      <c r="B133" s="6" t="s">
        <v>274</v>
      </c>
      <c r="C133" s="20">
        <v>45716</v>
      </c>
      <c r="D133" s="6" t="s">
        <v>118</v>
      </c>
      <c r="E133" s="6" t="s">
        <v>114</v>
      </c>
      <c r="F133" s="6" t="s">
        <v>122</v>
      </c>
      <c r="G133" s="6" t="s">
        <v>151</v>
      </c>
      <c r="H133" s="6" t="s">
        <v>99</v>
      </c>
      <c r="I133" s="6" t="s">
        <v>163</v>
      </c>
      <c r="J133" s="25">
        <v>2</v>
      </c>
      <c r="K133" s="21">
        <v>1228.19</v>
      </c>
      <c r="L133" s="63">
        <v>0.2</v>
      </c>
      <c r="M133" s="21">
        <v>878.36</v>
      </c>
      <c r="N133" s="6" t="s">
        <v>94</v>
      </c>
      <c r="O133" s="60">
        <f>Vendas2025[[#This Row],[Quantidade]]*Vendas2025[[#This Row],[Preço_Unitário_R$]]</f>
        <v>2456.38</v>
      </c>
      <c r="P133" s="60">
        <f>Vendas2025[[#This Row],[Receita_Bruta_R$]]*Vendas2025[[#This Row],[Desconto_pct]]</f>
        <v>491.27600000000007</v>
      </c>
      <c r="Q133" s="60">
        <f t="shared" si="10"/>
        <v>1965.104</v>
      </c>
      <c r="R133" s="60">
        <f t="shared" si="11"/>
        <v>1756.72</v>
      </c>
      <c r="S133" s="60">
        <f t="shared" si="12"/>
        <v>208.38400000000001</v>
      </c>
      <c r="T133" s="65">
        <f t="shared" si="13"/>
        <v>0.10604222473721493</v>
      </c>
    </row>
    <row r="134" spans="1:20">
      <c r="A134" s="41">
        <f t="shared" si="14"/>
        <v>3</v>
      </c>
      <c r="B134" s="6" t="s">
        <v>275</v>
      </c>
      <c r="C134" s="20">
        <v>45717</v>
      </c>
      <c r="D134" s="6" t="s">
        <v>136</v>
      </c>
      <c r="E134" s="6" t="s">
        <v>137</v>
      </c>
      <c r="F134" s="6" t="s">
        <v>97</v>
      </c>
      <c r="G134" s="6" t="s">
        <v>98</v>
      </c>
      <c r="H134" s="6" t="s">
        <v>124</v>
      </c>
      <c r="I134" s="6" t="s">
        <v>125</v>
      </c>
      <c r="J134" s="25">
        <v>2</v>
      </c>
      <c r="K134" s="21">
        <v>718.24</v>
      </c>
      <c r="L134" s="63">
        <v>0.05</v>
      </c>
      <c r="M134" s="21">
        <v>334.89</v>
      </c>
      <c r="N134" s="6" t="s">
        <v>94</v>
      </c>
      <c r="O134" s="60">
        <f>Vendas2025[[#This Row],[Quantidade]]*Vendas2025[[#This Row],[Preço_Unitário_R$]]</f>
        <v>1436.48</v>
      </c>
      <c r="P134" s="60">
        <f>Vendas2025[[#This Row],[Receita_Bruta_R$]]*Vendas2025[[#This Row],[Desconto_pct]]</f>
        <v>71.823999999999998</v>
      </c>
      <c r="Q134" s="60">
        <f t="shared" si="10"/>
        <v>1364.6559999999999</v>
      </c>
      <c r="R134" s="60">
        <f t="shared" si="11"/>
        <v>669.78</v>
      </c>
      <c r="S134" s="60">
        <f t="shared" si="12"/>
        <v>694.87599999999998</v>
      </c>
      <c r="T134" s="65">
        <f t="shared" si="13"/>
        <v>0.50919499126519796</v>
      </c>
    </row>
    <row r="135" spans="1:20">
      <c r="A135" s="41">
        <f t="shared" si="14"/>
        <v>3</v>
      </c>
      <c r="B135" s="6" t="s">
        <v>276</v>
      </c>
      <c r="C135" s="20">
        <v>45718</v>
      </c>
      <c r="D135" s="6" t="s">
        <v>102</v>
      </c>
      <c r="E135" s="6" t="s">
        <v>103</v>
      </c>
      <c r="F135" s="6" t="s">
        <v>97</v>
      </c>
      <c r="G135" s="6" t="s">
        <v>91</v>
      </c>
      <c r="H135" s="6" t="s">
        <v>106</v>
      </c>
      <c r="I135" s="6" t="s">
        <v>184</v>
      </c>
      <c r="J135" s="25">
        <v>1</v>
      </c>
      <c r="K135" s="21">
        <v>1161.1199999999999</v>
      </c>
      <c r="L135" s="63">
        <v>0</v>
      </c>
      <c r="M135" s="21">
        <v>823.33</v>
      </c>
      <c r="N135" s="6" t="s">
        <v>94</v>
      </c>
      <c r="O135" s="60">
        <f>Vendas2025[[#This Row],[Quantidade]]*Vendas2025[[#This Row],[Preço_Unitário_R$]]</f>
        <v>1161.1199999999999</v>
      </c>
      <c r="P135" s="60">
        <f>Vendas2025[[#This Row],[Receita_Bruta_R$]]*Vendas2025[[#This Row],[Desconto_pct]]</f>
        <v>0</v>
      </c>
      <c r="Q135" s="60">
        <f t="shared" si="10"/>
        <v>1161.1199999999999</v>
      </c>
      <c r="R135" s="60">
        <f t="shared" si="11"/>
        <v>823.33</v>
      </c>
      <c r="S135" s="60">
        <f t="shared" si="12"/>
        <v>337.78999999999985</v>
      </c>
      <c r="T135" s="65">
        <f t="shared" si="13"/>
        <v>0.29091739010610435</v>
      </c>
    </row>
    <row r="136" spans="1:20">
      <c r="A136" s="41">
        <f t="shared" si="14"/>
        <v>3</v>
      </c>
      <c r="B136" s="6" t="s">
        <v>277</v>
      </c>
      <c r="C136" s="20">
        <v>45718</v>
      </c>
      <c r="D136" s="6" t="s">
        <v>132</v>
      </c>
      <c r="E136" s="6" t="s">
        <v>89</v>
      </c>
      <c r="F136" s="6" t="s">
        <v>97</v>
      </c>
      <c r="G136" s="6" t="s">
        <v>154</v>
      </c>
      <c r="H136" s="6" t="s">
        <v>92</v>
      </c>
      <c r="I136" s="6" t="s">
        <v>134</v>
      </c>
      <c r="J136" s="25">
        <v>2</v>
      </c>
      <c r="K136" s="21">
        <v>424.86</v>
      </c>
      <c r="L136" s="63">
        <v>0.08</v>
      </c>
      <c r="M136" s="21">
        <v>229.66</v>
      </c>
      <c r="N136" s="6" t="s">
        <v>94</v>
      </c>
      <c r="O136" s="60">
        <f>Vendas2025[[#This Row],[Quantidade]]*Vendas2025[[#This Row],[Preço_Unitário_R$]]</f>
        <v>849.72</v>
      </c>
      <c r="P136" s="60">
        <f>Vendas2025[[#This Row],[Receita_Bruta_R$]]*Vendas2025[[#This Row],[Desconto_pct]]</f>
        <v>67.97760000000001</v>
      </c>
      <c r="Q136" s="60">
        <f t="shared" si="10"/>
        <v>781.74239999999998</v>
      </c>
      <c r="R136" s="60">
        <f t="shared" si="11"/>
        <v>459.32</v>
      </c>
      <c r="S136" s="60">
        <f t="shared" si="12"/>
        <v>322.42239999999998</v>
      </c>
      <c r="T136" s="65">
        <f t="shared" si="13"/>
        <v>0.41244072216116201</v>
      </c>
    </row>
    <row r="137" spans="1:20">
      <c r="A137" s="41">
        <f t="shared" si="14"/>
        <v>3</v>
      </c>
      <c r="B137" s="6" t="s">
        <v>278</v>
      </c>
      <c r="C137" s="20">
        <v>45718</v>
      </c>
      <c r="D137" s="6" t="s">
        <v>132</v>
      </c>
      <c r="E137" s="6" t="s">
        <v>89</v>
      </c>
      <c r="F137" s="6" t="s">
        <v>122</v>
      </c>
      <c r="G137" s="6" t="s">
        <v>154</v>
      </c>
      <c r="H137" s="6" t="s">
        <v>119</v>
      </c>
      <c r="I137" s="6" t="s">
        <v>120</v>
      </c>
      <c r="J137" s="25">
        <v>1</v>
      </c>
      <c r="K137" s="21">
        <v>2292.4299999999998</v>
      </c>
      <c r="L137" s="63">
        <v>0.05</v>
      </c>
      <c r="M137" s="21">
        <v>1572.4</v>
      </c>
      <c r="N137" s="6" t="s">
        <v>94</v>
      </c>
      <c r="O137" s="60">
        <f>Vendas2025[[#This Row],[Quantidade]]*Vendas2025[[#This Row],[Preço_Unitário_R$]]</f>
        <v>2292.4299999999998</v>
      </c>
      <c r="P137" s="60">
        <f>Vendas2025[[#This Row],[Receita_Bruta_R$]]*Vendas2025[[#This Row],[Desconto_pct]]</f>
        <v>114.6215</v>
      </c>
      <c r="Q137" s="60">
        <f t="shared" si="10"/>
        <v>2177.8084999999996</v>
      </c>
      <c r="R137" s="60">
        <f t="shared" si="11"/>
        <v>1572.4</v>
      </c>
      <c r="S137" s="60">
        <f t="shared" si="12"/>
        <v>605.40849999999955</v>
      </c>
      <c r="T137" s="65">
        <f t="shared" si="13"/>
        <v>0.27798977733808994</v>
      </c>
    </row>
    <row r="138" spans="1:20">
      <c r="A138" s="41">
        <f t="shared" si="14"/>
        <v>3</v>
      </c>
      <c r="B138" s="6" t="s">
        <v>279</v>
      </c>
      <c r="C138" s="20">
        <v>45718</v>
      </c>
      <c r="D138" s="6" t="s">
        <v>102</v>
      </c>
      <c r="E138" s="6" t="s">
        <v>103</v>
      </c>
      <c r="F138" s="6" t="s">
        <v>122</v>
      </c>
      <c r="G138" s="6" t="s">
        <v>105</v>
      </c>
      <c r="H138" s="6" t="s">
        <v>99</v>
      </c>
      <c r="I138" s="6" t="s">
        <v>173</v>
      </c>
      <c r="J138" s="25">
        <v>1</v>
      </c>
      <c r="K138" s="21">
        <v>3884.98</v>
      </c>
      <c r="L138" s="63">
        <v>0.2</v>
      </c>
      <c r="M138" s="21">
        <v>3001.19</v>
      </c>
      <c r="N138" s="6" t="s">
        <v>94</v>
      </c>
      <c r="O138" s="60">
        <f>Vendas2025[[#This Row],[Quantidade]]*Vendas2025[[#This Row],[Preço_Unitário_R$]]</f>
        <v>3884.98</v>
      </c>
      <c r="P138" s="60">
        <f>Vendas2025[[#This Row],[Receita_Bruta_R$]]*Vendas2025[[#This Row],[Desconto_pct]]</f>
        <v>776.99600000000009</v>
      </c>
      <c r="Q138" s="60">
        <f t="shared" si="10"/>
        <v>3107.9839999999999</v>
      </c>
      <c r="R138" s="60">
        <f t="shared" si="11"/>
        <v>3001.19</v>
      </c>
      <c r="S138" s="60">
        <f t="shared" si="12"/>
        <v>106.79399999999987</v>
      </c>
      <c r="T138" s="65">
        <f t="shared" si="13"/>
        <v>3.4361180752539223E-2</v>
      </c>
    </row>
    <row r="139" spans="1:20">
      <c r="A139" s="41">
        <f t="shared" si="14"/>
        <v>3</v>
      </c>
      <c r="B139" s="6" t="s">
        <v>280</v>
      </c>
      <c r="C139" s="20">
        <v>45718</v>
      </c>
      <c r="D139" s="6" t="s">
        <v>136</v>
      </c>
      <c r="E139" s="6" t="s">
        <v>137</v>
      </c>
      <c r="F139" s="6" t="s">
        <v>97</v>
      </c>
      <c r="G139" s="6" t="s">
        <v>105</v>
      </c>
      <c r="H139" s="6" t="s">
        <v>119</v>
      </c>
      <c r="I139" s="6" t="s">
        <v>138</v>
      </c>
      <c r="J139" s="25">
        <v>1</v>
      </c>
      <c r="K139" s="21">
        <v>148.51</v>
      </c>
      <c r="L139" s="63">
        <v>0.05</v>
      </c>
      <c r="M139" s="21">
        <v>58.65</v>
      </c>
      <c r="N139" s="6" t="s">
        <v>94</v>
      </c>
      <c r="O139" s="60">
        <f>Vendas2025[[#This Row],[Quantidade]]*Vendas2025[[#This Row],[Preço_Unitário_R$]]</f>
        <v>148.51</v>
      </c>
      <c r="P139" s="60">
        <f>Vendas2025[[#This Row],[Receita_Bruta_R$]]*Vendas2025[[#This Row],[Desconto_pct]]</f>
        <v>7.4254999999999995</v>
      </c>
      <c r="Q139" s="60">
        <f t="shared" si="10"/>
        <v>141.08449999999999</v>
      </c>
      <c r="R139" s="60">
        <f t="shared" si="11"/>
        <v>58.65</v>
      </c>
      <c r="S139" s="60">
        <f t="shared" si="12"/>
        <v>82.434499999999986</v>
      </c>
      <c r="T139" s="65">
        <f t="shared" si="13"/>
        <v>0.58429168335288417</v>
      </c>
    </row>
    <row r="140" spans="1:20">
      <c r="A140" s="41">
        <f t="shared" si="14"/>
        <v>3</v>
      </c>
      <c r="B140" s="6" t="s">
        <v>281</v>
      </c>
      <c r="C140" s="20">
        <v>45720</v>
      </c>
      <c r="D140" s="6" t="s">
        <v>88</v>
      </c>
      <c r="E140" s="6" t="s">
        <v>89</v>
      </c>
      <c r="F140" s="6" t="s">
        <v>97</v>
      </c>
      <c r="G140" s="6" t="s">
        <v>123</v>
      </c>
      <c r="H140" s="6" t="s">
        <v>99</v>
      </c>
      <c r="I140" s="6" t="s">
        <v>173</v>
      </c>
      <c r="J140" s="25">
        <v>1</v>
      </c>
      <c r="K140" s="21">
        <v>4133.1099999999997</v>
      </c>
      <c r="L140" s="63">
        <v>0</v>
      </c>
      <c r="M140" s="21">
        <v>3177.07</v>
      </c>
      <c r="N140" s="6" t="s">
        <v>94</v>
      </c>
      <c r="O140" s="60">
        <f>Vendas2025[[#This Row],[Quantidade]]*Vendas2025[[#This Row],[Preço_Unitário_R$]]</f>
        <v>4133.1099999999997</v>
      </c>
      <c r="P140" s="60">
        <f>Vendas2025[[#This Row],[Receita_Bruta_R$]]*Vendas2025[[#This Row],[Desconto_pct]]</f>
        <v>0</v>
      </c>
      <c r="Q140" s="60">
        <f t="shared" si="10"/>
        <v>4133.1099999999997</v>
      </c>
      <c r="R140" s="60">
        <f t="shared" si="11"/>
        <v>3177.07</v>
      </c>
      <c r="S140" s="60">
        <f t="shared" si="12"/>
        <v>956.03999999999951</v>
      </c>
      <c r="T140" s="65">
        <f t="shared" si="13"/>
        <v>0.23131249833660358</v>
      </c>
    </row>
    <row r="141" spans="1:20">
      <c r="A141" s="41">
        <f t="shared" si="14"/>
        <v>3</v>
      </c>
      <c r="B141" s="6" t="s">
        <v>282</v>
      </c>
      <c r="C141" s="20">
        <v>45721</v>
      </c>
      <c r="D141" s="6" t="s">
        <v>88</v>
      </c>
      <c r="E141" s="6" t="s">
        <v>89</v>
      </c>
      <c r="F141" s="6" t="s">
        <v>122</v>
      </c>
      <c r="G141" s="6" t="s">
        <v>98</v>
      </c>
      <c r="H141" s="6" t="s">
        <v>92</v>
      </c>
      <c r="I141" s="6" t="s">
        <v>93</v>
      </c>
      <c r="J141" s="25">
        <v>1</v>
      </c>
      <c r="K141" s="21">
        <v>236.61</v>
      </c>
      <c r="L141" s="63">
        <v>0.2</v>
      </c>
      <c r="M141" s="21">
        <v>102.17</v>
      </c>
      <c r="N141" s="6" t="s">
        <v>94</v>
      </c>
      <c r="O141" s="60">
        <f>Vendas2025[[#This Row],[Quantidade]]*Vendas2025[[#This Row],[Preço_Unitário_R$]]</f>
        <v>236.61</v>
      </c>
      <c r="P141" s="60">
        <f>Vendas2025[[#This Row],[Receita_Bruta_R$]]*Vendas2025[[#This Row],[Desconto_pct]]</f>
        <v>47.322000000000003</v>
      </c>
      <c r="Q141" s="60">
        <f t="shared" si="10"/>
        <v>189.28800000000001</v>
      </c>
      <c r="R141" s="60">
        <f t="shared" si="11"/>
        <v>102.17</v>
      </c>
      <c r="S141" s="60">
        <f t="shared" si="12"/>
        <v>87.118000000000009</v>
      </c>
      <c r="T141" s="65">
        <f t="shared" si="13"/>
        <v>0.46024048011495711</v>
      </c>
    </row>
    <row r="142" spans="1:20">
      <c r="A142" s="41">
        <f t="shared" si="14"/>
        <v>3</v>
      </c>
      <c r="B142" s="6" t="s">
        <v>283</v>
      </c>
      <c r="C142" s="20">
        <v>45721</v>
      </c>
      <c r="D142" s="6" t="s">
        <v>136</v>
      </c>
      <c r="E142" s="6" t="s">
        <v>137</v>
      </c>
      <c r="F142" s="6" t="s">
        <v>122</v>
      </c>
      <c r="G142" s="6" t="s">
        <v>115</v>
      </c>
      <c r="H142" s="6" t="s">
        <v>119</v>
      </c>
      <c r="I142" s="6" t="s">
        <v>155</v>
      </c>
      <c r="J142" s="25">
        <v>1</v>
      </c>
      <c r="K142" s="21">
        <v>373.25</v>
      </c>
      <c r="L142" s="63">
        <v>0.05</v>
      </c>
      <c r="M142" s="21">
        <v>216.14</v>
      </c>
      <c r="N142" s="6" t="s">
        <v>94</v>
      </c>
      <c r="O142" s="60">
        <f>Vendas2025[[#This Row],[Quantidade]]*Vendas2025[[#This Row],[Preço_Unitário_R$]]</f>
        <v>373.25</v>
      </c>
      <c r="P142" s="60">
        <f>Vendas2025[[#This Row],[Receita_Bruta_R$]]*Vendas2025[[#This Row],[Desconto_pct]]</f>
        <v>18.662500000000001</v>
      </c>
      <c r="Q142" s="60">
        <f t="shared" si="10"/>
        <v>354.58749999999998</v>
      </c>
      <c r="R142" s="60">
        <f t="shared" si="11"/>
        <v>216.14</v>
      </c>
      <c r="S142" s="60">
        <f t="shared" si="12"/>
        <v>138.44749999999999</v>
      </c>
      <c r="T142" s="65">
        <f t="shared" si="13"/>
        <v>0.39044664575034371</v>
      </c>
    </row>
    <row r="143" spans="1:20">
      <c r="A143" s="41">
        <f t="shared" si="14"/>
        <v>3</v>
      </c>
      <c r="B143" s="6" t="s">
        <v>284</v>
      </c>
      <c r="C143" s="20">
        <v>45722</v>
      </c>
      <c r="D143" s="6" t="s">
        <v>118</v>
      </c>
      <c r="E143" s="6" t="s">
        <v>114</v>
      </c>
      <c r="F143" s="6" t="s">
        <v>122</v>
      </c>
      <c r="G143" s="6" t="s">
        <v>123</v>
      </c>
      <c r="H143" s="6" t="s">
        <v>124</v>
      </c>
      <c r="I143" s="6" t="s">
        <v>125</v>
      </c>
      <c r="J143" s="25">
        <v>1</v>
      </c>
      <c r="K143" s="21">
        <v>674.71</v>
      </c>
      <c r="L143" s="63">
        <v>0.03</v>
      </c>
      <c r="M143" s="21">
        <v>325.35000000000002</v>
      </c>
      <c r="N143" s="6" t="s">
        <v>94</v>
      </c>
      <c r="O143" s="60">
        <f>Vendas2025[[#This Row],[Quantidade]]*Vendas2025[[#This Row],[Preço_Unitário_R$]]</f>
        <v>674.71</v>
      </c>
      <c r="P143" s="60">
        <f>Vendas2025[[#This Row],[Receita_Bruta_R$]]*Vendas2025[[#This Row],[Desconto_pct]]</f>
        <v>20.241299999999999</v>
      </c>
      <c r="Q143" s="60">
        <f t="shared" si="10"/>
        <v>654.46870000000001</v>
      </c>
      <c r="R143" s="60">
        <f t="shared" si="11"/>
        <v>325.35000000000002</v>
      </c>
      <c r="S143" s="60">
        <f t="shared" si="12"/>
        <v>329.11869999999999</v>
      </c>
      <c r="T143" s="65">
        <f t="shared" si="13"/>
        <v>0.50287920568241073</v>
      </c>
    </row>
    <row r="144" spans="1:20">
      <c r="A144" s="41">
        <f t="shared" si="14"/>
        <v>3</v>
      </c>
      <c r="B144" s="6" t="s">
        <v>285</v>
      </c>
      <c r="C144" s="20">
        <v>45722</v>
      </c>
      <c r="D144" s="6" t="s">
        <v>136</v>
      </c>
      <c r="E144" s="6" t="s">
        <v>137</v>
      </c>
      <c r="F144" s="6" t="s">
        <v>122</v>
      </c>
      <c r="G144" s="6" t="s">
        <v>110</v>
      </c>
      <c r="H144" s="6" t="s">
        <v>106</v>
      </c>
      <c r="I144" s="6" t="s">
        <v>184</v>
      </c>
      <c r="J144" s="25">
        <v>2</v>
      </c>
      <c r="K144" s="21">
        <v>1127.47</v>
      </c>
      <c r="L144" s="63">
        <v>0.05</v>
      </c>
      <c r="M144" s="21">
        <v>799.52</v>
      </c>
      <c r="N144" s="6" t="s">
        <v>245</v>
      </c>
      <c r="O144" s="60">
        <f>Vendas2025[[#This Row],[Quantidade]]*Vendas2025[[#This Row],[Preço_Unitário_R$]]</f>
        <v>2254.94</v>
      </c>
      <c r="P144" s="60">
        <f>Vendas2025[[#This Row],[Receita_Bruta_R$]]*Vendas2025[[#This Row],[Desconto_pct]]</f>
        <v>112.74700000000001</v>
      </c>
      <c r="Q144" s="60">
        <f t="shared" si="10"/>
        <v>0</v>
      </c>
      <c r="R144" s="60">
        <f t="shared" si="11"/>
        <v>0</v>
      </c>
      <c r="S144" s="60">
        <f t="shared" si="12"/>
        <v>0</v>
      </c>
      <c r="T144" s="65" t="str">
        <f t="shared" si="13"/>
        <v/>
      </c>
    </row>
    <row r="145" spans="1:20">
      <c r="A145" s="41">
        <f t="shared" si="14"/>
        <v>3</v>
      </c>
      <c r="B145" s="6" t="s">
        <v>286</v>
      </c>
      <c r="C145" s="20">
        <v>45723</v>
      </c>
      <c r="D145" s="6" t="s">
        <v>129</v>
      </c>
      <c r="E145" s="6" t="s">
        <v>103</v>
      </c>
      <c r="F145" s="6" t="s">
        <v>104</v>
      </c>
      <c r="G145" s="6" t="s">
        <v>98</v>
      </c>
      <c r="H145" s="6" t="s">
        <v>92</v>
      </c>
      <c r="I145" s="6" t="s">
        <v>144</v>
      </c>
      <c r="J145" s="25">
        <v>2</v>
      </c>
      <c r="K145" s="21">
        <v>149.54</v>
      </c>
      <c r="L145" s="63">
        <v>0</v>
      </c>
      <c r="M145" s="21">
        <v>51.9</v>
      </c>
      <c r="N145" s="6" t="s">
        <v>94</v>
      </c>
      <c r="O145" s="60">
        <f>Vendas2025[[#This Row],[Quantidade]]*Vendas2025[[#This Row],[Preço_Unitário_R$]]</f>
        <v>299.08</v>
      </c>
      <c r="P145" s="60">
        <f>Vendas2025[[#This Row],[Receita_Bruta_R$]]*Vendas2025[[#This Row],[Desconto_pct]]</f>
        <v>0</v>
      </c>
      <c r="Q145" s="60">
        <f t="shared" si="10"/>
        <v>299.08</v>
      </c>
      <c r="R145" s="60">
        <f t="shared" si="11"/>
        <v>103.8</v>
      </c>
      <c r="S145" s="60">
        <f t="shared" si="12"/>
        <v>195.27999999999997</v>
      </c>
      <c r="T145" s="65">
        <f t="shared" si="13"/>
        <v>0.65293566938611736</v>
      </c>
    </row>
    <row r="146" spans="1:20">
      <c r="A146" s="41">
        <f t="shared" si="14"/>
        <v>3</v>
      </c>
      <c r="B146" s="6" t="s">
        <v>287</v>
      </c>
      <c r="C146" s="20">
        <v>45724</v>
      </c>
      <c r="D146" s="6" t="s">
        <v>113</v>
      </c>
      <c r="E146" s="6" t="s">
        <v>114</v>
      </c>
      <c r="F146" s="6" t="s">
        <v>122</v>
      </c>
      <c r="G146" s="6" t="s">
        <v>154</v>
      </c>
      <c r="H146" s="6" t="s">
        <v>106</v>
      </c>
      <c r="I146" s="6" t="s">
        <v>107</v>
      </c>
      <c r="J146" s="25">
        <v>2</v>
      </c>
      <c r="K146" s="21">
        <v>681.94</v>
      </c>
      <c r="L146" s="63">
        <v>0.2</v>
      </c>
      <c r="M146" s="21">
        <v>385.79</v>
      </c>
      <c r="N146" s="6" t="s">
        <v>94</v>
      </c>
      <c r="O146" s="60">
        <f>Vendas2025[[#This Row],[Quantidade]]*Vendas2025[[#This Row],[Preço_Unitário_R$]]</f>
        <v>1363.88</v>
      </c>
      <c r="P146" s="60">
        <f>Vendas2025[[#This Row],[Receita_Bruta_R$]]*Vendas2025[[#This Row],[Desconto_pct]]</f>
        <v>272.77600000000001</v>
      </c>
      <c r="Q146" s="60">
        <f t="shared" si="10"/>
        <v>1091.104</v>
      </c>
      <c r="R146" s="60">
        <f t="shared" si="11"/>
        <v>771.58</v>
      </c>
      <c r="S146" s="60">
        <f t="shared" si="12"/>
        <v>319.524</v>
      </c>
      <c r="T146" s="65">
        <f t="shared" si="13"/>
        <v>0.29284467841745609</v>
      </c>
    </row>
    <row r="147" spans="1:20">
      <c r="A147" s="41">
        <f t="shared" si="14"/>
        <v>3</v>
      </c>
      <c r="B147" s="6" t="s">
        <v>288</v>
      </c>
      <c r="C147" s="20">
        <v>45724</v>
      </c>
      <c r="D147" s="6" t="s">
        <v>96</v>
      </c>
      <c r="E147" s="6" t="s">
        <v>89</v>
      </c>
      <c r="F147" s="6" t="s">
        <v>90</v>
      </c>
      <c r="G147" s="6" t="s">
        <v>160</v>
      </c>
      <c r="H147" s="6" t="s">
        <v>99</v>
      </c>
      <c r="I147" s="6" t="s">
        <v>173</v>
      </c>
      <c r="J147" s="25">
        <v>1</v>
      </c>
      <c r="K147" s="21">
        <v>3846.33</v>
      </c>
      <c r="L147" s="63">
        <v>0.05</v>
      </c>
      <c r="M147" s="21">
        <v>3046.5</v>
      </c>
      <c r="N147" s="6" t="s">
        <v>94</v>
      </c>
      <c r="O147" s="60">
        <f>Vendas2025[[#This Row],[Quantidade]]*Vendas2025[[#This Row],[Preço_Unitário_R$]]</f>
        <v>3846.33</v>
      </c>
      <c r="P147" s="60">
        <f>Vendas2025[[#This Row],[Receita_Bruta_R$]]*Vendas2025[[#This Row],[Desconto_pct]]</f>
        <v>192.31650000000002</v>
      </c>
      <c r="Q147" s="60">
        <f t="shared" si="10"/>
        <v>3654.0135</v>
      </c>
      <c r="R147" s="60">
        <f t="shared" si="11"/>
        <v>3046.5</v>
      </c>
      <c r="S147" s="60">
        <f t="shared" si="12"/>
        <v>607.51350000000002</v>
      </c>
      <c r="T147" s="65">
        <f t="shared" si="13"/>
        <v>0.16625923795848047</v>
      </c>
    </row>
    <row r="148" spans="1:20">
      <c r="A148" s="41">
        <f t="shared" si="14"/>
        <v>3</v>
      </c>
      <c r="B148" s="6" t="s">
        <v>289</v>
      </c>
      <c r="C148" s="20">
        <v>45724</v>
      </c>
      <c r="D148" s="6" t="s">
        <v>102</v>
      </c>
      <c r="E148" s="6" t="s">
        <v>103</v>
      </c>
      <c r="F148" s="6" t="s">
        <v>122</v>
      </c>
      <c r="G148" s="6" t="s">
        <v>127</v>
      </c>
      <c r="H148" s="6" t="s">
        <v>124</v>
      </c>
      <c r="I148" s="6" t="s">
        <v>125</v>
      </c>
      <c r="J148" s="25">
        <v>1</v>
      </c>
      <c r="K148" s="21">
        <v>653.21</v>
      </c>
      <c r="L148" s="63">
        <v>0.2</v>
      </c>
      <c r="M148" s="21">
        <v>322.08</v>
      </c>
      <c r="N148" s="6" t="s">
        <v>94</v>
      </c>
      <c r="O148" s="60">
        <f>Vendas2025[[#This Row],[Quantidade]]*Vendas2025[[#This Row],[Preço_Unitário_R$]]</f>
        <v>653.21</v>
      </c>
      <c r="P148" s="60">
        <f>Vendas2025[[#This Row],[Receita_Bruta_R$]]*Vendas2025[[#This Row],[Desconto_pct]]</f>
        <v>130.64200000000002</v>
      </c>
      <c r="Q148" s="60">
        <f t="shared" si="10"/>
        <v>522.56799999999998</v>
      </c>
      <c r="R148" s="60">
        <f t="shared" si="11"/>
        <v>322.08</v>
      </c>
      <c r="S148" s="60">
        <f t="shared" si="12"/>
        <v>200.488</v>
      </c>
      <c r="T148" s="65">
        <f t="shared" si="13"/>
        <v>0.38365916014757889</v>
      </c>
    </row>
    <row r="149" spans="1:20">
      <c r="A149" s="41">
        <f t="shared" si="14"/>
        <v>3</v>
      </c>
      <c r="B149" s="6" t="s">
        <v>290</v>
      </c>
      <c r="C149" s="20">
        <v>45725</v>
      </c>
      <c r="D149" s="6" t="s">
        <v>102</v>
      </c>
      <c r="E149" s="6" t="s">
        <v>103</v>
      </c>
      <c r="F149" s="6" t="s">
        <v>90</v>
      </c>
      <c r="G149" s="6" t="s">
        <v>140</v>
      </c>
      <c r="H149" s="6" t="s">
        <v>124</v>
      </c>
      <c r="I149" s="6" t="s">
        <v>193</v>
      </c>
      <c r="J149" s="25">
        <v>1</v>
      </c>
      <c r="K149" s="21">
        <v>355.7</v>
      </c>
      <c r="L149" s="63">
        <v>0.25</v>
      </c>
      <c r="M149" s="21">
        <v>154.94999999999999</v>
      </c>
      <c r="N149" s="6" t="s">
        <v>94</v>
      </c>
      <c r="O149" s="60">
        <f>Vendas2025[[#This Row],[Quantidade]]*Vendas2025[[#This Row],[Preço_Unitário_R$]]</f>
        <v>355.7</v>
      </c>
      <c r="P149" s="60">
        <f>Vendas2025[[#This Row],[Receita_Bruta_R$]]*Vendas2025[[#This Row],[Desconto_pct]]</f>
        <v>88.924999999999997</v>
      </c>
      <c r="Q149" s="60">
        <f t="shared" si="10"/>
        <v>266.77499999999998</v>
      </c>
      <c r="R149" s="60">
        <f t="shared" si="11"/>
        <v>154.94999999999999</v>
      </c>
      <c r="S149" s="60">
        <f t="shared" si="12"/>
        <v>111.82499999999999</v>
      </c>
      <c r="T149" s="65">
        <f t="shared" si="13"/>
        <v>0.41917346078155748</v>
      </c>
    </row>
    <row r="150" spans="1:20">
      <c r="A150" s="41">
        <f t="shared" si="14"/>
        <v>3</v>
      </c>
      <c r="B150" s="6" t="s">
        <v>291</v>
      </c>
      <c r="C150" s="20">
        <v>45725</v>
      </c>
      <c r="D150" s="6" t="s">
        <v>132</v>
      </c>
      <c r="E150" s="6" t="s">
        <v>89</v>
      </c>
      <c r="F150" s="6" t="s">
        <v>122</v>
      </c>
      <c r="G150" s="6" t="s">
        <v>98</v>
      </c>
      <c r="H150" s="6" t="s">
        <v>106</v>
      </c>
      <c r="I150" s="6" t="s">
        <v>116</v>
      </c>
      <c r="J150" s="25">
        <v>1</v>
      </c>
      <c r="K150" s="21">
        <v>438.16</v>
      </c>
      <c r="L150" s="63">
        <v>0.05</v>
      </c>
      <c r="M150" s="21">
        <v>240.29</v>
      </c>
      <c r="N150" s="6" t="s">
        <v>94</v>
      </c>
      <c r="O150" s="60">
        <f>Vendas2025[[#This Row],[Quantidade]]*Vendas2025[[#This Row],[Preço_Unitário_R$]]</f>
        <v>438.16</v>
      </c>
      <c r="P150" s="60">
        <f>Vendas2025[[#This Row],[Receita_Bruta_R$]]*Vendas2025[[#This Row],[Desconto_pct]]</f>
        <v>21.908000000000001</v>
      </c>
      <c r="Q150" s="60">
        <f t="shared" si="10"/>
        <v>416.25200000000001</v>
      </c>
      <c r="R150" s="60">
        <f t="shared" si="11"/>
        <v>240.29</v>
      </c>
      <c r="S150" s="60">
        <f t="shared" si="12"/>
        <v>175.96200000000002</v>
      </c>
      <c r="T150" s="65">
        <f t="shared" si="13"/>
        <v>0.42272950039879692</v>
      </c>
    </row>
    <row r="151" spans="1:20">
      <c r="A151" s="41">
        <f t="shared" si="14"/>
        <v>3</v>
      </c>
      <c r="B151" s="6" t="s">
        <v>292</v>
      </c>
      <c r="C151" s="20">
        <v>45726</v>
      </c>
      <c r="D151" s="6" t="s">
        <v>118</v>
      </c>
      <c r="E151" s="6" t="s">
        <v>114</v>
      </c>
      <c r="F151" s="6" t="s">
        <v>104</v>
      </c>
      <c r="G151" s="6" t="s">
        <v>160</v>
      </c>
      <c r="H151" s="6" t="s">
        <v>106</v>
      </c>
      <c r="I151" s="6" t="s">
        <v>184</v>
      </c>
      <c r="J151" s="25">
        <v>1</v>
      </c>
      <c r="K151" s="21">
        <v>1158.8</v>
      </c>
      <c r="L151" s="63">
        <v>0</v>
      </c>
      <c r="M151" s="21">
        <v>877.16</v>
      </c>
      <c r="N151" s="6" t="s">
        <v>245</v>
      </c>
      <c r="O151" s="60">
        <f>Vendas2025[[#This Row],[Quantidade]]*Vendas2025[[#This Row],[Preço_Unitário_R$]]</f>
        <v>1158.8</v>
      </c>
      <c r="P151" s="60">
        <f>Vendas2025[[#This Row],[Receita_Bruta_R$]]*Vendas2025[[#This Row],[Desconto_pct]]</f>
        <v>0</v>
      </c>
      <c r="Q151" s="60">
        <f t="shared" si="10"/>
        <v>0</v>
      </c>
      <c r="R151" s="60">
        <f t="shared" si="11"/>
        <v>0</v>
      </c>
      <c r="S151" s="60">
        <f t="shared" si="12"/>
        <v>0</v>
      </c>
      <c r="T151" s="65" t="str">
        <f t="shared" si="13"/>
        <v/>
      </c>
    </row>
    <row r="152" spans="1:20">
      <c r="A152" s="41">
        <f t="shared" si="14"/>
        <v>3</v>
      </c>
      <c r="B152" s="6" t="s">
        <v>293</v>
      </c>
      <c r="C152" s="20">
        <v>45726</v>
      </c>
      <c r="D152" s="6" t="s">
        <v>113</v>
      </c>
      <c r="E152" s="6" t="s">
        <v>114</v>
      </c>
      <c r="F152" s="6" t="s">
        <v>122</v>
      </c>
      <c r="G152" s="6" t="s">
        <v>177</v>
      </c>
      <c r="H152" s="6" t="s">
        <v>106</v>
      </c>
      <c r="I152" s="6" t="s">
        <v>107</v>
      </c>
      <c r="J152" s="25">
        <v>1</v>
      </c>
      <c r="K152" s="21">
        <v>674.3</v>
      </c>
      <c r="L152" s="63">
        <v>0.05</v>
      </c>
      <c r="M152" s="21">
        <v>371.85</v>
      </c>
      <c r="N152" s="6" t="s">
        <v>94</v>
      </c>
      <c r="O152" s="60">
        <f>Vendas2025[[#This Row],[Quantidade]]*Vendas2025[[#This Row],[Preço_Unitário_R$]]</f>
        <v>674.3</v>
      </c>
      <c r="P152" s="60">
        <f>Vendas2025[[#This Row],[Receita_Bruta_R$]]*Vendas2025[[#This Row],[Desconto_pct]]</f>
        <v>33.714999999999996</v>
      </c>
      <c r="Q152" s="60">
        <f t="shared" si="10"/>
        <v>640.58499999999992</v>
      </c>
      <c r="R152" s="60">
        <f t="shared" si="11"/>
        <v>371.85</v>
      </c>
      <c r="S152" s="60">
        <f t="shared" si="12"/>
        <v>268.7349999999999</v>
      </c>
      <c r="T152" s="65">
        <f t="shared" si="13"/>
        <v>0.41951497459353548</v>
      </c>
    </row>
    <row r="153" spans="1:20">
      <c r="A153" s="41">
        <f t="shared" si="14"/>
        <v>3</v>
      </c>
      <c r="B153" s="6" t="s">
        <v>294</v>
      </c>
      <c r="C153" s="20">
        <v>45726</v>
      </c>
      <c r="D153" s="6" t="s">
        <v>113</v>
      </c>
      <c r="E153" s="6" t="s">
        <v>114</v>
      </c>
      <c r="F153" s="6" t="s">
        <v>122</v>
      </c>
      <c r="G153" s="6" t="s">
        <v>127</v>
      </c>
      <c r="H153" s="6" t="s">
        <v>106</v>
      </c>
      <c r="I153" s="6" t="s">
        <v>184</v>
      </c>
      <c r="J153" s="25">
        <v>1</v>
      </c>
      <c r="K153" s="21">
        <v>1205.47</v>
      </c>
      <c r="L153" s="63">
        <v>0.2</v>
      </c>
      <c r="M153" s="21">
        <v>879.89</v>
      </c>
      <c r="N153" s="6" t="s">
        <v>94</v>
      </c>
      <c r="O153" s="60">
        <f>Vendas2025[[#This Row],[Quantidade]]*Vendas2025[[#This Row],[Preço_Unitário_R$]]</f>
        <v>1205.47</v>
      </c>
      <c r="P153" s="60">
        <f>Vendas2025[[#This Row],[Receita_Bruta_R$]]*Vendas2025[[#This Row],[Desconto_pct]]</f>
        <v>241.09400000000002</v>
      </c>
      <c r="Q153" s="60">
        <f t="shared" si="10"/>
        <v>964.37599999999998</v>
      </c>
      <c r="R153" s="60">
        <f t="shared" si="11"/>
        <v>879.89</v>
      </c>
      <c r="S153" s="60">
        <f t="shared" si="12"/>
        <v>84.48599999999999</v>
      </c>
      <c r="T153" s="65">
        <f t="shared" si="13"/>
        <v>8.7606908508714429E-2</v>
      </c>
    </row>
    <row r="154" spans="1:20">
      <c r="A154" s="41">
        <f t="shared" si="14"/>
        <v>3</v>
      </c>
      <c r="B154" s="6" t="s">
        <v>295</v>
      </c>
      <c r="C154" s="20">
        <v>45727</v>
      </c>
      <c r="D154" s="6" t="s">
        <v>88</v>
      </c>
      <c r="E154" s="6" t="s">
        <v>89</v>
      </c>
      <c r="F154" s="6" t="s">
        <v>122</v>
      </c>
      <c r="G154" s="6" t="s">
        <v>160</v>
      </c>
      <c r="H154" s="6" t="s">
        <v>106</v>
      </c>
      <c r="I154" s="6" t="s">
        <v>107</v>
      </c>
      <c r="J154" s="25">
        <v>2</v>
      </c>
      <c r="K154" s="21">
        <v>694.83</v>
      </c>
      <c r="L154" s="63">
        <v>0.03</v>
      </c>
      <c r="M154" s="21">
        <v>408.2</v>
      </c>
      <c r="N154" s="6" t="s">
        <v>94</v>
      </c>
      <c r="O154" s="60">
        <f>Vendas2025[[#This Row],[Quantidade]]*Vendas2025[[#This Row],[Preço_Unitário_R$]]</f>
        <v>1389.66</v>
      </c>
      <c r="P154" s="60">
        <f>Vendas2025[[#This Row],[Receita_Bruta_R$]]*Vendas2025[[#This Row],[Desconto_pct]]</f>
        <v>41.689799999999998</v>
      </c>
      <c r="Q154" s="60">
        <f t="shared" si="10"/>
        <v>1347.9702</v>
      </c>
      <c r="R154" s="60">
        <f t="shared" si="11"/>
        <v>816.4</v>
      </c>
      <c r="S154" s="60">
        <f t="shared" si="12"/>
        <v>531.5702</v>
      </c>
      <c r="T154" s="65">
        <f t="shared" si="13"/>
        <v>0.39434862877532456</v>
      </c>
    </row>
    <row r="155" spans="1:20">
      <c r="A155" s="41">
        <f t="shared" si="14"/>
        <v>3</v>
      </c>
      <c r="B155" s="6" t="s">
        <v>296</v>
      </c>
      <c r="C155" s="20">
        <v>45728</v>
      </c>
      <c r="D155" s="6" t="s">
        <v>102</v>
      </c>
      <c r="E155" s="6" t="s">
        <v>103</v>
      </c>
      <c r="F155" s="6" t="s">
        <v>122</v>
      </c>
      <c r="G155" s="6" t="s">
        <v>110</v>
      </c>
      <c r="H155" s="6" t="s">
        <v>99</v>
      </c>
      <c r="I155" s="6" t="s">
        <v>173</v>
      </c>
      <c r="J155" s="25">
        <v>2</v>
      </c>
      <c r="K155" s="21">
        <v>4141.63</v>
      </c>
      <c r="L155" s="63">
        <v>0.2</v>
      </c>
      <c r="M155" s="21">
        <v>3226.35</v>
      </c>
      <c r="N155" s="6" t="s">
        <v>94</v>
      </c>
      <c r="O155" s="60">
        <f>Vendas2025[[#This Row],[Quantidade]]*Vendas2025[[#This Row],[Preço_Unitário_R$]]</f>
        <v>8283.26</v>
      </c>
      <c r="P155" s="60">
        <f>Vendas2025[[#This Row],[Receita_Bruta_R$]]*Vendas2025[[#This Row],[Desconto_pct]]</f>
        <v>1656.652</v>
      </c>
      <c r="Q155" s="60">
        <f t="shared" si="10"/>
        <v>6626.6080000000002</v>
      </c>
      <c r="R155" s="60">
        <f t="shared" si="11"/>
        <v>6452.7</v>
      </c>
      <c r="S155" s="60">
        <f t="shared" si="12"/>
        <v>173.90800000000036</v>
      </c>
      <c r="T155" s="65">
        <f t="shared" si="13"/>
        <v>2.6243894312142857E-2</v>
      </c>
    </row>
    <row r="156" spans="1:20">
      <c r="A156" s="41">
        <f t="shared" si="14"/>
        <v>3</v>
      </c>
      <c r="B156" s="6" t="s">
        <v>297</v>
      </c>
      <c r="C156" s="20">
        <v>45728</v>
      </c>
      <c r="D156" s="6" t="s">
        <v>118</v>
      </c>
      <c r="E156" s="6" t="s">
        <v>114</v>
      </c>
      <c r="F156" s="6" t="s">
        <v>97</v>
      </c>
      <c r="G156" s="6" t="s">
        <v>177</v>
      </c>
      <c r="H156" s="6" t="s">
        <v>106</v>
      </c>
      <c r="I156" s="6" t="s">
        <v>111</v>
      </c>
      <c r="J156" s="25">
        <v>1</v>
      </c>
      <c r="K156" s="21">
        <v>301.44</v>
      </c>
      <c r="L156" s="63">
        <v>0.1</v>
      </c>
      <c r="M156" s="21">
        <v>131.41999999999999</v>
      </c>
      <c r="N156" s="6" t="s">
        <v>94</v>
      </c>
      <c r="O156" s="60">
        <f>Vendas2025[[#This Row],[Quantidade]]*Vendas2025[[#This Row],[Preço_Unitário_R$]]</f>
        <v>301.44</v>
      </c>
      <c r="P156" s="60">
        <f>Vendas2025[[#This Row],[Receita_Bruta_R$]]*Vendas2025[[#This Row],[Desconto_pct]]</f>
        <v>30.144000000000002</v>
      </c>
      <c r="Q156" s="60">
        <f t="shared" si="10"/>
        <v>271.29599999999999</v>
      </c>
      <c r="R156" s="60">
        <f t="shared" si="11"/>
        <v>131.41999999999999</v>
      </c>
      <c r="S156" s="60">
        <f t="shared" si="12"/>
        <v>139.876</v>
      </c>
      <c r="T156" s="65">
        <f t="shared" si="13"/>
        <v>0.51558445388063223</v>
      </c>
    </row>
    <row r="157" spans="1:20">
      <c r="A157" s="41">
        <f t="shared" si="14"/>
        <v>3</v>
      </c>
      <c r="B157" s="6" t="s">
        <v>298</v>
      </c>
      <c r="C157" s="20">
        <v>45729</v>
      </c>
      <c r="D157" s="6" t="s">
        <v>129</v>
      </c>
      <c r="E157" s="6" t="s">
        <v>103</v>
      </c>
      <c r="F157" s="6" t="s">
        <v>97</v>
      </c>
      <c r="G157" s="6" t="s">
        <v>123</v>
      </c>
      <c r="H157" s="6" t="s">
        <v>124</v>
      </c>
      <c r="I157" s="6" t="s">
        <v>125</v>
      </c>
      <c r="J157" s="25">
        <v>1</v>
      </c>
      <c r="K157" s="21">
        <v>746.25</v>
      </c>
      <c r="L157" s="63">
        <v>0.1</v>
      </c>
      <c r="M157" s="21">
        <v>368.44</v>
      </c>
      <c r="N157" s="6" t="s">
        <v>94</v>
      </c>
      <c r="O157" s="60">
        <f>Vendas2025[[#This Row],[Quantidade]]*Vendas2025[[#This Row],[Preço_Unitário_R$]]</f>
        <v>746.25</v>
      </c>
      <c r="P157" s="60">
        <f>Vendas2025[[#This Row],[Receita_Bruta_R$]]*Vendas2025[[#This Row],[Desconto_pct]]</f>
        <v>74.625</v>
      </c>
      <c r="Q157" s="60">
        <f t="shared" si="10"/>
        <v>671.625</v>
      </c>
      <c r="R157" s="60">
        <f t="shared" si="11"/>
        <v>368.44</v>
      </c>
      <c r="S157" s="60">
        <f t="shared" si="12"/>
        <v>303.185</v>
      </c>
      <c r="T157" s="65">
        <f t="shared" si="13"/>
        <v>0.45142006327935974</v>
      </c>
    </row>
    <row r="158" spans="1:20">
      <c r="A158" s="41">
        <f t="shared" si="14"/>
        <v>3</v>
      </c>
      <c r="B158" s="6" t="s">
        <v>299</v>
      </c>
      <c r="C158" s="20">
        <v>45730</v>
      </c>
      <c r="D158" s="6" t="s">
        <v>88</v>
      </c>
      <c r="E158" s="6" t="s">
        <v>89</v>
      </c>
      <c r="F158" s="6" t="s">
        <v>97</v>
      </c>
      <c r="G158" s="6" t="s">
        <v>115</v>
      </c>
      <c r="H158" s="6" t="s">
        <v>124</v>
      </c>
      <c r="I158" s="6" t="s">
        <v>125</v>
      </c>
      <c r="J158" s="25">
        <v>1</v>
      </c>
      <c r="K158" s="21">
        <v>665.45</v>
      </c>
      <c r="L158" s="63">
        <v>0.15</v>
      </c>
      <c r="M158" s="21">
        <v>318.44</v>
      </c>
      <c r="N158" s="6" t="s">
        <v>94</v>
      </c>
      <c r="O158" s="60">
        <f>Vendas2025[[#This Row],[Quantidade]]*Vendas2025[[#This Row],[Preço_Unitário_R$]]</f>
        <v>665.45</v>
      </c>
      <c r="P158" s="60">
        <f>Vendas2025[[#This Row],[Receita_Bruta_R$]]*Vendas2025[[#This Row],[Desconto_pct]]</f>
        <v>99.81750000000001</v>
      </c>
      <c r="Q158" s="60">
        <f t="shared" si="10"/>
        <v>565.63250000000005</v>
      </c>
      <c r="R158" s="60">
        <f t="shared" si="11"/>
        <v>318.44</v>
      </c>
      <c r="S158" s="60">
        <f t="shared" si="12"/>
        <v>247.19250000000005</v>
      </c>
      <c r="T158" s="65">
        <f t="shared" si="13"/>
        <v>0.43701961962935304</v>
      </c>
    </row>
    <row r="159" spans="1:20">
      <c r="A159" s="41">
        <f t="shared" si="14"/>
        <v>3</v>
      </c>
      <c r="B159" s="6" t="s">
        <v>300</v>
      </c>
      <c r="C159" s="20">
        <v>45730</v>
      </c>
      <c r="D159" s="6" t="s">
        <v>132</v>
      </c>
      <c r="E159" s="6" t="s">
        <v>89</v>
      </c>
      <c r="F159" s="6" t="s">
        <v>122</v>
      </c>
      <c r="G159" s="6" t="s">
        <v>154</v>
      </c>
      <c r="H159" s="6" t="s">
        <v>106</v>
      </c>
      <c r="I159" s="6" t="s">
        <v>116</v>
      </c>
      <c r="J159" s="25">
        <v>1</v>
      </c>
      <c r="K159" s="21">
        <v>484.88</v>
      </c>
      <c r="L159" s="63">
        <v>0.1</v>
      </c>
      <c r="M159" s="21">
        <v>266.35000000000002</v>
      </c>
      <c r="N159" s="6" t="s">
        <v>94</v>
      </c>
      <c r="O159" s="60">
        <f>Vendas2025[[#This Row],[Quantidade]]*Vendas2025[[#This Row],[Preço_Unitário_R$]]</f>
        <v>484.88</v>
      </c>
      <c r="P159" s="60">
        <f>Vendas2025[[#This Row],[Receita_Bruta_R$]]*Vendas2025[[#This Row],[Desconto_pct]]</f>
        <v>48.488</v>
      </c>
      <c r="Q159" s="60">
        <f t="shared" si="10"/>
        <v>436.392</v>
      </c>
      <c r="R159" s="60">
        <f t="shared" si="11"/>
        <v>266.35000000000002</v>
      </c>
      <c r="S159" s="60">
        <f t="shared" si="12"/>
        <v>170.04199999999997</v>
      </c>
      <c r="T159" s="65">
        <f t="shared" si="13"/>
        <v>0.38965425580670582</v>
      </c>
    </row>
    <row r="160" spans="1:20">
      <c r="A160" s="41">
        <f t="shared" si="14"/>
        <v>3</v>
      </c>
      <c r="B160" s="6" t="s">
        <v>301</v>
      </c>
      <c r="C160" s="20">
        <v>45730</v>
      </c>
      <c r="D160" s="6" t="s">
        <v>129</v>
      </c>
      <c r="E160" s="6" t="s">
        <v>103</v>
      </c>
      <c r="F160" s="6" t="s">
        <v>122</v>
      </c>
      <c r="G160" s="6" t="s">
        <v>115</v>
      </c>
      <c r="H160" s="6" t="s">
        <v>106</v>
      </c>
      <c r="I160" s="6" t="s">
        <v>170</v>
      </c>
      <c r="J160" s="25">
        <v>2</v>
      </c>
      <c r="K160" s="21">
        <v>515.1</v>
      </c>
      <c r="L160" s="63">
        <v>0.15</v>
      </c>
      <c r="M160" s="21">
        <v>268.51</v>
      </c>
      <c r="N160" s="6" t="s">
        <v>94</v>
      </c>
      <c r="O160" s="60">
        <f>Vendas2025[[#This Row],[Quantidade]]*Vendas2025[[#This Row],[Preço_Unitário_R$]]</f>
        <v>1030.2</v>
      </c>
      <c r="P160" s="60">
        <f>Vendas2025[[#This Row],[Receita_Bruta_R$]]*Vendas2025[[#This Row],[Desconto_pct]]</f>
        <v>154.53</v>
      </c>
      <c r="Q160" s="60">
        <f t="shared" si="10"/>
        <v>875.67000000000007</v>
      </c>
      <c r="R160" s="60">
        <f t="shared" si="11"/>
        <v>537.02</v>
      </c>
      <c r="S160" s="60">
        <f t="shared" si="12"/>
        <v>338.65000000000009</v>
      </c>
      <c r="T160" s="65">
        <f t="shared" si="13"/>
        <v>0.38673244487078473</v>
      </c>
    </row>
    <row r="161" spans="1:20">
      <c r="A161" s="41">
        <f t="shared" si="14"/>
        <v>3</v>
      </c>
      <c r="B161" s="6" t="s">
        <v>302</v>
      </c>
      <c r="C161" s="20">
        <v>45731</v>
      </c>
      <c r="D161" s="6" t="s">
        <v>136</v>
      </c>
      <c r="E161" s="6" t="s">
        <v>137</v>
      </c>
      <c r="F161" s="6" t="s">
        <v>90</v>
      </c>
      <c r="G161" s="6" t="s">
        <v>115</v>
      </c>
      <c r="H161" s="6" t="s">
        <v>99</v>
      </c>
      <c r="I161" s="6" t="s">
        <v>163</v>
      </c>
      <c r="J161" s="25">
        <v>2</v>
      </c>
      <c r="K161" s="21">
        <v>1360.51</v>
      </c>
      <c r="L161" s="63">
        <v>0.1</v>
      </c>
      <c r="M161" s="21">
        <v>962.99</v>
      </c>
      <c r="N161" s="6" t="s">
        <v>94</v>
      </c>
      <c r="O161" s="60">
        <f>Vendas2025[[#This Row],[Quantidade]]*Vendas2025[[#This Row],[Preço_Unitário_R$]]</f>
        <v>2721.02</v>
      </c>
      <c r="P161" s="60">
        <f>Vendas2025[[#This Row],[Receita_Bruta_R$]]*Vendas2025[[#This Row],[Desconto_pct]]</f>
        <v>272.10200000000003</v>
      </c>
      <c r="Q161" s="60">
        <f t="shared" si="10"/>
        <v>2448.9180000000001</v>
      </c>
      <c r="R161" s="60">
        <f t="shared" si="11"/>
        <v>1925.98</v>
      </c>
      <c r="S161" s="60">
        <f t="shared" si="12"/>
        <v>522.9380000000001</v>
      </c>
      <c r="T161" s="65">
        <f t="shared" si="13"/>
        <v>0.21353838715710369</v>
      </c>
    </row>
    <row r="162" spans="1:20">
      <c r="A162" s="41">
        <f t="shared" si="14"/>
        <v>3</v>
      </c>
      <c r="B162" s="6" t="s">
        <v>303</v>
      </c>
      <c r="C162" s="20">
        <v>45731</v>
      </c>
      <c r="D162" s="6" t="s">
        <v>118</v>
      </c>
      <c r="E162" s="6" t="s">
        <v>114</v>
      </c>
      <c r="F162" s="6" t="s">
        <v>97</v>
      </c>
      <c r="G162" s="6" t="s">
        <v>177</v>
      </c>
      <c r="H162" s="6" t="s">
        <v>119</v>
      </c>
      <c r="I162" s="6" t="s">
        <v>138</v>
      </c>
      <c r="J162" s="25">
        <v>1</v>
      </c>
      <c r="K162" s="21">
        <v>143.47999999999999</v>
      </c>
      <c r="L162" s="63">
        <v>0.08</v>
      </c>
      <c r="M162" s="21">
        <v>57.87</v>
      </c>
      <c r="N162" s="6" t="s">
        <v>94</v>
      </c>
      <c r="O162" s="60">
        <f>Vendas2025[[#This Row],[Quantidade]]*Vendas2025[[#This Row],[Preço_Unitário_R$]]</f>
        <v>143.47999999999999</v>
      </c>
      <c r="P162" s="60">
        <f>Vendas2025[[#This Row],[Receita_Bruta_R$]]*Vendas2025[[#This Row],[Desconto_pct]]</f>
        <v>11.478399999999999</v>
      </c>
      <c r="Q162" s="60">
        <f t="shared" si="10"/>
        <v>132.0016</v>
      </c>
      <c r="R162" s="60">
        <f t="shared" si="11"/>
        <v>57.87</v>
      </c>
      <c r="S162" s="60">
        <f t="shared" si="12"/>
        <v>74.131599999999992</v>
      </c>
      <c r="T162" s="65">
        <f t="shared" si="13"/>
        <v>0.56159622307608392</v>
      </c>
    </row>
    <row r="163" spans="1:20">
      <c r="A163" s="41">
        <f t="shared" si="14"/>
        <v>3</v>
      </c>
      <c r="B163" s="6" t="s">
        <v>304</v>
      </c>
      <c r="C163" s="20">
        <v>45731</v>
      </c>
      <c r="D163" s="6" t="s">
        <v>88</v>
      </c>
      <c r="E163" s="6" t="s">
        <v>89</v>
      </c>
      <c r="F163" s="6" t="s">
        <v>104</v>
      </c>
      <c r="G163" s="6" t="s">
        <v>91</v>
      </c>
      <c r="H163" s="6" t="s">
        <v>99</v>
      </c>
      <c r="I163" s="6" t="s">
        <v>163</v>
      </c>
      <c r="J163" s="25">
        <v>1</v>
      </c>
      <c r="K163" s="21">
        <v>1250.6199999999999</v>
      </c>
      <c r="L163" s="63">
        <v>0.03</v>
      </c>
      <c r="M163" s="21">
        <v>896.71</v>
      </c>
      <c r="N163" s="6" t="s">
        <v>94</v>
      </c>
      <c r="O163" s="60">
        <f>Vendas2025[[#This Row],[Quantidade]]*Vendas2025[[#This Row],[Preço_Unitário_R$]]</f>
        <v>1250.6199999999999</v>
      </c>
      <c r="P163" s="60">
        <f>Vendas2025[[#This Row],[Receita_Bruta_R$]]*Vendas2025[[#This Row],[Desconto_pct]]</f>
        <v>37.518599999999992</v>
      </c>
      <c r="Q163" s="60">
        <f t="shared" si="10"/>
        <v>1213.1014</v>
      </c>
      <c r="R163" s="60">
        <f t="shared" si="11"/>
        <v>896.71</v>
      </c>
      <c r="S163" s="60">
        <f t="shared" si="12"/>
        <v>316.39139999999998</v>
      </c>
      <c r="T163" s="65">
        <f t="shared" si="13"/>
        <v>0.2608119980736977</v>
      </c>
    </row>
    <row r="164" spans="1:20">
      <c r="A164" s="41">
        <f t="shared" si="14"/>
        <v>3</v>
      </c>
      <c r="B164" s="6" t="s">
        <v>305</v>
      </c>
      <c r="C164" s="20">
        <v>45732</v>
      </c>
      <c r="D164" s="6" t="s">
        <v>132</v>
      </c>
      <c r="E164" s="6" t="s">
        <v>89</v>
      </c>
      <c r="F164" s="6" t="s">
        <v>97</v>
      </c>
      <c r="G164" s="6" t="s">
        <v>140</v>
      </c>
      <c r="H164" s="6" t="s">
        <v>124</v>
      </c>
      <c r="I164" s="6" t="s">
        <v>125</v>
      </c>
      <c r="J164" s="25">
        <v>1</v>
      </c>
      <c r="K164" s="21">
        <v>674.24</v>
      </c>
      <c r="L164" s="63">
        <v>0</v>
      </c>
      <c r="M164" s="21">
        <v>322.48</v>
      </c>
      <c r="N164" s="6" t="s">
        <v>94</v>
      </c>
      <c r="O164" s="60">
        <f>Vendas2025[[#This Row],[Quantidade]]*Vendas2025[[#This Row],[Preço_Unitário_R$]]</f>
        <v>674.24</v>
      </c>
      <c r="P164" s="60">
        <f>Vendas2025[[#This Row],[Receita_Bruta_R$]]*Vendas2025[[#This Row],[Desconto_pct]]</f>
        <v>0</v>
      </c>
      <c r="Q164" s="60">
        <f t="shared" si="10"/>
        <v>674.24</v>
      </c>
      <c r="R164" s="60">
        <f t="shared" si="11"/>
        <v>322.48</v>
      </c>
      <c r="S164" s="60">
        <f t="shared" si="12"/>
        <v>351.76</v>
      </c>
      <c r="T164" s="65">
        <f t="shared" si="13"/>
        <v>0.5217133364973896</v>
      </c>
    </row>
    <row r="165" spans="1:20">
      <c r="A165" s="41">
        <f t="shared" si="14"/>
        <v>3</v>
      </c>
      <c r="B165" s="6" t="s">
        <v>306</v>
      </c>
      <c r="C165" s="20">
        <v>45732</v>
      </c>
      <c r="D165" s="6" t="s">
        <v>113</v>
      </c>
      <c r="E165" s="6" t="s">
        <v>114</v>
      </c>
      <c r="F165" s="6" t="s">
        <v>90</v>
      </c>
      <c r="G165" s="6" t="s">
        <v>160</v>
      </c>
      <c r="H165" s="6" t="s">
        <v>106</v>
      </c>
      <c r="I165" s="6" t="s">
        <v>116</v>
      </c>
      <c r="J165" s="25">
        <v>1</v>
      </c>
      <c r="K165" s="21">
        <v>456.69</v>
      </c>
      <c r="L165" s="63">
        <v>0.2</v>
      </c>
      <c r="M165" s="21">
        <v>254.28</v>
      </c>
      <c r="N165" s="6" t="s">
        <v>94</v>
      </c>
      <c r="O165" s="60">
        <f>Vendas2025[[#This Row],[Quantidade]]*Vendas2025[[#This Row],[Preço_Unitário_R$]]</f>
        <v>456.69</v>
      </c>
      <c r="P165" s="60">
        <f>Vendas2025[[#This Row],[Receita_Bruta_R$]]*Vendas2025[[#This Row],[Desconto_pct]]</f>
        <v>91.338000000000008</v>
      </c>
      <c r="Q165" s="60">
        <f t="shared" si="10"/>
        <v>365.35199999999998</v>
      </c>
      <c r="R165" s="60">
        <f t="shared" si="11"/>
        <v>254.28</v>
      </c>
      <c r="S165" s="60">
        <f t="shared" si="12"/>
        <v>111.07199999999997</v>
      </c>
      <c r="T165" s="65">
        <f t="shared" si="13"/>
        <v>0.30401366353543974</v>
      </c>
    </row>
    <row r="166" spans="1:20">
      <c r="A166" s="41">
        <f t="shared" si="14"/>
        <v>3</v>
      </c>
      <c r="B166" s="6" t="s">
        <v>307</v>
      </c>
      <c r="C166" s="20">
        <v>45732</v>
      </c>
      <c r="D166" s="6" t="s">
        <v>113</v>
      </c>
      <c r="E166" s="6" t="s">
        <v>114</v>
      </c>
      <c r="F166" s="6" t="s">
        <v>122</v>
      </c>
      <c r="G166" s="6" t="s">
        <v>91</v>
      </c>
      <c r="H166" s="6" t="s">
        <v>119</v>
      </c>
      <c r="I166" s="6" t="s">
        <v>155</v>
      </c>
      <c r="J166" s="25">
        <v>1</v>
      </c>
      <c r="K166" s="21">
        <v>330.54</v>
      </c>
      <c r="L166" s="63">
        <v>0.05</v>
      </c>
      <c r="M166" s="21">
        <v>187.2</v>
      </c>
      <c r="N166" s="6" t="s">
        <v>94</v>
      </c>
      <c r="O166" s="60">
        <f>Vendas2025[[#This Row],[Quantidade]]*Vendas2025[[#This Row],[Preço_Unitário_R$]]</f>
        <v>330.54</v>
      </c>
      <c r="P166" s="60">
        <f>Vendas2025[[#This Row],[Receita_Bruta_R$]]*Vendas2025[[#This Row],[Desconto_pct]]</f>
        <v>16.527000000000001</v>
      </c>
      <c r="Q166" s="60">
        <f t="shared" si="10"/>
        <v>314.01300000000003</v>
      </c>
      <c r="R166" s="60">
        <f t="shared" si="11"/>
        <v>187.2</v>
      </c>
      <c r="S166" s="60">
        <f t="shared" si="12"/>
        <v>126.81300000000005</v>
      </c>
      <c r="T166" s="65">
        <f t="shared" si="13"/>
        <v>0.40384633757201144</v>
      </c>
    </row>
    <row r="167" spans="1:20">
      <c r="A167" s="41">
        <f t="shared" si="14"/>
        <v>3</v>
      </c>
      <c r="B167" s="6" t="s">
        <v>308</v>
      </c>
      <c r="C167" s="20">
        <v>45732</v>
      </c>
      <c r="D167" s="6" t="s">
        <v>136</v>
      </c>
      <c r="E167" s="6" t="s">
        <v>137</v>
      </c>
      <c r="F167" s="6" t="s">
        <v>122</v>
      </c>
      <c r="G167" s="6" t="s">
        <v>123</v>
      </c>
      <c r="H167" s="6" t="s">
        <v>92</v>
      </c>
      <c r="I167" s="6" t="s">
        <v>144</v>
      </c>
      <c r="J167" s="25">
        <v>1</v>
      </c>
      <c r="K167" s="21">
        <v>157.96</v>
      </c>
      <c r="L167" s="63">
        <v>0.2</v>
      </c>
      <c r="M167" s="21">
        <v>53.81</v>
      </c>
      <c r="N167" s="6" t="s">
        <v>94</v>
      </c>
      <c r="O167" s="60">
        <f>Vendas2025[[#This Row],[Quantidade]]*Vendas2025[[#This Row],[Preço_Unitário_R$]]</f>
        <v>157.96</v>
      </c>
      <c r="P167" s="60">
        <f>Vendas2025[[#This Row],[Receita_Bruta_R$]]*Vendas2025[[#This Row],[Desconto_pct]]</f>
        <v>31.592000000000002</v>
      </c>
      <c r="Q167" s="60">
        <f t="shared" si="10"/>
        <v>126.36800000000001</v>
      </c>
      <c r="R167" s="60">
        <f t="shared" si="11"/>
        <v>53.81</v>
      </c>
      <c r="S167" s="60">
        <f t="shared" si="12"/>
        <v>72.558000000000007</v>
      </c>
      <c r="T167" s="65">
        <f t="shared" si="13"/>
        <v>0.57418017219549256</v>
      </c>
    </row>
    <row r="168" spans="1:20">
      <c r="A168" s="41">
        <f t="shared" si="14"/>
        <v>3</v>
      </c>
      <c r="B168" s="6" t="s">
        <v>309</v>
      </c>
      <c r="C168" s="20">
        <v>45733</v>
      </c>
      <c r="D168" s="6" t="s">
        <v>132</v>
      </c>
      <c r="E168" s="6" t="s">
        <v>89</v>
      </c>
      <c r="F168" s="6" t="s">
        <v>90</v>
      </c>
      <c r="G168" s="6" t="s">
        <v>177</v>
      </c>
      <c r="H168" s="6" t="s">
        <v>124</v>
      </c>
      <c r="I168" s="6" t="s">
        <v>193</v>
      </c>
      <c r="J168" s="25">
        <v>1</v>
      </c>
      <c r="K168" s="21">
        <v>395.75</v>
      </c>
      <c r="L168" s="63">
        <v>0.1</v>
      </c>
      <c r="M168" s="21">
        <v>170.71</v>
      </c>
      <c r="N168" s="6" t="s">
        <v>94</v>
      </c>
      <c r="O168" s="60">
        <f>Vendas2025[[#This Row],[Quantidade]]*Vendas2025[[#This Row],[Preço_Unitário_R$]]</f>
        <v>395.75</v>
      </c>
      <c r="P168" s="60">
        <f>Vendas2025[[#This Row],[Receita_Bruta_R$]]*Vendas2025[[#This Row],[Desconto_pct]]</f>
        <v>39.575000000000003</v>
      </c>
      <c r="Q168" s="60">
        <f t="shared" si="10"/>
        <v>356.17500000000001</v>
      </c>
      <c r="R168" s="60">
        <f t="shared" si="11"/>
        <v>170.71</v>
      </c>
      <c r="S168" s="60">
        <f t="shared" si="12"/>
        <v>185.465</v>
      </c>
      <c r="T168" s="65">
        <f t="shared" si="13"/>
        <v>0.52071313258931706</v>
      </c>
    </row>
    <row r="169" spans="1:20">
      <c r="A169" s="41">
        <f t="shared" si="14"/>
        <v>3</v>
      </c>
      <c r="B169" s="6" t="s">
        <v>310</v>
      </c>
      <c r="C169" s="20">
        <v>45733</v>
      </c>
      <c r="D169" s="6" t="s">
        <v>132</v>
      </c>
      <c r="E169" s="6" t="s">
        <v>89</v>
      </c>
      <c r="F169" s="6" t="s">
        <v>90</v>
      </c>
      <c r="G169" s="6" t="s">
        <v>177</v>
      </c>
      <c r="H169" s="6" t="s">
        <v>124</v>
      </c>
      <c r="I169" s="6" t="s">
        <v>125</v>
      </c>
      <c r="J169" s="25">
        <v>2</v>
      </c>
      <c r="K169" s="21">
        <v>695.17</v>
      </c>
      <c r="L169" s="63">
        <v>0.25</v>
      </c>
      <c r="M169" s="21">
        <v>327.69</v>
      </c>
      <c r="N169" s="6" t="s">
        <v>94</v>
      </c>
      <c r="O169" s="60">
        <f>Vendas2025[[#This Row],[Quantidade]]*Vendas2025[[#This Row],[Preço_Unitário_R$]]</f>
        <v>1390.34</v>
      </c>
      <c r="P169" s="60">
        <f>Vendas2025[[#This Row],[Receita_Bruta_R$]]*Vendas2025[[#This Row],[Desconto_pct]]</f>
        <v>347.58499999999998</v>
      </c>
      <c r="Q169" s="60">
        <f t="shared" si="10"/>
        <v>1042.7549999999999</v>
      </c>
      <c r="R169" s="60">
        <f t="shared" si="11"/>
        <v>655.38</v>
      </c>
      <c r="S169" s="60">
        <f t="shared" si="12"/>
        <v>387.37499999999989</v>
      </c>
      <c r="T169" s="65">
        <f t="shared" si="13"/>
        <v>0.37149186529913542</v>
      </c>
    </row>
    <row r="170" spans="1:20">
      <c r="A170" s="41">
        <f t="shared" si="14"/>
        <v>3</v>
      </c>
      <c r="B170" s="6" t="s">
        <v>311</v>
      </c>
      <c r="C170" s="20">
        <v>45734</v>
      </c>
      <c r="D170" s="6" t="s">
        <v>129</v>
      </c>
      <c r="E170" s="6" t="s">
        <v>103</v>
      </c>
      <c r="F170" s="6" t="s">
        <v>97</v>
      </c>
      <c r="G170" s="6" t="s">
        <v>105</v>
      </c>
      <c r="H170" s="6" t="s">
        <v>119</v>
      </c>
      <c r="I170" s="6" t="s">
        <v>120</v>
      </c>
      <c r="J170" s="25">
        <v>1</v>
      </c>
      <c r="K170" s="21">
        <v>2173.89</v>
      </c>
      <c r="L170" s="63">
        <v>0</v>
      </c>
      <c r="M170" s="21">
        <v>1454.23</v>
      </c>
      <c r="N170" s="6" t="s">
        <v>94</v>
      </c>
      <c r="O170" s="60">
        <f>Vendas2025[[#This Row],[Quantidade]]*Vendas2025[[#This Row],[Preço_Unitário_R$]]</f>
        <v>2173.89</v>
      </c>
      <c r="P170" s="60">
        <f>Vendas2025[[#This Row],[Receita_Bruta_R$]]*Vendas2025[[#This Row],[Desconto_pct]]</f>
        <v>0</v>
      </c>
      <c r="Q170" s="60">
        <f t="shared" si="10"/>
        <v>2173.89</v>
      </c>
      <c r="R170" s="60">
        <f t="shared" si="11"/>
        <v>1454.23</v>
      </c>
      <c r="S170" s="60">
        <f t="shared" si="12"/>
        <v>719.65999999999985</v>
      </c>
      <c r="T170" s="65">
        <f t="shared" si="13"/>
        <v>0.33104710909935642</v>
      </c>
    </row>
    <row r="171" spans="1:20">
      <c r="A171" s="41">
        <f t="shared" si="14"/>
        <v>3</v>
      </c>
      <c r="B171" s="6" t="s">
        <v>312</v>
      </c>
      <c r="C171" s="20">
        <v>45734</v>
      </c>
      <c r="D171" s="6" t="s">
        <v>113</v>
      </c>
      <c r="E171" s="6" t="s">
        <v>114</v>
      </c>
      <c r="F171" s="6" t="s">
        <v>97</v>
      </c>
      <c r="G171" s="6" t="s">
        <v>177</v>
      </c>
      <c r="H171" s="6" t="s">
        <v>99</v>
      </c>
      <c r="I171" s="6" t="s">
        <v>100</v>
      </c>
      <c r="J171" s="25">
        <v>1</v>
      </c>
      <c r="K171" s="21">
        <v>429.21</v>
      </c>
      <c r="L171" s="63">
        <v>0.05</v>
      </c>
      <c r="M171" s="21">
        <v>258.7</v>
      </c>
      <c r="N171" s="6" t="s">
        <v>94</v>
      </c>
      <c r="O171" s="60">
        <f>Vendas2025[[#This Row],[Quantidade]]*Vendas2025[[#This Row],[Preço_Unitário_R$]]</f>
        <v>429.21</v>
      </c>
      <c r="P171" s="60">
        <f>Vendas2025[[#This Row],[Receita_Bruta_R$]]*Vendas2025[[#This Row],[Desconto_pct]]</f>
        <v>21.4605</v>
      </c>
      <c r="Q171" s="60">
        <f t="shared" si="10"/>
        <v>407.74949999999995</v>
      </c>
      <c r="R171" s="60">
        <f t="shared" si="11"/>
        <v>258.7</v>
      </c>
      <c r="S171" s="60">
        <f t="shared" si="12"/>
        <v>149.04949999999997</v>
      </c>
      <c r="T171" s="65">
        <f t="shared" si="13"/>
        <v>0.36554183389556572</v>
      </c>
    </row>
    <row r="172" spans="1:20">
      <c r="A172" s="41">
        <f t="shared" si="14"/>
        <v>3</v>
      </c>
      <c r="B172" s="6" t="s">
        <v>313</v>
      </c>
      <c r="C172" s="20">
        <v>45734</v>
      </c>
      <c r="D172" s="6" t="s">
        <v>118</v>
      </c>
      <c r="E172" s="6" t="s">
        <v>114</v>
      </c>
      <c r="F172" s="6" t="s">
        <v>122</v>
      </c>
      <c r="G172" s="6" t="s">
        <v>151</v>
      </c>
      <c r="H172" s="6" t="s">
        <v>99</v>
      </c>
      <c r="I172" s="6" t="s">
        <v>130</v>
      </c>
      <c r="J172" s="25">
        <v>2</v>
      </c>
      <c r="K172" s="21">
        <v>238.7</v>
      </c>
      <c r="L172" s="63">
        <v>0.2</v>
      </c>
      <c r="M172" s="21">
        <v>113.23</v>
      </c>
      <c r="N172" s="6" t="s">
        <v>94</v>
      </c>
      <c r="O172" s="60">
        <f>Vendas2025[[#This Row],[Quantidade]]*Vendas2025[[#This Row],[Preço_Unitário_R$]]</f>
        <v>477.4</v>
      </c>
      <c r="P172" s="60">
        <f>Vendas2025[[#This Row],[Receita_Bruta_R$]]*Vendas2025[[#This Row],[Desconto_pct]]</f>
        <v>95.48</v>
      </c>
      <c r="Q172" s="60">
        <f t="shared" si="10"/>
        <v>381.91999999999996</v>
      </c>
      <c r="R172" s="60">
        <f t="shared" si="11"/>
        <v>226.46</v>
      </c>
      <c r="S172" s="60">
        <f t="shared" si="12"/>
        <v>155.45999999999995</v>
      </c>
      <c r="T172" s="65">
        <f t="shared" si="13"/>
        <v>0.40704859656472553</v>
      </c>
    </row>
    <row r="173" spans="1:20">
      <c r="A173" s="41">
        <f t="shared" si="14"/>
        <v>3</v>
      </c>
      <c r="B173" s="6" t="s">
        <v>314</v>
      </c>
      <c r="C173" s="20">
        <v>45734</v>
      </c>
      <c r="D173" s="6" t="s">
        <v>129</v>
      </c>
      <c r="E173" s="6" t="s">
        <v>103</v>
      </c>
      <c r="F173" s="6" t="s">
        <v>122</v>
      </c>
      <c r="G173" s="6" t="s">
        <v>154</v>
      </c>
      <c r="H173" s="6" t="s">
        <v>106</v>
      </c>
      <c r="I173" s="6" t="s">
        <v>107</v>
      </c>
      <c r="J173" s="25">
        <v>1</v>
      </c>
      <c r="K173" s="21">
        <v>719.68</v>
      </c>
      <c r="L173" s="63">
        <v>0.05</v>
      </c>
      <c r="M173" s="21">
        <v>409.51</v>
      </c>
      <c r="N173" s="6" t="s">
        <v>94</v>
      </c>
      <c r="O173" s="60">
        <f>Vendas2025[[#This Row],[Quantidade]]*Vendas2025[[#This Row],[Preço_Unitário_R$]]</f>
        <v>719.68</v>
      </c>
      <c r="P173" s="60">
        <f>Vendas2025[[#This Row],[Receita_Bruta_R$]]*Vendas2025[[#This Row],[Desconto_pct]]</f>
        <v>35.984000000000002</v>
      </c>
      <c r="Q173" s="60">
        <f t="shared" si="10"/>
        <v>683.69599999999991</v>
      </c>
      <c r="R173" s="60">
        <f t="shared" si="11"/>
        <v>409.51</v>
      </c>
      <c r="S173" s="60">
        <f t="shared" si="12"/>
        <v>274.18599999999992</v>
      </c>
      <c r="T173" s="65">
        <f t="shared" si="13"/>
        <v>0.40103496290749097</v>
      </c>
    </row>
    <row r="174" spans="1:20">
      <c r="A174" s="41">
        <f t="shared" si="14"/>
        <v>3</v>
      </c>
      <c r="B174" s="6" t="s">
        <v>315</v>
      </c>
      <c r="C174" s="20">
        <v>45734</v>
      </c>
      <c r="D174" s="6" t="s">
        <v>136</v>
      </c>
      <c r="E174" s="6" t="s">
        <v>137</v>
      </c>
      <c r="F174" s="6" t="s">
        <v>104</v>
      </c>
      <c r="G174" s="6" t="s">
        <v>98</v>
      </c>
      <c r="H174" s="6" t="s">
        <v>124</v>
      </c>
      <c r="I174" s="6" t="s">
        <v>193</v>
      </c>
      <c r="J174" s="25">
        <v>1</v>
      </c>
      <c r="K174" s="21">
        <v>391.81</v>
      </c>
      <c r="L174" s="63">
        <v>0</v>
      </c>
      <c r="M174" s="21">
        <v>176.75</v>
      </c>
      <c r="N174" s="6" t="s">
        <v>94</v>
      </c>
      <c r="O174" s="60">
        <f>Vendas2025[[#This Row],[Quantidade]]*Vendas2025[[#This Row],[Preço_Unitário_R$]]</f>
        <v>391.81</v>
      </c>
      <c r="P174" s="60">
        <f>Vendas2025[[#This Row],[Receita_Bruta_R$]]*Vendas2025[[#This Row],[Desconto_pct]]</f>
        <v>0</v>
      </c>
      <c r="Q174" s="60">
        <f t="shared" si="10"/>
        <v>391.81</v>
      </c>
      <c r="R174" s="60">
        <f t="shared" si="11"/>
        <v>176.75</v>
      </c>
      <c r="S174" s="60">
        <f t="shared" si="12"/>
        <v>215.06</v>
      </c>
      <c r="T174" s="65">
        <f t="shared" si="13"/>
        <v>0.54888849187105992</v>
      </c>
    </row>
    <row r="175" spans="1:20">
      <c r="A175" s="41">
        <f t="shared" si="14"/>
        <v>3</v>
      </c>
      <c r="B175" s="6" t="s">
        <v>316</v>
      </c>
      <c r="C175" s="20">
        <v>45735</v>
      </c>
      <c r="D175" s="6" t="s">
        <v>132</v>
      </c>
      <c r="E175" s="6" t="s">
        <v>89</v>
      </c>
      <c r="F175" s="6" t="s">
        <v>90</v>
      </c>
      <c r="G175" s="6" t="s">
        <v>177</v>
      </c>
      <c r="H175" s="6" t="s">
        <v>124</v>
      </c>
      <c r="I175" s="6" t="s">
        <v>193</v>
      </c>
      <c r="J175" s="25">
        <v>1</v>
      </c>
      <c r="K175" s="21">
        <v>379.95</v>
      </c>
      <c r="L175" s="63">
        <v>0.05</v>
      </c>
      <c r="M175" s="21">
        <v>162.44999999999999</v>
      </c>
      <c r="N175" s="6" t="s">
        <v>94</v>
      </c>
      <c r="O175" s="60">
        <f>Vendas2025[[#This Row],[Quantidade]]*Vendas2025[[#This Row],[Preço_Unitário_R$]]</f>
        <v>379.95</v>
      </c>
      <c r="P175" s="60">
        <f>Vendas2025[[#This Row],[Receita_Bruta_R$]]*Vendas2025[[#This Row],[Desconto_pct]]</f>
        <v>18.997499999999999</v>
      </c>
      <c r="Q175" s="60">
        <f t="shared" si="10"/>
        <v>360.95249999999999</v>
      </c>
      <c r="R175" s="60">
        <f t="shared" si="11"/>
        <v>162.44999999999999</v>
      </c>
      <c r="S175" s="60">
        <f t="shared" si="12"/>
        <v>198.5025</v>
      </c>
      <c r="T175" s="65">
        <f t="shared" si="13"/>
        <v>0.54994078168180027</v>
      </c>
    </row>
    <row r="176" spans="1:20">
      <c r="A176" s="41">
        <f t="shared" si="14"/>
        <v>3</v>
      </c>
      <c r="B176" s="6" t="s">
        <v>317</v>
      </c>
      <c r="C176" s="20">
        <v>45735</v>
      </c>
      <c r="D176" s="6" t="s">
        <v>136</v>
      </c>
      <c r="E176" s="6" t="s">
        <v>137</v>
      </c>
      <c r="F176" s="6" t="s">
        <v>97</v>
      </c>
      <c r="G176" s="6" t="s">
        <v>98</v>
      </c>
      <c r="H176" s="6" t="s">
        <v>92</v>
      </c>
      <c r="I176" s="6" t="s">
        <v>134</v>
      </c>
      <c r="J176" s="25">
        <v>1</v>
      </c>
      <c r="K176" s="21">
        <v>461.22</v>
      </c>
      <c r="L176" s="63">
        <v>0.08</v>
      </c>
      <c r="M176" s="21">
        <v>247.04</v>
      </c>
      <c r="N176" s="6" t="s">
        <v>94</v>
      </c>
      <c r="O176" s="60">
        <f>Vendas2025[[#This Row],[Quantidade]]*Vendas2025[[#This Row],[Preço_Unitário_R$]]</f>
        <v>461.22</v>
      </c>
      <c r="P176" s="60">
        <f>Vendas2025[[#This Row],[Receita_Bruta_R$]]*Vendas2025[[#This Row],[Desconto_pct]]</f>
        <v>36.897600000000004</v>
      </c>
      <c r="Q176" s="60">
        <f t="shared" si="10"/>
        <v>424.32240000000002</v>
      </c>
      <c r="R176" s="60">
        <f t="shared" si="11"/>
        <v>247.04</v>
      </c>
      <c r="S176" s="60">
        <f t="shared" si="12"/>
        <v>177.28240000000002</v>
      </c>
      <c r="T176" s="65">
        <f t="shared" si="13"/>
        <v>0.41780118136586714</v>
      </c>
    </row>
    <row r="177" spans="1:20">
      <c r="A177" s="41">
        <f t="shared" si="14"/>
        <v>3</v>
      </c>
      <c r="B177" s="6" t="s">
        <v>318</v>
      </c>
      <c r="C177" s="20">
        <v>45735</v>
      </c>
      <c r="D177" s="6" t="s">
        <v>118</v>
      </c>
      <c r="E177" s="6" t="s">
        <v>114</v>
      </c>
      <c r="F177" s="6" t="s">
        <v>122</v>
      </c>
      <c r="G177" s="6" t="s">
        <v>127</v>
      </c>
      <c r="H177" s="6" t="s">
        <v>106</v>
      </c>
      <c r="I177" s="6" t="s">
        <v>116</v>
      </c>
      <c r="J177" s="25">
        <v>1</v>
      </c>
      <c r="K177" s="21">
        <v>475.04</v>
      </c>
      <c r="L177" s="63">
        <v>0.2</v>
      </c>
      <c r="M177" s="21">
        <v>266.02999999999997</v>
      </c>
      <c r="N177" s="6" t="s">
        <v>94</v>
      </c>
      <c r="O177" s="60">
        <f>Vendas2025[[#This Row],[Quantidade]]*Vendas2025[[#This Row],[Preço_Unitário_R$]]</f>
        <v>475.04</v>
      </c>
      <c r="P177" s="60">
        <f>Vendas2025[[#This Row],[Receita_Bruta_R$]]*Vendas2025[[#This Row],[Desconto_pct]]</f>
        <v>95.00800000000001</v>
      </c>
      <c r="Q177" s="60">
        <f t="shared" si="10"/>
        <v>380.03200000000004</v>
      </c>
      <c r="R177" s="60">
        <f t="shared" si="11"/>
        <v>266.02999999999997</v>
      </c>
      <c r="S177" s="60">
        <f t="shared" si="12"/>
        <v>114.00200000000007</v>
      </c>
      <c r="T177" s="65">
        <f t="shared" si="13"/>
        <v>0.29998000168406885</v>
      </c>
    </row>
    <row r="178" spans="1:20">
      <c r="A178" s="41">
        <f t="shared" si="14"/>
        <v>3</v>
      </c>
      <c r="B178" s="6" t="s">
        <v>319</v>
      </c>
      <c r="C178" s="20">
        <v>45735</v>
      </c>
      <c r="D178" s="6" t="s">
        <v>102</v>
      </c>
      <c r="E178" s="6" t="s">
        <v>103</v>
      </c>
      <c r="F178" s="6" t="s">
        <v>122</v>
      </c>
      <c r="G178" s="6" t="s">
        <v>127</v>
      </c>
      <c r="H178" s="6" t="s">
        <v>119</v>
      </c>
      <c r="I178" s="6" t="s">
        <v>138</v>
      </c>
      <c r="J178" s="25">
        <v>1</v>
      </c>
      <c r="K178" s="21">
        <v>147.74</v>
      </c>
      <c r="L178" s="63">
        <v>0.05</v>
      </c>
      <c r="M178" s="21">
        <v>59.31</v>
      </c>
      <c r="N178" s="6" t="s">
        <v>94</v>
      </c>
      <c r="O178" s="60">
        <f>Vendas2025[[#This Row],[Quantidade]]*Vendas2025[[#This Row],[Preço_Unitário_R$]]</f>
        <v>147.74</v>
      </c>
      <c r="P178" s="60">
        <f>Vendas2025[[#This Row],[Receita_Bruta_R$]]*Vendas2025[[#This Row],[Desconto_pct]]</f>
        <v>7.3870000000000005</v>
      </c>
      <c r="Q178" s="60">
        <f t="shared" si="10"/>
        <v>140.35300000000001</v>
      </c>
      <c r="R178" s="60">
        <f t="shared" si="11"/>
        <v>59.31</v>
      </c>
      <c r="S178" s="60">
        <f t="shared" si="12"/>
        <v>81.043000000000006</v>
      </c>
      <c r="T178" s="65">
        <f t="shared" si="13"/>
        <v>0.57742264148254763</v>
      </c>
    </row>
    <row r="179" spans="1:20">
      <c r="A179" s="41">
        <f t="shared" si="14"/>
        <v>3</v>
      </c>
      <c r="B179" s="6" t="s">
        <v>320</v>
      </c>
      <c r="C179" s="20">
        <v>45736</v>
      </c>
      <c r="D179" s="6" t="s">
        <v>118</v>
      </c>
      <c r="E179" s="6" t="s">
        <v>114</v>
      </c>
      <c r="F179" s="6" t="s">
        <v>90</v>
      </c>
      <c r="G179" s="6" t="s">
        <v>123</v>
      </c>
      <c r="H179" s="6" t="s">
        <v>99</v>
      </c>
      <c r="I179" s="6" t="s">
        <v>100</v>
      </c>
      <c r="J179" s="25">
        <v>1</v>
      </c>
      <c r="K179" s="21">
        <v>434.14</v>
      </c>
      <c r="L179" s="63">
        <v>0.1</v>
      </c>
      <c r="M179" s="21">
        <v>242.44</v>
      </c>
      <c r="N179" s="6" t="s">
        <v>94</v>
      </c>
      <c r="O179" s="60">
        <f>Vendas2025[[#This Row],[Quantidade]]*Vendas2025[[#This Row],[Preço_Unitário_R$]]</f>
        <v>434.14</v>
      </c>
      <c r="P179" s="60">
        <f>Vendas2025[[#This Row],[Receita_Bruta_R$]]*Vendas2025[[#This Row],[Desconto_pct]]</f>
        <v>43.414000000000001</v>
      </c>
      <c r="Q179" s="60">
        <f t="shared" si="10"/>
        <v>390.726</v>
      </c>
      <c r="R179" s="60">
        <f t="shared" si="11"/>
        <v>242.44</v>
      </c>
      <c r="S179" s="60">
        <f t="shared" si="12"/>
        <v>148.286</v>
      </c>
      <c r="T179" s="65">
        <f t="shared" si="13"/>
        <v>0.37951403285166585</v>
      </c>
    </row>
    <row r="180" spans="1:20">
      <c r="A180" s="41">
        <f t="shared" si="14"/>
        <v>3</v>
      </c>
      <c r="B180" s="6" t="s">
        <v>321</v>
      </c>
      <c r="C180" s="20">
        <v>45736</v>
      </c>
      <c r="D180" s="6" t="s">
        <v>118</v>
      </c>
      <c r="E180" s="6" t="s">
        <v>114</v>
      </c>
      <c r="F180" s="6" t="s">
        <v>122</v>
      </c>
      <c r="G180" s="6" t="s">
        <v>105</v>
      </c>
      <c r="H180" s="6" t="s">
        <v>92</v>
      </c>
      <c r="I180" s="6" t="s">
        <v>144</v>
      </c>
      <c r="J180" s="25">
        <v>1</v>
      </c>
      <c r="K180" s="21">
        <v>146.26</v>
      </c>
      <c r="L180" s="63">
        <v>0.1</v>
      </c>
      <c r="M180" s="21">
        <v>49.16</v>
      </c>
      <c r="N180" s="6" t="s">
        <v>94</v>
      </c>
      <c r="O180" s="60">
        <f>Vendas2025[[#This Row],[Quantidade]]*Vendas2025[[#This Row],[Preço_Unitário_R$]]</f>
        <v>146.26</v>
      </c>
      <c r="P180" s="60">
        <f>Vendas2025[[#This Row],[Receita_Bruta_R$]]*Vendas2025[[#This Row],[Desconto_pct]]</f>
        <v>14.625999999999999</v>
      </c>
      <c r="Q180" s="60">
        <f t="shared" si="10"/>
        <v>131.63399999999999</v>
      </c>
      <c r="R180" s="60">
        <f t="shared" si="11"/>
        <v>49.16</v>
      </c>
      <c r="S180" s="60">
        <f t="shared" si="12"/>
        <v>82.47399999999999</v>
      </c>
      <c r="T180" s="65">
        <f t="shared" si="13"/>
        <v>0.62654025555707493</v>
      </c>
    </row>
    <row r="181" spans="1:20">
      <c r="A181" s="41">
        <f t="shared" si="14"/>
        <v>3</v>
      </c>
      <c r="B181" s="6" t="s">
        <v>322</v>
      </c>
      <c r="C181" s="20">
        <v>45736</v>
      </c>
      <c r="D181" s="6" t="s">
        <v>96</v>
      </c>
      <c r="E181" s="6" t="s">
        <v>89</v>
      </c>
      <c r="F181" s="6" t="s">
        <v>104</v>
      </c>
      <c r="G181" s="6" t="s">
        <v>151</v>
      </c>
      <c r="H181" s="6" t="s">
        <v>106</v>
      </c>
      <c r="I181" s="6" t="s">
        <v>116</v>
      </c>
      <c r="J181" s="25">
        <v>1</v>
      </c>
      <c r="K181" s="21">
        <v>458.53</v>
      </c>
      <c r="L181" s="63">
        <v>0.12</v>
      </c>
      <c r="M181" s="21">
        <v>257.73</v>
      </c>
      <c r="N181" s="6" t="s">
        <v>94</v>
      </c>
      <c r="O181" s="60">
        <f>Vendas2025[[#This Row],[Quantidade]]*Vendas2025[[#This Row],[Preço_Unitário_R$]]</f>
        <v>458.53</v>
      </c>
      <c r="P181" s="60">
        <f>Vendas2025[[#This Row],[Receita_Bruta_R$]]*Vendas2025[[#This Row],[Desconto_pct]]</f>
        <v>55.023599999999995</v>
      </c>
      <c r="Q181" s="60">
        <f t="shared" si="10"/>
        <v>403.50639999999999</v>
      </c>
      <c r="R181" s="60">
        <f t="shared" si="11"/>
        <v>257.73</v>
      </c>
      <c r="S181" s="60">
        <f t="shared" si="12"/>
        <v>145.77639999999997</v>
      </c>
      <c r="T181" s="65">
        <f t="shared" si="13"/>
        <v>0.3612740714893245</v>
      </c>
    </row>
    <row r="182" spans="1:20">
      <c r="A182" s="41">
        <f t="shared" si="14"/>
        <v>3</v>
      </c>
      <c r="B182" s="6" t="s">
        <v>323</v>
      </c>
      <c r="C182" s="20">
        <v>45737</v>
      </c>
      <c r="D182" s="6" t="s">
        <v>132</v>
      </c>
      <c r="E182" s="6" t="s">
        <v>89</v>
      </c>
      <c r="F182" s="6" t="s">
        <v>90</v>
      </c>
      <c r="G182" s="6" t="s">
        <v>110</v>
      </c>
      <c r="H182" s="6" t="s">
        <v>99</v>
      </c>
      <c r="I182" s="6" t="s">
        <v>163</v>
      </c>
      <c r="J182" s="25">
        <v>1</v>
      </c>
      <c r="K182" s="21">
        <v>1383.1</v>
      </c>
      <c r="L182" s="63">
        <v>0.1</v>
      </c>
      <c r="M182" s="21">
        <v>989.84</v>
      </c>
      <c r="N182" s="6" t="s">
        <v>94</v>
      </c>
      <c r="O182" s="60">
        <f>Vendas2025[[#This Row],[Quantidade]]*Vendas2025[[#This Row],[Preço_Unitário_R$]]</f>
        <v>1383.1</v>
      </c>
      <c r="P182" s="60">
        <f>Vendas2025[[#This Row],[Receita_Bruta_R$]]*Vendas2025[[#This Row],[Desconto_pct]]</f>
        <v>138.31</v>
      </c>
      <c r="Q182" s="60">
        <f t="shared" si="10"/>
        <v>1244.79</v>
      </c>
      <c r="R182" s="60">
        <f t="shared" si="11"/>
        <v>989.84</v>
      </c>
      <c r="S182" s="60">
        <f t="shared" si="12"/>
        <v>254.94999999999993</v>
      </c>
      <c r="T182" s="65">
        <f t="shared" si="13"/>
        <v>0.20481366334883791</v>
      </c>
    </row>
    <row r="183" spans="1:20">
      <c r="A183" s="41">
        <f t="shared" si="14"/>
        <v>3</v>
      </c>
      <c r="B183" s="6" t="s">
        <v>324</v>
      </c>
      <c r="C183" s="20">
        <v>45737</v>
      </c>
      <c r="D183" s="6" t="s">
        <v>132</v>
      </c>
      <c r="E183" s="6" t="s">
        <v>89</v>
      </c>
      <c r="F183" s="6" t="s">
        <v>97</v>
      </c>
      <c r="G183" s="6" t="s">
        <v>177</v>
      </c>
      <c r="H183" s="6" t="s">
        <v>92</v>
      </c>
      <c r="I183" s="6" t="s">
        <v>144</v>
      </c>
      <c r="J183" s="25">
        <v>2</v>
      </c>
      <c r="K183" s="21">
        <v>146.76</v>
      </c>
      <c r="L183" s="63">
        <v>0</v>
      </c>
      <c r="M183" s="21">
        <v>50.16</v>
      </c>
      <c r="N183" s="6" t="s">
        <v>108</v>
      </c>
      <c r="O183" s="60">
        <f>Vendas2025[[#This Row],[Quantidade]]*Vendas2025[[#This Row],[Preço_Unitário_R$]]</f>
        <v>293.52</v>
      </c>
      <c r="P183" s="60">
        <f>Vendas2025[[#This Row],[Receita_Bruta_R$]]*Vendas2025[[#This Row],[Desconto_pct]]</f>
        <v>0</v>
      </c>
      <c r="Q183" s="60">
        <f t="shared" si="10"/>
        <v>0</v>
      </c>
      <c r="R183" s="60">
        <f t="shared" si="11"/>
        <v>0</v>
      </c>
      <c r="S183" s="60">
        <f t="shared" si="12"/>
        <v>0</v>
      </c>
      <c r="T183" s="65" t="str">
        <f t="shared" si="13"/>
        <v/>
      </c>
    </row>
    <row r="184" spans="1:20">
      <c r="A184" s="41">
        <f t="shared" si="14"/>
        <v>3</v>
      </c>
      <c r="B184" s="6" t="s">
        <v>325</v>
      </c>
      <c r="C184" s="20">
        <v>45737</v>
      </c>
      <c r="D184" s="6" t="s">
        <v>113</v>
      </c>
      <c r="E184" s="6" t="s">
        <v>114</v>
      </c>
      <c r="F184" s="6" t="s">
        <v>97</v>
      </c>
      <c r="G184" s="6" t="s">
        <v>154</v>
      </c>
      <c r="H184" s="6" t="s">
        <v>106</v>
      </c>
      <c r="I184" s="6" t="s">
        <v>170</v>
      </c>
      <c r="J184" s="25">
        <v>1</v>
      </c>
      <c r="K184" s="21">
        <v>506</v>
      </c>
      <c r="L184" s="63">
        <v>0.08</v>
      </c>
      <c r="M184" s="21">
        <v>270.24</v>
      </c>
      <c r="N184" s="6" t="s">
        <v>94</v>
      </c>
      <c r="O184" s="60">
        <f>Vendas2025[[#This Row],[Quantidade]]*Vendas2025[[#This Row],[Preço_Unitário_R$]]</f>
        <v>506</v>
      </c>
      <c r="P184" s="60">
        <f>Vendas2025[[#This Row],[Receita_Bruta_R$]]*Vendas2025[[#This Row],[Desconto_pct]]</f>
        <v>40.480000000000004</v>
      </c>
      <c r="Q184" s="60">
        <f t="shared" si="10"/>
        <v>465.52</v>
      </c>
      <c r="R184" s="60">
        <f t="shared" si="11"/>
        <v>270.24</v>
      </c>
      <c r="S184" s="60">
        <f t="shared" si="12"/>
        <v>195.27999999999997</v>
      </c>
      <c r="T184" s="65">
        <f t="shared" si="13"/>
        <v>0.41948788451623986</v>
      </c>
    </row>
    <row r="185" spans="1:20">
      <c r="A185" s="41">
        <f t="shared" si="14"/>
        <v>3</v>
      </c>
      <c r="B185" s="6" t="s">
        <v>326</v>
      </c>
      <c r="C185" s="20">
        <v>45738</v>
      </c>
      <c r="D185" s="6" t="s">
        <v>129</v>
      </c>
      <c r="E185" s="6" t="s">
        <v>103</v>
      </c>
      <c r="F185" s="6" t="s">
        <v>122</v>
      </c>
      <c r="G185" s="6" t="s">
        <v>91</v>
      </c>
      <c r="H185" s="6" t="s">
        <v>99</v>
      </c>
      <c r="I185" s="6" t="s">
        <v>173</v>
      </c>
      <c r="J185" s="25">
        <v>1</v>
      </c>
      <c r="K185" s="21">
        <v>3770.62</v>
      </c>
      <c r="L185" s="63">
        <v>0.03</v>
      </c>
      <c r="M185" s="21">
        <v>3049.82</v>
      </c>
      <c r="N185" s="6" t="s">
        <v>94</v>
      </c>
      <c r="O185" s="60">
        <f>Vendas2025[[#This Row],[Quantidade]]*Vendas2025[[#This Row],[Preço_Unitário_R$]]</f>
        <v>3770.62</v>
      </c>
      <c r="P185" s="60">
        <f>Vendas2025[[#This Row],[Receita_Bruta_R$]]*Vendas2025[[#This Row],[Desconto_pct]]</f>
        <v>113.11859999999999</v>
      </c>
      <c r="Q185" s="60">
        <f t="shared" si="10"/>
        <v>3657.5014000000001</v>
      </c>
      <c r="R185" s="60">
        <f t="shared" si="11"/>
        <v>3049.82</v>
      </c>
      <c r="S185" s="60">
        <f t="shared" si="12"/>
        <v>607.68139999999994</v>
      </c>
      <c r="T185" s="65">
        <f t="shared" si="13"/>
        <v>0.16614659395619094</v>
      </c>
    </row>
    <row r="186" spans="1:20">
      <c r="A186" s="41">
        <f t="shared" si="14"/>
        <v>3</v>
      </c>
      <c r="B186" s="6" t="s">
        <v>327</v>
      </c>
      <c r="C186" s="20">
        <v>45738</v>
      </c>
      <c r="D186" s="6" t="s">
        <v>113</v>
      </c>
      <c r="E186" s="6" t="s">
        <v>114</v>
      </c>
      <c r="F186" s="6" t="s">
        <v>90</v>
      </c>
      <c r="G186" s="6" t="s">
        <v>91</v>
      </c>
      <c r="H186" s="6" t="s">
        <v>119</v>
      </c>
      <c r="I186" s="6" t="s">
        <v>138</v>
      </c>
      <c r="J186" s="25">
        <v>1</v>
      </c>
      <c r="K186" s="21">
        <v>142.49</v>
      </c>
      <c r="L186" s="63">
        <v>0.1</v>
      </c>
      <c r="M186" s="21">
        <v>54.93</v>
      </c>
      <c r="N186" s="6" t="s">
        <v>94</v>
      </c>
      <c r="O186" s="60">
        <f>Vendas2025[[#This Row],[Quantidade]]*Vendas2025[[#This Row],[Preço_Unitário_R$]]</f>
        <v>142.49</v>
      </c>
      <c r="P186" s="60">
        <f>Vendas2025[[#This Row],[Receita_Bruta_R$]]*Vendas2025[[#This Row],[Desconto_pct]]</f>
        <v>14.249000000000002</v>
      </c>
      <c r="Q186" s="60">
        <f t="shared" si="10"/>
        <v>128.24100000000001</v>
      </c>
      <c r="R186" s="60">
        <f t="shared" si="11"/>
        <v>54.93</v>
      </c>
      <c r="S186" s="60">
        <f t="shared" si="12"/>
        <v>73.311000000000007</v>
      </c>
      <c r="T186" s="65">
        <f t="shared" si="13"/>
        <v>0.57166584789575881</v>
      </c>
    </row>
    <row r="187" spans="1:20">
      <c r="A187" s="41">
        <f t="shared" si="14"/>
        <v>3</v>
      </c>
      <c r="B187" s="6" t="s">
        <v>328</v>
      </c>
      <c r="C187" s="20">
        <v>45739</v>
      </c>
      <c r="D187" s="6" t="s">
        <v>113</v>
      </c>
      <c r="E187" s="6" t="s">
        <v>114</v>
      </c>
      <c r="F187" s="6" t="s">
        <v>122</v>
      </c>
      <c r="G187" s="6" t="s">
        <v>115</v>
      </c>
      <c r="H187" s="6" t="s">
        <v>92</v>
      </c>
      <c r="I187" s="6" t="s">
        <v>144</v>
      </c>
      <c r="J187" s="25">
        <v>1</v>
      </c>
      <c r="K187" s="21">
        <v>146.41</v>
      </c>
      <c r="L187" s="63">
        <v>0.03</v>
      </c>
      <c r="M187" s="21">
        <v>50.98</v>
      </c>
      <c r="N187" s="6" t="s">
        <v>94</v>
      </c>
      <c r="O187" s="60">
        <f>Vendas2025[[#This Row],[Quantidade]]*Vendas2025[[#This Row],[Preço_Unitário_R$]]</f>
        <v>146.41</v>
      </c>
      <c r="P187" s="60">
        <f>Vendas2025[[#This Row],[Receita_Bruta_R$]]*Vendas2025[[#This Row],[Desconto_pct]]</f>
        <v>4.3922999999999996</v>
      </c>
      <c r="Q187" s="60">
        <f t="shared" si="10"/>
        <v>142.01769999999999</v>
      </c>
      <c r="R187" s="60">
        <f t="shared" si="11"/>
        <v>50.98</v>
      </c>
      <c r="S187" s="60">
        <f t="shared" si="12"/>
        <v>91.037700000000001</v>
      </c>
      <c r="T187" s="65">
        <f t="shared" si="13"/>
        <v>0.64103066026277011</v>
      </c>
    </row>
    <row r="188" spans="1:20">
      <c r="A188" s="41">
        <f t="shared" si="14"/>
        <v>3</v>
      </c>
      <c r="B188" s="6" t="s">
        <v>329</v>
      </c>
      <c r="C188" s="20">
        <v>45739</v>
      </c>
      <c r="D188" s="6" t="s">
        <v>118</v>
      </c>
      <c r="E188" s="6" t="s">
        <v>114</v>
      </c>
      <c r="F188" s="6" t="s">
        <v>122</v>
      </c>
      <c r="G188" s="6" t="s">
        <v>151</v>
      </c>
      <c r="H188" s="6" t="s">
        <v>106</v>
      </c>
      <c r="I188" s="6" t="s">
        <v>107</v>
      </c>
      <c r="J188" s="25">
        <v>1</v>
      </c>
      <c r="K188" s="21">
        <v>716.64</v>
      </c>
      <c r="L188" s="63">
        <v>0.05</v>
      </c>
      <c r="M188" s="21">
        <v>406.42</v>
      </c>
      <c r="N188" s="6" t="s">
        <v>94</v>
      </c>
      <c r="O188" s="60">
        <f>Vendas2025[[#This Row],[Quantidade]]*Vendas2025[[#This Row],[Preço_Unitário_R$]]</f>
        <v>716.64</v>
      </c>
      <c r="P188" s="60">
        <f>Vendas2025[[#This Row],[Receita_Bruta_R$]]*Vendas2025[[#This Row],[Desconto_pct]]</f>
        <v>35.832000000000001</v>
      </c>
      <c r="Q188" s="60">
        <f t="shared" si="10"/>
        <v>680.80799999999999</v>
      </c>
      <c r="R188" s="60">
        <f t="shared" si="11"/>
        <v>406.42</v>
      </c>
      <c r="S188" s="60">
        <f t="shared" si="12"/>
        <v>274.38799999999998</v>
      </c>
      <c r="T188" s="65">
        <f t="shared" si="13"/>
        <v>0.40303286682882689</v>
      </c>
    </row>
    <row r="189" spans="1:20">
      <c r="A189" s="41">
        <f t="shared" si="14"/>
        <v>3</v>
      </c>
      <c r="B189" s="6" t="s">
        <v>330</v>
      </c>
      <c r="C189" s="20">
        <v>45739</v>
      </c>
      <c r="D189" s="6" t="s">
        <v>136</v>
      </c>
      <c r="E189" s="6" t="s">
        <v>137</v>
      </c>
      <c r="F189" s="6" t="s">
        <v>122</v>
      </c>
      <c r="G189" s="6" t="s">
        <v>151</v>
      </c>
      <c r="H189" s="6" t="s">
        <v>119</v>
      </c>
      <c r="I189" s="6" t="s">
        <v>120</v>
      </c>
      <c r="J189" s="25">
        <v>2</v>
      </c>
      <c r="K189" s="21">
        <v>2205.2399999999998</v>
      </c>
      <c r="L189" s="63">
        <v>0.05</v>
      </c>
      <c r="M189" s="21">
        <v>1575.12</v>
      </c>
      <c r="N189" s="6" t="s">
        <v>94</v>
      </c>
      <c r="O189" s="60">
        <f>Vendas2025[[#This Row],[Quantidade]]*Vendas2025[[#This Row],[Preço_Unitário_R$]]</f>
        <v>4410.4799999999996</v>
      </c>
      <c r="P189" s="60">
        <f>Vendas2025[[#This Row],[Receita_Bruta_R$]]*Vendas2025[[#This Row],[Desconto_pct]]</f>
        <v>220.524</v>
      </c>
      <c r="Q189" s="60">
        <f t="shared" si="10"/>
        <v>4189.9559999999992</v>
      </c>
      <c r="R189" s="60">
        <f t="shared" si="11"/>
        <v>3150.24</v>
      </c>
      <c r="S189" s="60">
        <f t="shared" si="12"/>
        <v>1039.7159999999994</v>
      </c>
      <c r="T189" s="65">
        <f t="shared" si="13"/>
        <v>0.24814484925378683</v>
      </c>
    </row>
    <row r="190" spans="1:20">
      <c r="A190" s="41">
        <f t="shared" si="14"/>
        <v>3</v>
      </c>
      <c r="B190" s="6" t="s">
        <v>331</v>
      </c>
      <c r="C190" s="20">
        <v>45739</v>
      </c>
      <c r="D190" s="6" t="s">
        <v>136</v>
      </c>
      <c r="E190" s="6" t="s">
        <v>137</v>
      </c>
      <c r="F190" s="6" t="s">
        <v>97</v>
      </c>
      <c r="G190" s="6" t="s">
        <v>98</v>
      </c>
      <c r="H190" s="6" t="s">
        <v>119</v>
      </c>
      <c r="I190" s="6" t="s">
        <v>138</v>
      </c>
      <c r="J190" s="25">
        <v>1</v>
      </c>
      <c r="K190" s="21">
        <v>139.63999999999999</v>
      </c>
      <c r="L190" s="63">
        <v>0.08</v>
      </c>
      <c r="M190" s="21">
        <v>53.89</v>
      </c>
      <c r="N190" s="6" t="s">
        <v>94</v>
      </c>
      <c r="O190" s="60">
        <f>Vendas2025[[#This Row],[Quantidade]]*Vendas2025[[#This Row],[Preço_Unitário_R$]]</f>
        <v>139.63999999999999</v>
      </c>
      <c r="P190" s="60">
        <f>Vendas2025[[#This Row],[Receita_Bruta_R$]]*Vendas2025[[#This Row],[Desconto_pct]]</f>
        <v>11.171199999999999</v>
      </c>
      <c r="Q190" s="60">
        <f t="shared" si="10"/>
        <v>128.46879999999999</v>
      </c>
      <c r="R190" s="60">
        <f t="shared" si="11"/>
        <v>53.89</v>
      </c>
      <c r="S190" s="60">
        <f t="shared" si="12"/>
        <v>74.578799999999987</v>
      </c>
      <c r="T190" s="65">
        <f t="shared" si="13"/>
        <v>0.58052071787079818</v>
      </c>
    </row>
    <row r="191" spans="1:20">
      <c r="A191" s="41">
        <f t="shared" si="14"/>
        <v>3</v>
      </c>
      <c r="B191" s="6" t="s">
        <v>332</v>
      </c>
      <c r="C191" s="20">
        <v>45740</v>
      </c>
      <c r="D191" s="6" t="s">
        <v>136</v>
      </c>
      <c r="E191" s="6" t="s">
        <v>137</v>
      </c>
      <c r="F191" s="6" t="s">
        <v>97</v>
      </c>
      <c r="G191" s="6" t="s">
        <v>151</v>
      </c>
      <c r="H191" s="6" t="s">
        <v>106</v>
      </c>
      <c r="I191" s="6" t="s">
        <v>170</v>
      </c>
      <c r="J191" s="25">
        <v>2</v>
      </c>
      <c r="K191" s="21">
        <v>565.65</v>
      </c>
      <c r="L191" s="63">
        <v>0.05</v>
      </c>
      <c r="M191" s="21">
        <v>299.61</v>
      </c>
      <c r="N191" s="6" t="s">
        <v>94</v>
      </c>
      <c r="O191" s="60">
        <f>Vendas2025[[#This Row],[Quantidade]]*Vendas2025[[#This Row],[Preço_Unitário_R$]]</f>
        <v>1131.3</v>
      </c>
      <c r="P191" s="60">
        <f>Vendas2025[[#This Row],[Receita_Bruta_R$]]*Vendas2025[[#This Row],[Desconto_pct]]</f>
        <v>56.564999999999998</v>
      </c>
      <c r="Q191" s="60">
        <f t="shared" si="10"/>
        <v>1074.7349999999999</v>
      </c>
      <c r="R191" s="60">
        <f t="shared" si="11"/>
        <v>599.22</v>
      </c>
      <c r="S191" s="60">
        <f t="shared" si="12"/>
        <v>475.51499999999987</v>
      </c>
      <c r="T191" s="65">
        <f t="shared" si="13"/>
        <v>0.44244860360926175</v>
      </c>
    </row>
    <row r="192" spans="1:20">
      <c r="A192" s="41">
        <f t="shared" si="14"/>
        <v>3</v>
      </c>
      <c r="B192" s="6" t="s">
        <v>333</v>
      </c>
      <c r="C192" s="20">
        <v>45740</v>
      </c>
      <c r="D192" s="6" t="s">
        <v>102</v>
      </c>
      <c r="E192" s="6" t="s">
        <v>103</v>
      </c>
      <c r="F192" s="6" t="s">
        <v>97</v>
      </c>
      <c r="G192" s="6" t="s">
        <v>127</v>
      </c>
      <c r="H192" s="6" t="s">
        <v>124</v>
      </c>
      <c r="I192" s="6" t="s">
        <v>199</v>
      </c>
      <c r="J192" s="25">
        <v>3</v>
      </c>
      <c r="K192" s="21">
        <v>303.39</v>
      </c>
      <c r="L192" s="63">
        <v>0</v>
      </c>
      <c r="M192" s="21">
        <v>144.69</v>
      </c>
      <c r="N192" s="6" t="s">
        <v>94</v>
      </c>
      <c r="O192" s="60">
        <f>Vendas2025[[#This Row],[Quantidade]]*Vendas2025[[#This Row],[Preço_Unitário_R$]]</f>
        <v>910.17</v>
      </c>
      <c r="P192" s="60">
        <f>Vendas2025[[#This Row],[Receita_Bruta_R$]]*Vendas2025[[#This Row],[Desconto_pct]]</f>
        <v>0</v>
      </c>
      <c r="Q192" s="60">
        <f t="shared" si="10"/>
        <v>910.17</v>
      </c>
      <c r="R192" s="60">
        <f t="shared" si="11"/>
        <v>434.07</v>
      </c>
      <c r="S192" s="60">
        <f t="shared" si="12"/>
        <v>476.09999999999997</v>
      </c>
      <c r="T192" s="65">
        <f t="shared" si="13"/>
        <v>0.52308909324631658</v>
      </c>
    </row>
    <row r="193" spans="1:20">
      <c r="A193" s="41">
        <f t="shared" si="14"/>
        <v>3</v>
      </c>
      <c r="B193" s="6" t="s">
        <v>334</v>
      </c>
      <c r="C193" s="20">
        <v>45740</v>
      </c>
      <c r="D193" s="6" t="s">
        <v>113</v>
      </c>
      <c r="E193" s="6" t="s">
        <v>114</v>
      </c>
      <c r="F193" s="6" t="s">
        <v>97</v>
      </c>
      <c r="G193" s="6" t="s">
        <v>105</v>
      </c>
      <c r="H193" s="6" t="s">
        <v>124</v>
      </c>
      <c r="I193" s="6" t="s">
        <v>199</v>
      </c>
      <c r="J193" s="25">
        <v>1</v>
      </c>
      <c r="K193" s="21">
        <v>338.83</v>
      </c>
      <c r="L193" s="63">
        <v>0.05</v>
      </c>
      <c r="M193" s="21">
        <v>157.09</v>
      </c>
      <c r="N193" s="6" t="s">
        <v>94</v>
      </c>
      <c r="O193" s="60">
        <f>Vendas2025[[#This Row],[Quantidade]]*Vendas2025[[#This Row],[Preço_Unitário_R$]]</f>
        <v>338.83</v>
      </c>
      <c r="P193" s="60">
        <f>Vendas2025[[#This Row],[Receita_Bruta_R$]]*Vendas2025[[#This Row],[Desconto_pct]]</f>
        <v>16.941500000000001</v>
      </c>
      <c r="Q193" s="60">
        <f t="shared" si="10"/>
        <v>321.88849999999996</v>
      </c>
      <c r="R193" s="60">
        <f t="shared" si="11"/>
        <v>157.09</v>
      </c>
      <c r="S193" s="60">
        <f t="shared" si="12"/>
        <v>164.79849999999996</v>
      </c>
      <c r="T193" s="65">
        <f t="shared" si="13"/>
        <v>0.51197386672714307</v>
      </c>
    </row>
    <row r="194" spans="1:20">
      <c r="A194" s="41">
        <f t="shared" si="14"/>
        <v>3</v>
      </c>
      <c r="B194" s="6" t="s">
        <v>335</v>
      </c>
      <c r="C194" s="20">
        <v>45740</v>
      </c>
      <c r="D194" s="6" t="s">
        <v>88</v>
      </c>
      <c r="E194" s="6" t="s">
        <v>89</v>
      </c>
      <c r="F194" s="6" t="s">
        <v>97</v>
      </c>
      <c r="G194" s="6" t="s">
        <v>91</v>
      </c>
      <c r="H194" s="6" t="s">
        <v>124</v>
      </c>
      <c r="I194" s="6" t="s">
        <v>125</v>
      </c>
      <c r="J194" s="25">
        <v>2</v>
      </c>
      <c r="K194" s="21">
        <v>643.11</v>
      </c>
      <c r="L194" s="63">
        <v>0</v>
      </c>
      <c r="M194" s="21">
        <v>304.79000000000002</v>
      </c>
      <c r="N194" s="6" t="s">
        <v>94</v>
      </c>
      <c r="O194" s="60">
        <f>Vendas2025[[#This Row],[Quantidade]]*Vendas2025[[#This Row],[Preço_Unitário_R$]]</f>
        <v>1286.22</v>
      </c>
      <c r="P194" s="60">
        <f>Vendas2025[[#This Row],[Receita_Bruta_R$]]*Vendas2025[[#This Row],[Desconto_pct]]</f>
        <v>0</v>
      </c>
      <c r="Q194" s="60">
        <f t="shared" ref="Q194:Q257" si="15">IF(N194="Concluída",O194-P194,0)</f>
        <v>1286.22</v>
      </c>
      <c r="R194" s="60">
        <f t="shared" ref="R194:R257" si="16">IF(N194="Concluída",J194*M194,0)</f>
        <v>609.58000000000004</v>
      </c>
      <c r="S194" s="60">
        <f t="shared" ref="S194:S257" si="17">Q194-R194</f>
        <v>676.64</v>
      </c>
      <c r="T194" s="65">
        <f t="shared" ref="T194:T257" si="18">IF(Q194=0,"",S194/Q194)</f>
        <v>0.52606863522570013</v>
      </c>
    </row>
    <row r="195" spans="1:20">
      <c r="A195" s="41">
        <f t="shared" ref="A195:A258" si="19">MONTH(C195)</f>
        <v>3</v>
      </c>
      <c r="B195" s="6" t="s">
        <v>336</v>
      </c>
      <c r="C195" s="20">
        <v>45740</v>
      </c>
      <c r="D195" s="6" t="s">
        <v>88</v>
      </c>
      <c r="E195" s="6" t="s">
        <v>89</v>
      </c>
      <c r="F195" s="6" t="s">
        <v>97</v>
      </c>
      <c r="G195" s="6" t="s">
        <v>110</v>
      </c>
      <c r="H195" s="6" t="s">
        <v>124</v>
      </c>
      <c r="I195" s="6" t="s">
        <v>193</v>
      </c>
      <c r="J195" s="25">
        <v>2</v>
      </c>
      <c r="K195" s="21">
        <v>356.13</v>
      </c>
      <c r="L195" s="63">
        <v>0.05</v>
      </c>
      <c r="M195" s="21">
        <v>151.88</v>
      </c>
      <c r="N195" s="6" t="s">
        <v>94</v>
      </c>
      <c r="O195" s="60">
        <f>Vendas2025[[#This Row],[Quantidade]]*Vendas2025[[#This Row],[Preço_Unitário_R$]]</f>
        <v>712.26</v>
      </c>
      <c r="P195" s="60">
        <f>Vendas2025[[#This Row],[Receita_Bruta_R$]]*Vendas2025[[#This Row],[Desconto_pct]]</f>
        <v>35.613</v>
      </c>
      <c r="Q195" s="60">
        <f t="shared" si="15"/>
        <v>676.64699999999993</v>
      </c>
      <c r="R195" s="60">
        <f t="shared" si="16"/>
        <v>303.76</v>
      </c>
      <c r="S195" s="60">
        <f t="shared" si="17"/>
        <v>372.88699999999994</v>
      </c>
      <c r="T195" s="65">
        <f t="shared" si="18"/>
        <v>0.5510805486464877</v>
      </c>
    </row>
    <row r="196" spans="1:20">
      <c r="A196" s="41">
        <f t="shared" si="19"/>
        <v>3</v>
      </c>
      <c r="B196" s="6" t="s">
        <v>337</v>
      </c>
      <c r="C196" s="20">
        <v>45740</v>
      </c>
      <c r="D196" s="6" t="s">
        <v>136</v>
      </c>
      <c r="E196" s="6" t="s">
        <v>137</v>
      </c>
      <c r="F196" s="6" t="s">
        <v>104</v>
      </c>
      <c r="G196" s="6" t="s">
        <v>127</v>
      </c>
      <c r="H196" s="6" t="s">
        <v>99</v>
      </c>
      <c r="I196" s="6" t="s">
        <v>130</v>
      </c>
      <c r="J196" s="25">
        <v>3</v>
      </c>
      <c r="K196" s="21">
        <v>235.79</v>
      </c>
      <c r="L196" s="63">
        <v>0.1</v>
      </c>
      <c r="M196" s="21">
        <v>110.88</v>
      </c>
      <c r="N196" s="6" t="s">
        <v>245</v>
      </c>
      <c r="O196" s="60">
        <f>Vendas2025[[#This Row],[Quantidade]]*Vendas2025[[#This Row],[Preço_Unitário_R$]]</f>
        <v>707.37</v>
      </c>
      <c r="P196" s="60">
        <f>Vendas2025[[#This Row],[Receita_Bruta_R$]]*Vendas2025[[#This Row],[Desconto_pct]]</f>
        <v>70.737000000000009</v>
      </c>
      <c r="Q196" s="60">
        <f t="shared" si="15"/>
        <v>0</v>
      </c>
      <c r="R196" s="60">
        <f t="shared" si="16"/>
        <v>0</v>
      </c>
      <c r="S196" s="60">
        <f t="shared" si="17"/>
        <v>0</v>
      </c>
      <c r="T196" s="65" t="str">
        <f t="shared" si="18"/>
        <v/>
      </c>
    </row>
    <row r="197" spans="1:20">
      <c r="A197" s="41">
        <f t="shared" si="19"/>
        <v>3</v>
      </c>
      <c r="B197" s="6" t="s">
        <v>338</v>
      </c>
      <c r="C197" s="20">
        <v>45741</v>
      </c>
      <c r="D197" s="6" t="s">
        <v>129</v>
      </c>
      <c r="E197" s="6" t="s">
        <v>103</v>
      </c>
      <c r="F197" s="6" t="s">
        <v>122</v>
      </c>
      <c r="G197" s="6" t="s">
        <v>105</v>
      </c>
      <c r="H197" s="6" t="s">
        <v>92</v>
      </c>
      <c r="I197" s="6" t="s">
        <v>144</v>
      </c>
      <c r="J197" s="25">
        <v>1</v>
      </c>
      <c r="K197" s="21">
        <v>152.94</v>
      </c>
      <c r="L197" s="63">
        <v>0.05</v>
      </c>
      <c r="M197" s="21">
        <v>54.26</v>
      </c>
      <c r="N197" s="6" t="s">
        <v>94</v>
      </c>
      <c r="O197" s="60">
        <f>Vendas2025[[#This Row],[Quantidade]]*Vendas2025[[#This Row],[Preço_Unitário_R$]]</f>
        <v>152.94</v>
      </c>
      <c r="P197" s="60">
        <f>Vendas2025[[#This Row],[Receita_Bruta_R$]]*Vendas2025[[#This Row],[Desconto_pct]]</f>
        <v>7.6470000000000002</v>
      </c>
      <c r="Q197" s="60">
        <f t="shared" si="15"/>
        <v>145.29300000000001</v>
      </c>
      <c r="R197" s="60">
        <f t="shared" si="16"/>
        <v>54.26</v>
      </c>
      <c r="S197" s="60">
        <f t="shared" si="17"/>
        <v>91.033000000000015</v>
      </c>
      <c r="T197" s="65">
        <f t="shared" si="18"/>
        <v>0.62654773457771551</v>
      </c>
    </row>
    <row r="198" spans="1:20">
      <c r="A198" s="41">
        <f t="shared" si="19"/>
        <v>3</v>
      </c>
      <c r="B198" s="6" t="s">
        <v>339</v>
      </c>
      <c r="C198" s="20">
        <v>45742</v>
      </c>
      <c r="D198" s="6" t="s">
        <v>136</v>
      </c>
      <c r="E198" s="6" t="s">
        <v>137</v>
      </c>
      <c r="F198" s="6" t="s">
        <v>122</v>
      </c>
      <c r="G198" s="6" t="s">
        <v>115</v>
      </c>
      <c r="H198" s="6" t="s">
        <v>119</v>
      </c>
      <c r="I198" s="6" t="s">
        <v>138</v>
      </c>
      <c r="J198" s="25">
        <v>1</v>
      </c>
      <c r="K198" s="21">
        <v>147.94</v>
      </c>
      <c r="L198" s="63">
        <v>0.15</v>
      </c>
      <c r="M198" s="21">
        <v>61.47</v>
      </c>
      <c r="N198" s="6" t="s">
        <v>94</v>
      </c>
      <c r="O198" s="60">
        <f>Vendas2025[[#This Row],[Quantidade]]*Vendas2025[[#This Row],[Preço_Unitário_R$]]</f>
        <v>147.94</v>
      </c>
      <c r="P198" s="60">
        <f>Vendas2025[[#This Row],[Receita_Bruta_R$]]*Vendas2025[[#This Row],[Desconto_pct]]</f>
        <v>22.190999999999999</v>
      </c>
      <c r="Q198" s="60">
        <f t="shared" si="15"/>
        <v>125.749</v>
      </c>
      <c r="R198" s="60">
        <f t="shared" si="16"/>
        <v>61.47</v>
      </c>
      <c r="S198" s="60">
        <f t="shared" si="17"/>
        <v>64.278999999999996</v>
      </c>
      <c r="T198" s="65">
        <f t="shared" si="18"/>
        <v>0.51116907490318009</v>
      </c>
    </row>
    <row r="199" spans="1:20">
      <c r="A199" s="41">
        <f t="shared" si="19"/>
        <v>3</v>
      </c>
      <c r="B199" s="6" t="s">
        <v>340</v>
      </c>
      <c r="C199" s="20">
        <v>45743</v>
      </c>
      <c r="D199" s="6" t="s">
        <v>113</v>
      </c>
      <c r="E199" s="6" t="s">
        <v>114</v>
      </c>
      <c r="F199" s="6" t="s">
        <v>122</v>
      </c>
      <c r="G199" s="6" t="s">
        <v>154</v>
      </c>
      <c r="H199" s="6" t="s">
        <v>124</v>
      </c>
      <c r="I199" s="6" t="s">
        <v>125</v>
      </c>
      <c r="J199" s="25">
        <v>2</v>
      </c>
      <c r="K199" s="21">
        <v>689.99</v>
      </c>
      <c r="L199" s="63">
        <v>0.15</v>
      </c>
      <c r="M199" s="21">
        <v>338.92</v>
      </c>
      <c r="N199" s="6" t="s">
        <v>94</v>
      </c>
      <c r="O199" s="60">
        <f>Vendas2025[[#This Row],[Quantidade]]*Vendas2025[[#This Row],[Preço_Unitário_R$]]</f>
        <v>1379.98</v>
      </c>
      <c r="P199" s="60">
        <f>Vendas2025[[#This Row],[Receita_Bruta_R$]]*Vendas2025[[#This Row],[Desconto_pct]]</f>
        <v>206.99699999999999</v>
      </c>
      <c r="Q199" s="60">
        <f t="shared" si="15"/>
        <v>1172.9829999999999</v>
      </c>
      <c r="R199" s="60">
        <f t="shared" si="16"/>
        <v>677.84</v>
      </c>
      <c r="S199" s="60">
        <f t="shared" si="17"/>
        <v>495.14299999999992</v>
      </c>
      <c r="T199" s="65">
        <f t="shared" si="18"/>
        <v>0.42212291226727067</v>
      </c>
    </row>
    <row r="200" spans="1:20">
      <c r="A200" s="41">
        <f t="shared" si="19"/>
        <v>3</v>
      </c>
      <c r="B200" s="6" t="s">
        <v>341</v>
      </c>
      <c r="C200" s="20">
        <v>45743</v>
      </c>
      <c r="D200" s="6" t="s">
        <v>129</v>
      </c>
      <c r="E200" s="6" t="s">
        <v>103</v>
      </c>
      <c r="F200" s="6" t="s">
        <v>104</v>
      </c>
      <c r="G200" s="6" t="s">
        <v>151</v>
      </c>
      <c r="H200" s="6" t="s">
        <v>99</v>
      </c>
      <c r="I200" s="6" t="s">
        <v>130</v>
      </c>
      <c r="J200" s="25">
        <v>3</v>
      </c>
      <c r="K200" s="21">
        <v>258.73</v>
      </c>
      <c r="L200" s="63">
        <v>0.12</v>
      </c>
      <c r="M200" s="21">
        <v>120.33</v>
      </c>
      <c r="N200" s="6" t="s">
        <v>94</v>
      </c>
      <c r="O200" s="60">
        <f>Vendas2025[[#This Row],[Quantidade]]*Vendas2025[[#This Row],[Preço_Unitário_R$]]</f>
        <v>776.19</v>
      </c>
      <c r="P200" s="60">
        <f>Vendas2025[[#This Row],[Receita_Bruta_R$]]*Vendas2025[[#This Row],[Desconto_pct]]</f>
        <v>93.142800000000008</v>
      </c>
      <c r="Q200" s="60">
        <f t="shared" si="15"/>
        <v>683.04720000000009</v>
      </c>
      <c r="R200" s="60">
        <f t="shared" si="16"/>
        <v>360.99</v>
      </c>
      <c r="S200" s="60">
        <f t="shared" si="17"/>
        <v>322.05720000000008</v>
      </c>
      <c r="T200" s="65">
        <f t="shared" si="18"/>
        <v>0.4715006517851183</v>
      </c>
    </row>
    <row r="201" spans="1:20">
      <c r="A201" s="41">
        <f t="shared" si="19"/>
        <v>3</v>
      </c>
      <c r="B201" s="6" t="s">
        <v>342</v>
      </c>
      <c r="C201" s="20">
        <v>45743</v>
      </c>
      <c r="D201" s="6" t="s">
        <v>129</v>
      </c>
      <c r="E201" s="6" t="s">
        <v>103</v>
      </c>
      <c r="F201" s="6" t="s">
        <v>90</v>
      </c>
      <c r="G201" s="6" t="s">
        <v>127</v>
      </c>
      <c r="H201" s="6" t="s">
        <v>119</v>
      </c>
      <c r="I201" s="6" t="s">
        <v>138</v>
      </c>
      <c r="J201" s="25">
        <v>2</v>
      </c>
      <c r="K201" s="21">
        <v>130.38</v>
      </c>
      <c r="L201" s="63">
        <v>0.05</v>
      </c>
      <c r="M201" s="21">
        <v>51.09</v>
      </c>
      <c r="N201" s="6" t="s">
        <v>94</v>
      </c>
      <c r="O201" s="60">
        <f>Vendas2025[[#This Row],[Quantidade]]*Vendas2025[[#This Row],[Preço_Unitário_R$]]</f>
        <v>260.76</v>
      </c>
      <c r="P201" s="60">
        <f>Vendas2025[[#This Row],[Receita_Bruta_R$]]*Vendas2025[[#This Row],[Desconto_pct]]</f>
        <v>13.038</v>
      </c>
      <c r="Q201" s="60">
        <f t="shared" si="15"/>
        <v>247.72199999999998</v>
      </c>
      <c r="R201" s="60">
        <f t="shared" si="16"/>
        <v>102.18</v>
      </c>
      <c r="S201" s="60">
        <f t="shared" si="17"/>
        <v>145.54199999999997</v>
      </c>
      <c r="T201" s="65">
        <f t="shared" si="18"/>
        <v>0.58752149587037072</v>
      </c>
    </row>
    <row r="202" spans="1:20">
      <c r="A202" s="41">
        <f t="shared" si="19"/>
        <v>3</v>
      </c>
      <c r="B202" s="6" t="s">
        <v>343</v>
      </c>
      <c r="C202" s="20">
        <v>45744</v>
      </c>
      <c r="D202" s="6" t="s">
        <v>118</v>
      </c>
      <c r="E202" s="6" t="s">
        <v>114</v>
      </c>
      <c r="F202" s="6" t="s">
        <v>90</v>
      </c>
      <c r="G202" s="6" t="s">
        <v>110</v>
      </c>
      <c r="H202" s="6" t="s">
        <v>119</v>
      </c>
      <c r="I202" s="6" t="s">
        <v>120</v>
      </c>
      <c r="J202" s="25">
        <v>2</v>
      </c>
      <c r="K202" s="21">
        <v>2215.59</v>
      </c>
      <c r="L202" s="63">
        <v>0.05</v>
      </c>
      <c r="M202" s="21">
        <v>1482.24</v>
      </c>
      <c r="N202" s="6" t="s">
        <v>94</v>
      </c>
      <c r="O202" s="60">
        <f>Vendas2025[[#This Row],[Quantidade]]*Vendas2025[[#This Row],[Preço_Unitário_R$]]</f>
        <v>4431.18</v>
      </c>
      <c r="P202" s="60">
        <f>Vendas2025[[#This Row],[Receita_Bruta_R$]]*Vendas2025[[#This Row],[Desconto_pct]]</f>
        <v>221.55900000000003</v>
      </c>
      <c r="Q202" s="60">
        <f t="shared" si="15"/>
        <v>4209.6210000000001</v>
      </c>
      <c r="R202" s="60">
        <f t="shared" si="16"/>
        <v>2964.48</v>
      </c>
      <c r="S202" s="60">
        <f t="shared" si="17"/>
        <v>1245.1410000000001</v>
      </c>
      <c r="T202" s="65">
        <f t="shared" si="18"/>
        <v>0.2957845848830572</v>
      </c>
    </row>
    <row r="203" spans="1:20">
      <c r="A203" s="41">
        <f t="shared" si="19"/>
        <v>3</v>
      </c>
      <c r="B203" s="6" t="s">
        <v>344</v>
      </c>
      <c r="C203" s="20">
        <v>45744</v>
      </c>
      <c r="D203" s="6" t="s">
        <v>136</v>
      </c>
      <c r="E203" s="6" t="s">
        <v>137</v>
      </c>
      <c r="F203" s="6" t="s">
        <v>97</v>
      </c>
      <c r="G203" s="6" t="s">
        <v>154</v>
      </c>
      <c r="H203" s="6" t="s">
        <v>99</v>
      </c>
      <c r="I203" s="6" t="s">
        <v>158</v>
      </c>
      <c r="J203" s="25">
        <v>1</v>
      </c>
      <c r="K203" s="21">
        <v>182.99</v>
      </c>
      <c r="L203" s="63">
        <v>0.08</v>
      </c>
      <c r="M203" s="21">
        <v>84.21</v>
      </c>
      <c r="N203" s="6" t="s">
        <v>94</v>
      </c>
      <c r="O203" s="60">
        <f>Vendas2025[[#This Row],[Quantidade]]*Vendas2025[[#This Row],[Preço_Unitário_R$]]</f>
        <v>182.99</v>
      </c>
      <c r="P203" s="60">
        <f>Vendas2025[[#This Row],[Receita_Bruta_R$]]*Vendas2025[[#This Row],[Desconto_pct]]</f>
        <v>14.639200000000001</v>
      </c>
      <c r="Q203" s="60">
        <f t="shared" si="15"/>
        <v>168.35080000000002</v>
      </c>
      <c r="R203" s="60">
        <f t="shared" si="16"/>
        <v>84.21</v>
      </c>
      <c r="S203" s="60">
        <f t="shared" si="17"/>
        <v>84.140800000000027</v>
      </c>
      <c r="T203" s="65">
        <f t="shared" si="18"/>
        <v>0.49979447677112326</v>
      </c>
    </row>
    <row r="204" spans="1:20">
      <c r="A204" s="41">
        <f t="shared" si="19"/>
        <v>4</v>
      </c>
      <c r="B204" s="6" t="s">
        <v>345</v>
      </c>
      <c r="C204" s="20">
        <v>45748</v>
      </c>
      <c r="D204" s="6" t="s">
        <v>129</v>
      </c>
      <c r="E204" s="6" t="s">
        <v>103</v>
      </c>
      <c r="F204" s="6" t="s">
        <v>122</v>
      </c>
      <c r="G204" s="6" t="s">
        <v>105</v>
      </c>
      <c r="H204" s="6" t="s">
        <v>124</v>
      </c>
      <c r="I204" s="6" t="s">
        <v>125</v>
      </c>
      <c r="J204" s="25">
        <v>1</v>
      </c>
      <c r="K204" s="21">
        <v>677.91</v>
      </c>
      <c r="L204" s="63">
        <v>0.1</v>
      </c>
      <c r="M204" s="21">
        <v>322.07</v>
      </c>
      <c r="N204" s="6" t="s">
        <v>94</v>
      </c>
      <c r="O204" s="60">
        <f>Vendas2025[[#This Row],[Quantidade]]*Vendas2025[[#This Row],[Preço_Unitário_R$]]</f>
        <v>677.91</v>
      </c>
      <c r="P204" s="60">
        <f>Vendas2025[[#This Row],[Receita_Bruta_R$]]*Vendas2025[[#This Row],[Desconto_pct]]</f>
        <v>67.790999999999997</v>
      </c>
      <c r="Q204" s="60">
        <f t="shared" si="15"/>
        <v>610.11899999999991</v>
      </c>
      <c r="R204" s="60">
        <f t="shared" si="16"/>
        <v>322.07</v>
      </c>
      <c r="S204" s="60">
        <f t="shared" si="17"/>
        <v>288.04899999999992</v>
      </c>
      <c r="T204" s="65">
        <f t="shared" si="18"/>
        <v>0.47211937343370713</v>
      </c>
    </row>
    <row r="205" spans="1:20">
      <c r="A205" s="41">
        <f t="shared" si="19"/>
        <v>4</v>
      </c>
      <c r="B205" s="6" t="s">
        <v>346</v>
      </c>
      <c r="C205" s="20">
        <v>45748</v>
      </c>
      <c r="D205" s="6" t="s">
        <v>136</v>
      </c>
      <c r="E205" s="6" t="s">
        <v>137</v>
      </c>
      <c r="F205" s="6" t="s">
        <v>90</v>
      </c>
      <c r="G205" s="6" t="s">
        <v>115</v>
      </c>
      <c r="H205" s="6" t="s">
        <v>106</v>
      </c>
      <c r="I205" s="6" t="s">
        <v>111</v>
      </c>
      <c r="J205" s="25">
        <v>1</v>
      </c>
      <c r="K205" s="21">
        <v>274.66000000000003</v>
      </c>
      <c r="L205" s="63">
        <v>0.1</v>
      </c>
      <c r="M205" s="21">
        <v>124.86</v>
      </c>
      <c r="N205" s="6" t="s">
        <v>94</v>
      </c>
      <c r="O205" s="60">
        <f>Vendas2025[[#This Row],[Quantidade]]*Vendas2025[[#This Row],[Preço_Unitário_R$]]</f>
        <v>274.66000000000003</v>
      </c>
      <c r="P205" s="60">
        <f>Vendas2025[[#This Row],[Receita_Bruta_R$]]*Vendas2025[[#This Row],[Desconto_pct]]</f>
        <v>27.466000000000005</v>
      </c>
      <c r="Q205" s="60">
        <f t="shared" si="15"/>
        <v>247.19400000000002</v>
      </c>
      <c r="R205" s="60">
        <f t="shared" si="16"/>
        <v>124.86</v>
      </c>
      <c r="S205" s="60">
        <f t="shared" si="17"/>
        <v>122.33400000000002</v>
      </c>
      <c r="T205" s="65">
        <f t="shared" si="18"/>
        <v>0.49489065268574484</v>
      </c>
    </row>
    <row r="206" spans="1:20">
      <c r="A206" s="41">
        <f t="shared" si="19"/>
        <v>4</v>
      </c>
      <c r="B206" s="6" t="s">
        <v>347</v>
      </c>
      <c r="C206" s="20">
        <v>45749</v>
      </c>
      <c r="D206" s="6" t="s">
        <v>129</v>
      </c>
      <c r="E206" s="6" t="s">
        <v>103</v>
      </c>
      <c r="F206" s="6" t="s">
        <v>122</v>
      </c>
      <c r="G206" s="6" t="s">
        <v>160</v>
      </c>
      <c r="H206" s="6" t="s">
        <v>92</v>
      </c>
      <c r="I206" s="6" t="s">
        <v>144</v>
      </c>
      <c r="J206" s="25">
        <v>2</v>
      </c>
      <c r="K206" s="21">
        <v>153.49</v>
      </c>
      <c r="L206" s="63">
        <v>0.2</v>
      </c>
      <c r="M206" s="21">
        <v>51.71</v>
      </c>
      <c r="N206" s="6" t="s">
        <v>94</v>
      </c>
      <c r="O206" s="60">
        <f>Vendas2025[[#This Row],[Quantidade]]*Vendas2025[[#This Row],[Preço_Unitário_R$]]</f>
        <v>306.98</v>
      </c>
      <c r="P206" s="60">
        <f>Vendas2025[[#This Row],[Receita_Bruta_R$]]*Vendas2025[[#This Row],[Desconto_pct]]</f>
        <v>61.396000000000008</v>
      </c>
      <c r="Q206" s="60">
        <f t="shared" si="15"/>
        <v>245.584</v>
      </c>
      <c r="R206" s="60">
        <f t="shared" si="16"/>
        <v>103.42</v>
      </c>
      <c r="S206" s="60">
        <f t="shared" si="17"/>
        <v>142.16399999999999</v>
      </c>
      <c r="T206" s="65">
        <f t="shared" si="18"/>
        <v>0.57888136034920834</v>
      </c>
    </row>
    <row r="207" spans="1:20">
      <c r="A207" s="41">
        <f t="shared" si="19"/>
        <v>4</v>
      </c>
      <c r="B207" s="6" t="s">
        <v>348</v>
      </c>
      <c r="C207" s="20">
        <v>45749</v>
      </c>
      <c r="D207" s="6" t="s">
        <v>102</v>
      </c>
      <c r="E207" s="6" t="s">
        <v>103</v>
      </c>
      <c r="F207" s="6" t="s">
        <v>97</v>
      </c>
      <c r="G207" s="6" t="s">
        <v>123</v>
      </c>
      <c r="H207" s="6" t="s">
        <v>99</v>
      </c>
      <c r="I207" s="6" t="s">
        <v>100</v>
      </c>
      <c r="J207" s="25">
        <v>1</v>
      </c>
      <c r="K207" s="21">
        <v>396.84</v>
      </c>
      <c r="L207" s="63">
        <v>0.08</v>
      </c>
      <c r="M207" s="21">
        <v>229.98</v>
      </c>
      <c r="N207" s="6" t="s">
        <v>245</v>
      </c>
      <c r="O207" s="60">
        <f>Vendas2025[[#This Row],[Quantidade]]*Vendas2025[[#This Row],[Preço_Unitário_R$]]</f>
        <v>396.84</v>
      </c>
      <c r="P207" s="60">
        <f>Vendas2025[[#This Row],[Receita_Bruta_R$]]*Vendas2025[[#This Row],[Desconto_pct]]</f>
        <v>31.747199999999999</v>
      </c>
      <c r="Q207" s="60">
        <f t="shared" si="15"/>
        <v>0</v>
      </c>
      <c r="R207" s="60">
        <f t="shared" si="16"/>
        <v>0</v>
      </c>
      <c r="S207" s="60">
        <f t="shared" si="17"/>
        <v>0</v>
      </c>
      <c r="T207" s="65" t="str">
        <f t="shared" si="18"/>
        <v/>
      </c>
    </row>
    <row r="208" spans="1:20">
      <c r="A208" s="41">
        <f t="shared" si="19"/>
        <v>4</v>
      </c>
      <c r="B208" s="6" t="s">
        <v>349</v>
      </c>
      <c r="C208" s="20">
        <v>45749</v>
      </c>
      <c r="D208" s="6" t="s">
        <v>132</v>
      </c>
      <c r="E208" s="6" t="s">
        <v>89</v>
      </c>
      <c r="F208" s="6" t="s">
        <v>97</v>
      </c>
      <c r="G208" s="6" t="s">
        <v>160</v>
      </c>
      <c r="H208" s="6" t="s">
        <v>99</v>
      </c>
      <c r="I208" s="6" t="s">
        <v>100</v>
      </c>
      <c r="J208" s="25">
        <v>1</v>
      </c>
      <c r="K208" s="21">
        <v>412.95</v>
      </c>
      <c r="L208" s="63">
        <v>0.05</v>
      </c>
      <c r="M208" s="21">
        <v>248.95</v>
      </c>
      <c r="N208" s="6" t="s">
        <v>94</v>
      </c>
      <c r="O208" s="60">
        <f>Vendas2025[[#This Row],[Quantidade]]*Vendas2025[[#This Row],[Preço_Unitário_R$]]</f>
        <v>412.95</v>
      </c>
      <c r="P208" s="60">
        <f>Vendas2025[[#This Row],[Receita_Bruta_R$]]*Vendas2025[[#This Row],[Desconto_pct]]</f>
        <v>20.647500000000001</v>
      </c>
      <c r="Q208" s="60">
        <f t="shared" si="15"/>
        <v>392.30250000000001</v>
      </c>
      <c r="R208" s="60">
        <f t="shared" si="16"/>
        <v>248.95</v>
      </c>
      <c r="S208" s="60">
        <f t="shared" si="17"/>
        <v>143.35250000000002</v>
      </c>
      <c r="T208" s="65">
        <f t="shared" si="18"/>
        <v>0.36541316968410859</v>
      </c>
    </row>
    <row r="209" spans="1:20">
      <c r="A209" s="41">
        <f t="shared" si="19"/>
        <v>4</v>
      </c>
      <c r="B209" s="6" t="s">
        <v>350</v>
      </c>
      <c r="C209" s="20">
        <v>45750</v>
      </c>
      <c r="D209" s="6" t="s">
        <v>118</v>
      </c>
      <c r="E209" s="6" t="s">
        <v>114</v>
      </c>
      <c r="F209" s="6" t="s">
        <v>122</v>
      </c>
      <c r="G209" s="6" t="s">
        <v>105</v>
      </c>
      <c r="H209" s="6" t="s">
        <v>99</v>
      </c>
      <c r="I209" s="6" t="s">
        <v>100</v>
      </c>
      <c r="J209" s="25">
        <v>2</v>
      </c>
      <c r="K209" s="21">
        <v>389.39</v>
      </c>
      <c r="L209" s="63">
        <v>0.1</v>
      </c>
      <c r="M209" s="21">
        <v>228.25</v>
      </c>
      <c r="N209" s="6" t="s">
        <v>94</v>
      </c>
      <c r="O209" s="60">
        <f>Vendas2025[[#This Row],[Quantidade]]*Vendas2025[[#This Row],[Preço_Unitário_R$]]</f>
        <v>778.78</v>
      </c>
      <c r="P209" s="60">
        <f>Vendas2025[[#This Row],[Receita_Bruta_R$]]*Vendas2025[[#This Row],[Desconto_pct]]</f>
        <v>77.878</v>
      </c>
      <c r="Q209" s="60">
        <f t="shared" si="15"/>
        <v>700.90199999999993</v>
      </c>
      <c r="R209" s="60">
        <f t="shared" si="16"/>
        <v>456.5</v>
      </c>
      <c r="S209" s="60">
        <f t="shared" si="17"/>
        <v>244.40199999999993</v>
      </c>
      <c r="T209" s="65">
        <f t="shared" si="18"/>
        <v>0.3486963940750632</v>
      </c>
    </row>
    <row r="210" spans="1:20">
      <c r="A210" s="41">
        <f t="shared" si="19"/>
        <v>4</v>
      </c>
      <c r="B210" s="6" t="s">
        <v>351</v>
      </c>
      <c r="C210" s="20">
        <v>45750</v>
      </c>
      <c r="D210" s="6" t="s">
        <v>88</v>
      </c>
      <c r="E210" s="6" t="s">
        <v>89</v>
      </c>
      <c r="F210" s="6" t="s">
        <v>122</v>
      </c>
      <c r="G210" s="6" t="s">
        <v>91</v>
      </c>
      <c r="H210" s="6" t="s">
        <v>99</v>
      </c>
      <c r="I210" s="6" t="s">
        <v>130</v>
      </c>
      <c r="J210" s="25">
        <v>1</v>
      </c>
      <c r="K210" s="21">
        <v>253.95</v>
      </c>
      <c r="L210" s="63">
        <v>0.15</v>
      </c>
      <c r="M210" s="21">
        <v>125.92</v>
      </c>
      <c r="N210" s="6" t="s">
        <v>94</v>
      </c>
      <c r="O210" s="60">
        <f>Vendas2025[[#This Row],[Quantidade]]*Vendas2025[[#This Row],[Preço_Unitário_R$]]</f>
        <v>253.95</v>
      </c>
      <c r="P210" s="60">
        <f>Vendas2025[[#This Row],[Receita_Bruta_R$]]*Vendas2025[[#This Row],[Desconto_pct]]</f>
        <v>38.092499999999994</v>
      </c>
      <c r="Q210" s="60">
        <f t="shared" si="15"/>
        <v>215.85749999999999</v>
      </c>
      <c r="R210" s="60">
        <f t="shared" si="16"/>
        <v>125.92</v>
      </c>
      <c r="S210" s="60">
        <f t="shared" si="17"/>
        <v>89.937499999999986</v>
      </c>
      <c r="T210" s="65">
        <f t="shared" si="18"/>
        <v>0.41665218952318078</v>
      </c>
    </row>
    <row r="211" spans="1:20">
      <c r="A211" s="41">
        <f t="shared" si="19"/>
        <v>4</v>
      </c>
      <c r="B211" s="6" t="s">
        <v>352</v>
      </c>
      <c r="C211" s="20">
        <v>45751</v>
      </c>
      <c r="D211" s="6" t="s">
        <v>113</v>
      </c>
      <c r="E211" s="6" t="s">
        <v>114</v>
      </c>
      <c r="F211" s="6" t="s">
        <v>90</v>
      </c>
      <c r="G211" s="6" t="s">
        <v>110</v>
      </c>
      <c r="H211" s="6" t="s">
        <v>106</v>
      </c>
      <c r="I211" s="6" t="s">
        <v>107</v>
      </c>
      <c r="J211" s="25">
        <v>1</v>
      </c>
      <c r="K211" s="21">
        <v>720.83</v>
      </c>
      <c r="L211" s="63">
        <v>0.2</v>
      </c>
      <c r="M211" s="21">
        <v>421.86</v>
      </c>
      <c r="N211" s="6" t="s">
        <v>94</v>
      </c>
      <c r="O211" s="60">
        <f>Vendas2025[[#This Row],[Quantidade]]*Vendas2025[[#This Row],[Preço_Unitário_R$]]</f>
        <v>720.83</v>
      </c>
      <c r="P211" s="60">
        <f>Vendas2025[[#This Row],[Receita_Bruta_R$]]*Vendas2025[[#This Row],[Desconto_pct]]</f>
        <v>144.16600000000003</v>
      </c>
      <c r="Q211" s="60">
        <f t="shared" si="15"/>
        <v>576.66399999999999</v>
      </c>
      <c r="R211" s="60">
        <f t="shared" si="16"/>
        <v>421.86</v>
      </c>
      <c r="S211" s="60">
        <f t="shared" si="17"/>
        <v>154.80399999999997</v>
      </c>
      <c r="T211" s="65">
        <f t="shared" si="18"/>
        <v>0.26844748415021569</v>
      </c>
    </row>
    <row r="212" spans="1:20">
      <c r="A212" s="41">
        <f t="shared" si="19"/>
        <v>4</v>
      </c>
      <c r="B212" s="6" t="s">
        <v>353</v>
      </c>
      <c r="C212" s="20">
        <v>45752</v>
      </c>
      <c r="D212" s="6" t="s">
        <v>88</v>
      </c>
      <c r="E212" s="6" t="s">
        <v>89</v>
      </c>
      <c r="F212" s="6" t="s">
        <v>90</v>
      </c>
      <c r="G212" s="6" t="s">
        <v>127</v>
      </c>
      <c r="H212" s="6" t="s">
        <v>106</v>
      </c>
      <c r="I212" s="6" t="s">
        <v>184</v>
      </c>
      <c r="J212" s="25">
        <v>1</v>
      </c>
      <c r="K212" s="21">
        <v>1175.29</v>
      </c>
      <c r="L212" s="63">
        <v>0.05</v>
      </c>
      <c r="M212" s="21">
        <v>830.69</v>
      </c>
      <c r="N212" s="6" t="s">
        <v>94</v>
      </c>
      <c r="O212" s="60">
        <f>Vendas2025[[#This Row],[Quantidade]]*Vendas2025[[#This Row],[Preço_Unitário_R$]]</f>
        <v>1175.29</v>
      </c>
      <c r="P212" s="60">
        <f>Vendas2025[[#This Row],[Receita_Bruta_R$]]*Vendas2025[[#This Row],[Desconto_pct]]</f>
        <v>58.764499999999998</v>
      </c>
      <c r="Q212" s="60">
        <f t="shared" si="15"/>
        <v>1116.5255</v>
      </c>
      <c r="R212" s="60">
        <f t="shared" si="16"/>
        <v>830.69</v>
      </c>
      <c r="S212" s="60">
        <f t="shared" si="17"/>
        <v>285.83549999999991</v>
      </c>
      <c r="T212" s="65">
        <f t="shared" si="18"/>
        <v>0.25600445310026498</v>
      </c>
    </row>
    <row r="213" spans="1:20">
      <c r="A213" s="41">
        <f t="shared" si="19"/>
        <v>4</v>
      </c>
      <c r="B213" s="6" t="s">
        <v>354</v>
      </c>
      <c r="C213" s="20">
        <v>45753</v>
      </c>
      <c r="D213" s="6" t="s">
        <v>136</v>
      </c>
      <c r="E213" s="6" t="s">
        <v>137</v>
      </c>
      <c r="F213" s="6" t="s">
        <v>122</v>
      </c>
      <c r="G213" s="6" t="s">
        <v>151</v>
      </c>
      <c r="H213" s="6" t="s">
        <v>119</v>
      </c>
      <c r="I213" s="6" t="s">
        <v>155</v>
      </c>
      <c r="J213" s="25">
        <v>1</v>
      </c>
      <c r="K213" s="21">
        <v>371.54</v>
      </c>
      <c r="L213" s="63">
        <v>0.2</v>
      </c>
      <c r="M213" s="21">
        <v>215.52</v>
      </c>
      <c r="N213" s="6" t="s">
        <v>94</v>
      </c>
      <c r="O213" s="60">
        <f>Vendas2025[[#This Row],[Quantidade]]*Vendas2025[[#This Row],[Preço_Unitário_R$]]</f>
        <v>371.54</v>
      </c>
      <c r="P213" s="60">
        <f>Vendas2025[[#This Row],[Receita_Bruta_R$]]*Vendas2025[[#This Row],[Desconto_pct]]</f>
        <v>74.308000000000007</v>
      </c>
      <c r="Q213" s="60">
        <f t="shared" si="15"/>
        <v>297.23200000000003</v>
      </c>
      <c r="R213" s="60">
        <f t="shared" si="16"/>
        <v>215.52</v>
      </c>
      <c r="S213" s="60">
        <f t="shared" si="17"/>
        <v>81.712000000000018</v>
      </c>
      <c r="T213" s="65">
        <f t="shared" si="18"/>
        <v>0.27490983474188518</v>
      </c>
    </row>
    <row r="214" spans="1:20">
      <c r="A214" s="41">
        <f t="shared" si="19"/>
        <v>4</v>
      </c>
      <c r="B214" s="6" t="s">
        <v>355</v>
      </c>
      <c r="C214" s="20">
        <v>45753</v>
      </c>
      <c r="D214" s="6" t="s">
        <v>132</v>
      </c>
      <c r="E214" s="6" t="s">
        <v>89</v>
      </c>
      <c r="F214" s="6" t="s">
        <v>90</v>
      </c>
      <c r="G214" s="6" t="s">
        <v>115</v>
      </c>
      <c r="H214" s="6" t="s">
        <v>106</v>
      </c>
      <c r="I214" s="6" t="s">
        <v>107</v>
      </c>
      <c r="J214" s="25">
        <v>1</v>
      </c>
      <c r="K214" s="21">
        <v>732.33</v>
      </c>
      <c r="L214" s="63">
        <v>0.15</v>
      </c>
      <c r="M214" s="21">
        <v>403.09</v>
      </c>
      <c r="N214" s="6" t="s">
        <v>94</v>
      </c>
      <c r="O214" s="60">
        <f>Vendas2025[[#This Row],[Quantidade]]*Vendas2025[[#This Row],[Preço_Unitário_R$]]</f>
        <v>732.33</v>
      </c>
      <c r="P214" s="60">
        <f>Vendas2025[[#This Row],[Receita_Bruta_R$]]*Vendas2025[[#This Row],[Desconto_pct]]</f>
        <v>109.84950000000001</v>
      </c>
      <c r="Q214" s="60">
        <f t="shared" si="15"/>
        <v>622.48050000000001</v>
      </c>
      <c r="R214" s="60">
        <f t="shared" si="16"/>
        <v>403.09</v>
      </c>
      <c r="S214" s="60">
        <f t="shared" si="17"/>
        <v>219.39050000000003</v>
      </c>
      <c r="T214" s="65">
        <f t="shared" si="18"/>
        <v>0.35244557861651898</v>
      </c>
    </row>
    <row r="215" spans="1:20">
      <c r="A215" s="41">
        <f t="shared" si="19"/>
        <v>4</v>
      </c>
      <c r="B215" s="6" t="s">
        <v>356</v>
      </c>
      <c r="C215" s="20">
        <v>45754</v>
      </c>
      <c r="D215" s="6" t="s">
        <v>129</v>
      </c>
      <c r="E215" s="6" t="s">
        <v>103</v>
      </c>
      <c r="F215" s="6" t="s">
        <v>122</v>
      </c>
      <c r="G215" s="6" t="s">
        <v>177</v>
      </c>
      <c r="H215" s="6" t="s">
        <v>124</v>
      </c>
      <c r="I215" s="6" t="s">
        <v>199</v>
      </c>
      <c r="J215" s="25">
        <v>1</v>
      </c>
      <c r="K215" s="21">
        <v>337.66</v>
      </c>
      <c r="L215" s="63">
        <v>0.2</v>
      </c>
      <c r="M215" s="21">
        <v>159.34</v>
      </c>
      <c r="N215" s="6" t="s">
        <v>94</v>
      </c>
      <c r="O215" s="60">
        <f>Vendas2025[[#This Row],[Quantidade]]*Vendas2025[[#This Row],[Preço_Unitário_R$]]</f>
        <v>337.66</v>
      </c>
      <c r="P215" s="60">
        <f>Vendas2025[[#This Row],[Receita_Bruta_R$]]*Vendas2025[[#This Row],[Desconto_pct]]</f>
        <v>67.532000000000011</v>
      </c>
      <c r="Q215" s="60">
        <f t="shared" si="15"/>
        <v>270.12800000000004</v>
      </c>
      <c r="R215" s="60">
        <f t="shared" si="16"/>
        <v>159.34</v>
      </c>
      <c r="S215" s="60">
        <f t="shared" si="17"/>
        <v>110.78800000000004</v>
      </c>
      <c r="T215" s="65">
        <f t="shared" si="18"/>
        <v>0.41013149321803005</v>
      </c>
    </row>
    <row r="216" spans="1:20">
      <c r="A216" s="41">
        <f t="shared" si="19"/>
        <v>4</v>
      </c>
      <c r="B216" s="6" t="s">
        <v>357</v>
      </c>
      <c r="C216" s="20">
        <v>45754</v>
      </c>
      <c r="D216" s="6" t="s">
        <v>136</v>
      </c>
      <c r="E216" s="6" t="s">
        <v>137</v>
      </c>
      <c r="F216" s="6" t="s">
        <v>90</v>
      </c>
      <c r="G216" s="6" t="s">
        <v>110</v>
      </c>
      <c r="H216" s="6" t="s">
        <v>99</v>
      </c>
      <c r="I216" s="6" t="s">
        <v>130</v>
      </c>
      <c r="J216" s="25">
        <v>1</v>
      </c>
      <c r="K216" s="21">
        <v>237.71</v>
      </c>
      <c r="L216" s="63">
        <v>0.05</v>
      </c>
      <c r="M216" s="21">
        <v>112.47</v>
      </c>
      <c r="N216" s="6" t="s">
        <v>94</v>
      </c>
      <c r="O216" s="60">
        <f>Vendas2025[[#This Row],[Quantidade]]*Vendas2025[[#This Row],[Preço_Unitário_R$]]</f>
        <v>237.71</v>
      </c>
      <c r="P216" s="60">
        <f>Vendas2025[[#This Row],[Receita_Bruta_R$]]*Vendas2025[[#This Row],[Desconto_pct]]</f>
        <v>11.8855</v>
      </c>
      <c r="Q216" s="60">
        <f t="shared" si="15"/>
        <v>225.8245</v>
      </c>
      <c r="R216" s="60">
        <f t="shared" si="16"/>
        <v>112.47</v>
      </c>
      <c r="S216" s="60">
        <f t="shared" si="17"/>
        <v>113.3545</v>
      </c>
      <c r="T216" s="65">
        <f t="shared" si="18"/>
        <v>0.50195837918383523</v>
      </c>
    </row>
    <row r="217" spans="1:20">
      <c r="A217" s="41">
        <f t="shared" si="19"/>
        <v>4</v>
      </c>
      <c r="B217" s="6" t="s">
        <v>358</v>
      </c>
      <c r="C217" s="20">
        <v>45754</v>
      </c>
      <c r="D217" s="6" t="s">
        <v>113</v>
      </c>
      <c r="E217" s="6" t="s">
        <v>114</v>
      </c>
      <c r="F217" s="6" t="s">
        <v>90</v>
      </c>
      <c r="G217" s="6" t="s">
        <v>177</v>
      </c>
      <c r="H217" s="6" t="s">
        <v>106</v>
      </c>
      <c r="I217" s="6" t="s">
        <v>116</v>
      </c>
      <c r="J217" s="25">
        <v>2</v>
      </c>
      <c r="K217" s="21">
        <v>460.74</v>
      </c>
      <c r="L217" s="63">
        <v>0.2</v>
      </c>
      <c r="M217" s="21">
        <v>256.02999999999997</v>
      </c>
      <c r="N217" s="6" t="s">
        <v>94</v>
      </c>
      <c r="O217" s="60">
        <f>Vendas2025[[#This Row],[Quantidade]]*Vendas2025[[#This Row],[Preço_Unitário_R$]]</f>
        <v>921.48</v>
      </c>
      <c r="P217" s="60">
        <f>Vendas2025[[#This Row],[Receita_Bruta_R$]]*Vendas2025[[#This Row],[Desconto_pct]]</f>
        <v>184.29600000000002</v>
      </c>
      <c r="Q217" s="60">
        <f t="shared" si="15"/>
        <v>737.18399999999997</v>
      </c>
      <c r="R217" s="60">
        <f t="shared" si="16"/>
        <v>512.05999999999995</v>
      </c>
      <c r="S217" s="60">
        <f t="shared" si="17"/>
        <v>225.12400000000002</v>
      </c>
      <c r="T217" s="65">
        <f t="shared" si="18"/>
        <v>0.30538373052046713</v>
      </c>
    </row>
    <row r="218" spans="1:20">
      <c r="A218" s="41">
        <f t="shared" si="19"/>
        <v>4</v>
      </c>
      <c r="B218" s="6" t="s">
        <v>359</v>
      </c>
      <c r="C218" s="20">
        <v>45754</v>
      </c>
      <c r="D218" s="6" t="s">
        <v>132</v>
      </c>
      <c r="E218" s="6" t="s">
        <v>89</v>
      </c>
      <c r="F218" s="6" t="s">
        <v>122</v>
      </c>
      <c r="G218" s="6" t="s">
        <v>123</v>
      </c>
      <c r="H218" s="6" t="s">
        <v>99</v>
      </c>
      <c r="I218" s="6" t="s">
        <v>173</v>
      </c>
      <c r="J218" s="25">
        <v>1</v>
      </c>
      <c r="K218" s="21">
        <v>3651.35</v>
      </c>
      <c r="L218" s="63">
        <v>0.03</v>
      </c>
      <c r="M218" s="21">
        <v>2959.72</v>
      </c>
      <c r="N218" s="6" t="s">
        <v>94</v>
      </c>
      <c r="O218" s="60">
        <f>Vendas2025[[#This Row],[Quantidade]]*Vendas2025[[#This Row],[Preço_Unitário_R$]]</f>
        <v>3651.35</v>
      </c>
      <c r="P218" s="60">
        <f>Vendas2025[[#This Row],[Receita_Bruta_R$]]*Vendas2025[[#This Row],[Desconto_pct]]</f>
        <v>109.54049999999999</v>
      </c>
      <c r="Q218" s="60">
        <f t="shared" si="15"/>
        <v>3541.8094999999998</v>
      </c>
      <c r="R218" s="60">
        <f t="shared" si="16"/>
        <v>2959.72</v>
      </c>
      <c r="S218" s="60">
        <f t="shared" si="17"/>
        <v>582.08950000000004</v>
      </c>
      <c r="T218" s="65">
        <f t="shared" si="18"/>
        <v>0.16434805429258689</v>
      </c>
    </row>
    <row r="219" spans="1:20">
      <c r="A219" s="41">
        <f t="shared" si="19"/>
        <v>4</v>
      </c>
      <c r="B219" s="6" t="s">
        <v>360</v>
      </c>
      <c r="C219" s="20">
        <v>45755</v>
      </c>
      <c r="D219" s="6" t="s">
        <v>113</v>
      </c>
      <c r="E219" s="6" t="s">
        <v>114</v>
      </c>
      <c r="F219" s="6" t="s">
        <v>122</v>
      </c>
      <c r="G219" s="6" t="s">
        <v>127</v>
      </c>
      <c r="H219" s="6" t="s">
        <v>106</v>
      </c>
      <c r="I219" s="6" t="s">
        <v>170</v>
      </c>
      <c r="J219" s="25">
        <v>1</v>
      </c>
      <c r="K219" s="21">
        <v>567.21</v>
      </c>
      <c r="L219" s="63">
        <v>0.15</v>
      </c>
      <c r="M219" s="21">
        <v>285.25</v>
      </c>
      <c r="N219" s="6" t="s">
        <v>94</v>
      </c>
      <c r="O219" s="60">
        <f>Vendas2025[[#This Row],[Quantidade]]*Vendas2025[[#This Row],[Preço_Unitário_R$]]</f>
        <v>567.21</v>
      </c>
      <c r="P219" s="60">
        <f>Vendas2025[[#This Row],[Receita_Bruta_R$]]*Vendas2025[[#This Row],[Desconto_pct]]</f>
        <v>85.081500000000005</v>
      </c>
      <c r="Q219" s="60">
        <f t="shared" si="15"/>
        <v>482.12850000000003</v>
      </c>
      <c r="R219" s="60">
        <f t="shared" si="16"/>
        <v>285.25</v>
      </c>
      <c r="S219" s="60">
        <f t="shared" si="17"/>
        <v>196.87850000000003</v>
      </c>
      <c r="T219" s="65">
        <f t="shared" si="18"/>
        <v>0.40835275243010943</v>
      </c>
    </row>
    <row r="220" spans="1:20">
      <c r="A220" s="41">
        <f t="shared" si="19"/>
        <v>4</v>
      </c>
      <c r="B220" s="6" t="s">
        <v>361</v>
      </c>
      <c r="C220" s="20">
        <v>45756</v>
      </c>
      <c r="D220" s="6" t="s">
        <v>118</v>
      </c>
      <c r="E220" s="6" t="s">
        <v>114</v>
      </c>
      <c r="F220" s="6" t="s">
        <v>122</v>
      </c>
      <c r="G220" s="6" t="s">
        <v>91</v>
      </c>
      <c r="H220" s="6" t="s">
        <v>124</v>
      </c>
      <c r="I220" s="6" t="s">
        <v>199</v>
      </c>
      <c r="J220" s="25">
        <v>1</v>
      </c>
      <c r="K220" s="21">
        <v>302.51</v>
      </c>
      <c r="L220" s="63">
        <v>0.15</v>
      </c>
      <c r="M220" s="21">
        <v>134.13</v>
      </c>
      <c r="N220" s="6" t="s">
        <v>94</v>
      </c>
      <c r="O220" s="60">
        <f>Vendas2025[[#This Row],[Quantidade]]*Vendas2025[[#This Row],[Preço_Unitário_R$]]</f>
        <v>302.51</v>
      </c>
      <c r="P220" s="60">
        <f>Vendas2025[[#This Row],[Receita_Bruta_R$]]*Vendas2025[[#This Row],[Desconto_pct]]</f>
        <v>45.3765</v>
      </c>
      <c r="Q220" s="60">
        <f t="shared" si="15"/>
        <v>257.13349999999997</v>
      </c>
      <c r="R220" s="60">
        <f t="shared" si="16"/>
        <v>134.13</v>
      </c>
      <c r="S220" s="60">
        <f t="shared" si="17"/>
        <v>123.00349999999997</v>
      </c>
      <c r="T220" s="65">
        <f t="shared" si="18"/>
        <v>0.47836435159168289</v>
      </c>
    </row>
    <row r="221" spans="1:20">
      <c r="A221" s="41">
        <f t="shared" si="19"/>
        <v>4</v>
      </c>
      <c r="B221" s="6" t="s">
        <v>362</v>
      </c>
      <c r="C221" s="20">
        <v>45756</v>
      </c>
      <c r="D221" s="6" t="s">
        <v>96</v>
      </c>
      <c r="E221" s="6" t="s">
        <v>89</v>
      </c>
      <c r="F221" s="6" t="s">
        <v>122</v>
      </c>
      <c r="G221" s="6" t="s">
        <v>115</v>
      </c>
      <c r="H221" s="6" t="s">
        <v>106</v>
      </c>
      <c r="I221" s="6" t="s">
        <v>107</v>
      </c>
      <c r="J221" s="25">
        <v>1</v>
      </c>
      <c r="K221" s="21">
        <v>675.01</v>
      </c>
      <c r="L221" s="63">
        <v>0.2</v>
      </c>
      <c r="M221" s="21">
        <v>372.2</v>
      </c>
      <c r="N221" s="6" t="s">
        <v>94</v>
      </c>
      <c r="O221" s="60">
        <f>Vendas2025[[#This Row],[Quantidade]]*Vendas2025[[#This Row],[Preço_Unitário_R$]]</f>
        <v>675.01</v>
      </c>
      <c r="P221" s="60">
        <f>Vendas2025[[#This Row],[Receita_Bruta_R$]]*Vendas2025[[#This Row],[Desconto_pct]]</f>
        <v>135.00200000000001</v>
      </c>
      <c r="Q221" s="60">
        <f t="shared" si="15"/>
        <v>540.00800000000004</v>
      </c>
      <c r="R221" s="60">
        <f t="shared" si="16"/>
        <v>372.2</v>
      </c>
      <c r="S221" s="60">
        <f t="shared" si="17"/>
        <v>167.80800000000005</v>
      </c>
      <c r="T221" s="65">
        <f t="shared" si="18"/>
        <v>0.31075095183775064</v>
      </c>
    </row>
    <row r="222" spans="1:20">
      <c r="A222" s="41">
        <f t="shared" si="19"/>
        <v>4</v>
      </c>
      <c r="B222" s="6" t="s">
        <v>363</v>
      </c>
      <c r="C222" s="20">
        <v>45756</v>
      </c>
      <c r="D222" s="6" t="s">
        <v>136</v>
      </c>
      <c r="E222" s="6" t="s">
        <v>137</v>
      </c>
      <c r="F222" s="6" t="s">
        <v>122</v>
      </c>
      <c r="G222" s="6" t="s">
        <v>127</v>
      </c>
      <c r="H222" s="6" t="s">
        <v>92</v>
      </c>
      <c r="I222" s="6" t="s">
        <v>144</v>
      </c>
      <c r="J222" s="25">
        <v>1</v>
      </c>
      <c r="K222" s="21">
        <v>160.26</v>
      </c>
      <c r="L222" s="63">
        <v>0.05</v>
      </c>
      <c r="M222" s="21">
        <v>57.03</v>
      </c>
      <c r="N222" s="6" t="s">
        <v>94</v>
      </c>
      <c r="O222" s="60">
        <f>Vendas2025[[#This Row],[Quantidade]]*Vendas2025[[#This Row],[Preço_Unitário_R$]]</f>
        <v>160.26</v>
      </c>
      <c r="P222" s="60">
        <f>Vendas2025[[#This Row],[Receita_Bruta_R$]]*Vendas2025[[#This Row],[Desconto_pct]]</f>
        <v>8.0129999999999999</v>
      </c>
      <c r="Q222" s="60">
        <f t="shared" si="15"/>
        <v>152.24699999999999</v>
      </c>
      <c r="R222" s="60">
        <f t="shared" si="16"/>
        <v>57.03</v>
      </c>
      <c r="S222" s="60">
        <f t="shared" si="17"/>
        <v>95.216999999999985</v>
      </c>
      <c r="T222" s="65">
        <f t="shared" si="18"/>
        <v>0.62541133815444638</v>
      </c>
    </row>
    <row r="223" spans="1:20">
      <c r="A223" s="41">
        <f t="shared" si="19"/>
        <v>4</v>
      </c>
      <c r="B223" s="6" t="s">
        <v>364</v>
      </c>
      <c r="C223" s="20">
        <v>45757</v>
      </c>
      <c r="D223" s="6" t="s">
        <v>136</v>
      </c>
      <c r="E223" s="6" t="s">
        <v>137</v>
      </c>
      <c r="F223" s="6" t="s">
        <v>90</v>
      </c>
      <c r="G223" s="6" t="s">
        <v>154</v>
      </c>
      <c r="H223" s="6" t="s">
        <v>99</v>
      </c>
      <c r="I223" s="6" t="s">
        <v>158</v>
      </c>
      <c r="J223" s="25">
        <v>1</v>
      </c>
      <c r="K223" s="21">
        <v>190.42</v>
      </c>
      <c r="L223" s="63">
        <v>0.1</v>
      </c>
      <c r="M223" s="21">
        <v>86.45</v>
      </c>
      <c r="N223" s="6" t="s">
        <v>94</v>
      </c>
      <c r="O223" s="60">
        <f>Vendas2025[[#This Row],[Quantidade]]*Vendas2025[[#This Row],[Preço_Unitário_R$]]</f>
        <v>190.42</v>
      </c>
      <c r="P223" s="60">
        <f>Vendas2025[[#This Row],[Receita_Bruta_R$]]*Vendas2025[[#This Row],[Desconto_pct]]</f>
        <v>19.041999999999998</v>
      </c>
      <c r="Q223" s="60">
        <f t="shared" si="15"/>
        <v>171.37799999999999</v>
      </c>
      <c r="R223" s="60">
        <f t="shared" si="16"/>
        <v>86.45</v>
      </c>
      <c r="S223" s="60">
        <f t="shared" si="17"/>
        <v>84.927999999999983</v>
      </c>
      <c r="T223" s="65">
        <f t="shared" si="18"/>
        <v>0.49555952339273412</v>
      </c>
    </row>
    <row r="224" spans="1:20">
      <c r="A224" s="41">
        <f t="shared" si="19"/>
        <v>4</v>
      </c>
      <c r="B224" s="6" t="s">
        <v>365</v>
      </c>
      <c r="C224" s="20">
        <v>45757</v>
      </c>
      <c r="D224" s="6" t="s">
        <v>96</v>
      </c>
      <c r="E224" s="6" t="s">
        <v>89</v>
      </c>
      <c r="F224" s="6" t="s">
        <v>122</v>
      </c>
      <c r="G224" s="6" t="s">
        <v>98</v>
      </c>
      <c r="H224" s="6" t="s">
        <v>92</v>
      </c>
      <c r="I224" s="6" t="s">
        <v>134</v>
      </c>
      <c r="J224" s="25">
        <v>2</v>
      </c>
      <c r="K224" s="21">
        <v>448.11</v>
      </c>
      <c r="L224" s="63">
        <v>0.1</v>
      </c>
      <c r="M224" s="21">
        <v>249.37</v>
      </c>
      <c r="N224" s="6" t="s">
        <v>94</v>
      </c>
      <c r="O224" s="60">
        <f>Vendas2025[[#This Row],[Quantidade]]*Vendas2025[[#This Row],[Preço_Unitário_R$]]</f>
        <v>896.22</v>
      </c>
      <c r="P224" s="60">
        <f>Vendas2025[[#This Row],[Receita_Bruta_R$]]*Vendas2025[[#This Row],[Desconto_pct]]</f>
        <v>89.622000000000014</v>
      </c>
      <c r="Q224" s="60">
        <f t="shared" si="15"/>
        <v>806.59799999999996</v>
      </c>
      <c r="R224" s="60">
        <f t="shared" si="16"/>
        <v>498.74</v>
      </c>
      <c r="S224" s="60">
        <f t="shared" si="17"/>
        <v>307.85799999999995</v>
      </c>
      <c r="T224" s="65">
        <f t="shared" si="18"/>
        <v>0.381674638419634</v>
      </c>
    </row>
    <row r="225" spans="1:20">
      <c r="A225" s="41">
        <f t="shared" si="19"/>
        <v>4</v>
      </c>
      <c r="B225" s="6" t="s">
        <v>366</v>
      </c>
      <c r="C225" s="20">
        <v>45758</v>
      </c>
      <c r="D225" s="6" t="s">
        <v>102</v>
      </c>
      <c r="E225" s="6" t="s">
        <v>103</v>
      </c>
      <c r="F225" s="6" t="s">
        <v>104</v>
      </c>
      <c r="G225" s="6" t="s">
        <v>98</v>
      </c>
      <c r="H225" s="6" t="s">
        <v>92</v>
      </c>
      <c r="I225" s="6" t="s">
        <v>93</v>
      </c>
      <c r="J225" s="25">
        <v>2</v>
      </c>
      <c r="K225" s="21">
        <v>224.22</v>
      </c>
      <c r="L225" s="63">
        <v>0.05</v>
      </c>
      <c r="M225" s="21">
        <v>94.45</v>
      </c>
      <c r="N225" s="6" t="s">
        <v>94</v>
      </c>
      <c r="O225" s="60">
        <f>Vendas2025[[#This Row],[Quantidade]]*Vendas2025[[#This Row],[Preço_Unitário_R$]]</f>
        <v>448.44</v>
      </c>
      <c r="P225" s="60">
        <f>Vendas2025[[#This Row],[Receita_Bruta_R$]]*Vendas2025[[#This Row],[Desconto_pct]]</f>
        <v>22.422000000000001</v>
      </c>
      <c r="Q225" s="60">
        <f t="shared" si="15"/>
        <v>426.01799999999997</v>
      </c>
      <c r="R225" s="60">
        <f t="shared" si="16"/>
        <v>188.9</v>
      </c>
      <c r="S225" s="60">
        <f t="shared" si="17"/>
        <v>237.11799999999997</v>
      </c>
      <c r="T225" s="65">
        <f t="shared" si="18"/>
        <v>0.55659150552324077</v>
      </c>
    </row>
    <row r="226" spans="1:20">
      <c r="A226" s="41">
        <f t="shared" si="19"/>
        <v>4</v>
      </c>
      <c r="B226" s="6" t="s">
        <v>367</v>
      </c>
      <c r="C226" s="20">
        <v>45758</v>
      </c>
      <c r="D226" s="6" t="s">
        <v>102</v>
      </c>
      <c r="E226" s="6" t="s">
        <v>103</v>
      </c>
      <c r="F226" s="6" t="s">
        <v>90</v>
      </c>
      <c r="G226" s="6" t="s">
        <v>98</v>
      </c>
      <c r="H226" s="6" t="s">
        <v>99</v>
      </c>
      <c r="I226" s="6" t="s">
        <v>100</v>
      </c>
      <c r="J226" s="25">
        <v>1</v>
      </c>
      <c r="K226" s="21">
        <v>405.12</v>
      </c>
      <c r="L226" s="63">
        <v>0.1</v>
      </c>
      <c r="M226" s="21">
        <v>233.65</v>
      </c>
      <c r="N226" s="6" t="s">
        <v>94</v>
      </c>
      <c r="O226" s="60">
        <f>Vendas2025[[#This Row],[Quantidade]]*Vendas2025[[#This Row],[Preço_Unitário_R$]]</f>
        <v>405.12</v>
      </c>
      <c r="P226" s="60">
        <f>Vendas2025[[#This Row],[Receita_Bruta_R$]]*Vendas2025[[#This Row],[Desconto_pct]]</f>
        <v>40.512</v>
      </c>
      <c r="Q226" s="60">
        <f t="shared" si="15"/>
        <v>364.608</v>
      </c>
      <c r="R226" s="60">
        <f t="shared" si="16"/>
        <v>233.65</v>
      </c>
      <c r="S226" s="60">
        <f t="shared" si="17"/>
        <v>130.958</v>
      </c>
      <c r="T226" s="65">
        <f t="shared" si="18"/>
        <v>0.35917478497454802</v>
      </c>
    </row>
    <row r="227" spans="1:20">
      <c r="A227" s="41">
        <f t="shared" si="19"/>
        <v>4</v>
      </c>
      <c r="B227" s="6" t="s">
        <v>368</v>
      </c>
      <c r="C227" s="20">
        <v>45758</v>
      </c>
      <c r="D227" s="6" t="s">
        <v>118</v>
      </c>
      <c r="E227" s="6" t="s">
        <v>114</v>
      </c>
      <c r="F227" s="6" t="s">
        <v>97</v>
      </c>
      <c r="G227" s="6" t="s">
        <v>151</v>
      </c>
      <c r="H227" s="6" t="s">
        <v>124</v>
      </c>
      <c r="I227" s="6" t="s">
        <v>193</v>
      </c>
      <c r="J227" s="25">
        <v>2</v>
      </c>
      <c r="K227" s="21">
        <v>359.66</v>
      </c>
      <c r="L227" s="63">
        <v>0.05</v>
      </c>
      <c r="M227" s="21">
        <v>157.33000000000001</v>
      </c>
      <c r="N227" s="6" t="s">
        <v>94</v>
      </c>
      <c r="O227" s="60">
        <f>Vendas2025[[#This Row],[Quantidade]]*Vendas2025[[#This Row],[Preço_Unitário_R$]]</f>
        <v>719.32</v>
      </c>
      <c r="P227" s="60">
        <f>Vendas2025[[#This Row],[Receita_Bruta_R$]]*Vendas2025[[#This Row],[Desconto_pct]]</f>
        <v>35.966000000000001</v>
      </c>
      <c r="Q227" s="60">
        <f t="shared" si="15"/>
        <v>683.35400000000004</v>
      </c>
      <c r="R227" s="60">
        <f t="shared" si="16"/>
        <v>314.66000000000003</v>
      </c>
      <c r="S227" s="60">
        <f t="shared" si="17"/>
        <v>368.69400000000002</v>
      </c>
      <c r="T227" s="65">
        <f t="shared" si="18"/>
        <v>0.53953587745151121</v>
      </c>
    </row>
    <row r="228" spans="1:20">
      <c r="A228" s="41">
        <f t="shared" si="19"/>
        <v>4</v>
      </c>
      <c r="B228" s="6" t="s">
        <v>369</v>
      </c>
      <c r="C228" s="20">
        <v>45759</v>
      </c>
      <c r="D228" s="6" t="s">
        <v>129</v>
      </c>
      <c r="E228" s="6" t="s">
        <v>103</v>
      </c>
      <c r="F228" s="6" t="s">
        <v>90</v>
      </c>
      <c r="G228" s="6" t="s">
        <v>151</v>
      </c>
      <c r="H228" s="6" t="s">
        <v>119</v>
      </c>
      <c r="I228" s="6" t="s">
        <v>155</v>
      </c>
      <c r="J228" s="25">
        <v>1</v>
      </c>
      <c r="K228" s="21">
        <v>366.75</v>
      </c>
      <c r="L228" s="63">
        <v>0.15</v>
      </c>
      <c r="M228" s="21">
        <v>202.73</v>
      </c>
      <c r="N228" s="6" t="s">
        <v>94</v>
      </c>
      <c r="O228" s="60">
        <f>Vendas2025[[#This Row],[Quantidade]]*Vendas2025[[#This Row],[Preço_Unitário_R$]]</f>
        <v>366.75</v>
      </c>
      <c r="P228" s="60">
        <f>Vendas2025[[#This Row],[Receita_Bruta_R$]]*Vendas2025[[#This Row],[Desconto_pct]]</f>
        <v>55.012499999999996</v>
      </c>
      <c r="Q228" s="60">
        <f t="shared" si="15"/>
        <v>311.73750000000001</v>
      </c>
      <c r="R228" s="60">
        <f t="shared" si="16"/>
        <v>202.73</v>
      </c>
      <c r="S228" s="60">
        <f t="shared" si="17"/>
        <v>109.00750000000002</v>
      </c>
      <c r="T228" s="65">
        <f t="shared" si="18"/>
        <v>0.34967721239825178</v>
      </c>
    </row>
    <row r="229" spans="1:20">
      <c r="A229" s="41">
        <f t="shared" si="19"/>
        <v>4</v>
      </c>
      <c r="B229" s="6" t="s">
        <v>370</v>
      </c>
      <c r="C229" s="20">
        <v>45759</v>
      </c>
      <c r="D229" s="6" t="s">
        <v>102</v>
      </c>
      <c r="E229" s="6" t="s">
        <v>103</v>
      </c>
      <c r="F229" s="6" t="s">
        <v>97</v>
      </c>
      <c r="G229" s="6" t="s">
        <v>123</v>
      </c>
      <c r="H229" s="6" t="s">
        <v>119</v>
      </c>
      <c r="I229" s="6" t="s">
        <v>138</v>
      </c>
      <c r="J229" s="25">
        <v>1</v>
      </c>
      <c r="K229" s="21">
        <v>136.47999999999999</v>
      </c>
      <c r="L229" s="63">
        <v>0.15</v>
      </c>
      <c r="M229" s="21">
        <v>52.96</v>
      </c>
      <c r="N229" s="6" t="s">
        <v>94</v>
      </c>
      <c r="O229" s="60">
        <f>Vendas2025[[#This Row],[Quantidade]]*Vendas2025[[#This Row],[Preço_Unitário_R$]]</f>
        <v>136.47999999999999</v>
      </c>
      <c r="P229" s="60">
        <f>Vendas2025[[#This Row],[Receita_Bruta_R$]]*Vendas2025[[#This Row],[Desconto_pct]]</f>
        <v>20.471999999999998</v>
      </c>
      <c r="Q229" s="60">
        <f t="shared" si="15"/>
        <v>116.008</v>
      </c>
      <c r="R229" s="60">
        <f t="shared" si="16"/>
        <v>52.96</v>
      </c>
      <c r="S229" s="60">
        <f t="shared" si="17"/>
        <v>63.047999999999995</v>
      </c>
      <c r="T229" s="65">
        <f t="shared" si="18"/>
        <v>0.54347976001655052</v>
      </c>
    </row>
    <row r="230" spans="1:20">
      <c r="A230" s="41">
        <f t="shared" si="19"/>
        <v>4</v>
      </c>
      <c r="B230" s="6" t="s">
        <v>371</v>
      </c>
      <c r="C230" s="20">
        <v>45761</v>
      </c>
      <c r="D230" s="6" t="s">
        <v>88</v>
      </c>
      <c r="E230" s="6" t="s">
        <v>89</v>
      </c>
      <c r="F230" s="6" t="s">
        <v>90</v>
      </c>
      <c r="G230" s="6" t="s">
        <v>151</v>
      </c>
      <c r="H230" s="6" t="s">
        <v>106</v>
      </c>
      <c r="I230" s="6" t="s">
        <v>116</v>
      </c>
      <c r="J230" s="25">
        <v>1</v>
      </c>
      <c r="K230" s="21">
        <v>444.55</v>
      </c>
      <c r="L230" s="63">
        <v>0.25</v>
      </c>
      <c r="M230" s="21">
        <v>236.2</v>
      </c>
      <c r="N230" s="6" t="s">
        <v>94</v>
      </c>
      <c r="O230" s="60">
        <f>Vendas2025[[#This Row],[Quantidade]]*Vendas2025[[#This Row],[Preço_Unitário_R$]]</f>
        <v>444.55</v>
      </c>
      <c r="P230" s="60">
        <f>Vendas2025[[#This Row],[Receita_Bruta_R$]]*Vendas2025[[#This Row],[Desconto_pct]]</f>
        <v>111.1375</v>
      </c>
      <c r="Q230" s="60">
        <f t="shared" si="15"/>
        <v>333.41250000000002</v>
      </c>
      <c r="R230" s="60">
        <f t="shared" si="16"/>
        <v>236.2</v>
      </c>
      <c r="S230" s="60">
        <f t="shared" si="17"/>
        <v>97.212500000000034</v>
      </c>
      <c r="T230" s="65">
        <f t="shared" si="18"/>
        <v>0.29156825254002183</v>
      </c>
    </row>
    <row r="231" spans="1:20">
      <c r="A231" s="41">
        <f t="shared" si="19"/>
        <v>4</v>
      </c>
      <c r="B231" s="6" t="s">
        <v>372</v>
      </c>
      <c r="C231" s="20">
        <v>45761</v>
      </c>
      <c r="D231" s="6" t="s">
        <v>136</v>
      </c>
      <c r="E231" s="6" t="s">
        <v>137</v>
      </c>
      <c r="F231" s="6" t="s">
        <v>122</v>
      </c>
      <c r="G231" s="6" t="s">
        <v>98</v>
      </c>
      <c r="H231" s="6" t="s">
        <v>124</v>
      </c>
      <c r="I231" s="6" t="s">
        <v>193</v>
      </c>
      <c r="J231" s="25">
        <v>1</v>
      </c>
      <c r="K231" s="21">
        <v>408.35</v>
      </c>
      <c r="L231" s="63">
        <v>0.1</v>
      </c>
      <c r="M231" s="21">
        <v>181.16</v>
      </c>
      <c r="N231" s="6" t="s">
        <v>94</v>
      </c>
      <c r="O231" s="60">
        <f>Vendas2025[[#This Row],[Quantidade]]*Vendas2025[[#This Row],[Preço_Unitário_R$]]</f>
        <v>408.35</v>
      </c>
      <c r="P231" s="60">
        <f>Vendas2025[[#This Row],[Receita_Bruta_R$]]*Vendas2025[[#This Row],[Desconto_pct]]</f>
        <v>40.835000000000008</v>
      </c>
      <c r="Q231" s="60">
        <f t="shared" si="15"/>
        <v>367.51499999999999</v>
      </c>
      <c r="R231" s="60">
        <f t="shared" si="16"/>
        <v>181.16</v>
      </c>
      <c r="S231" s="60">
        <f t="shared" si="17"/>
        <v>186.35499999999999</v>
      </c>
      <c r="T231" s="65">
        <f t="shared" si="18"/>
        <v>0.50706773873175248</v>
      </c>
    </row>
    <row r="232" spans="1:20">
      <c r="A232" s="41">
        <f t="shared" si="19"/>
        <v>4</v>
      </c>
      <c r="B232" s="6" t="s">
        <v>373</v>
      </c>
      <c r="C232" s="20">
        <v>45761</v>
      </c>
      <c r="D232" s="6" t="s">
        <v>136</v>
      </c>
      <c r="E232" s="6" t="s">
        <v>137</v>
      </c>
      <c r="F232" s="6" t="s">
        <v>97</v>
      </c>
      <c r="G232" s="6" t="s">
        <v>140</v>
      </c>
      <c r="H232" s="6" t="s">
        <v>99</v>
      </c>
      <c r="I232" s="6" t="s">
        <v>130</v>
      </c>
      <c r="J232" s="25">
        <v>1</v>
      </c>
      <c r="K232" s="21">
        <v>266.42</v>
      </c>
      <c r="L232" s="63">
        <v>0</v>
      </c>
      <c r="M232" s="21">
        <v>132.33000000000001</v>
      </c>
      <c r="N232" s="6" t="s">
        <v>94</v>
      </c>
      <c r="O232" s="60">
        <f>Vendas2025[[#This Row],[Quantidade]]*Vendas2025[[#This Row],[Preço_Unitário_R$]]</f>
        <v>266.42</v>
      </c>
      <c r="P232" s="60">
        <f>Vendas2025[[#This Row],[Receita_Bruta_R$]]*Vendas2025[[#This Row],[Desconto_pct]]</f>
        <v>0</v>
      </c>
      <c r="Q232" s="60">
        <f t="shared" si="15"/>
        <v>266.42</v>
      </c>
      <c r="R232" s="60">
        <f t="shared" si="16"/>
        <v>132.33000000000001</v>
      </c>
      <c r="S232" s="60">
        <f t="shared" si="17"/>
        <v>134.09</v>
      </c>
      <c r="T232" s="65">
        <f t="shared" si="18"/>
        <v>0.5033030553261767</v>
      </c>
    </row>
    <row r="233" spans="1:20">
      <c r="A233" s="41">
        <f t="shared" si="19"/>
        <v>4</v>
      </c>
      <c r="B233" s="6" t="s">
        <v>374</v>
      </c>
      <c r="C233" s="20">
        <v>45761</v>
      </c>
      <c r="D233" s="6" t="s">
        <v>102</v>
      </c>
      <c r="E233" s="6" t="s">
        <v>103</v>
      </c>
      <c r="F233" s="6" t="s">
        <v>90</v>
      </c>
      <c r="G233" s="6" t="s">
        <v>177</v>
      </c>
      <c r="H233" s="6" t="s">
        <v>124</v>
      </c>
      <c r="I233" s="6" t="s">
        <v>193</v>
      </c>
      <c r="J233" s="25">
        <v>1</v>
      </c>
      <c r="K233" s="21">
        <v>381.24</v>
      </c>
      <c r="L233" s="63">
        <v>0.05</v>
      </c>
      <c r="M233" s="21">
        <v>162.88999999999999</v>
      </c>
      <c r="N233" s="6" t="s">
        <v>94</v>
      </c>
      <c r="O233" s="60">
        <f>Vendas2025[[#This Row],[Quantidade]]*Vendas2025[[#This Row],[Preço_Unitário_R$]]</f>
        <v>381.24</v>
      </c>
      <c r="P233" s="60">
        <f>Vendas2025[[#This Row],[Receita_Bruta_R$]]*Vendas2025[[#This Row],[Desconto_pct]]</f>
        <v>19.062000000000001</v>
      </c>
      <c r="Q233" s="60">
        <f t="shared" si="15"/>
        <v>362.178</v>
      </c>
      <c r="R233" s="60">
        <f t="shared" si="16"/>
        <v>162.88999999999999</v>
      </c>
      <c r="S233" s="60">
        <f t="shared" si="17"/>
        <v>199.28800000000001</v>
      </c>
      <c r="T233" s="65">
        <f t="shared" si="18"/>
        <v>0.55024877270292516</v>
      </c>
    </row>
    <row r="234" spans="1:20">
      <c r="A234" s="41">
        <f t="shared" si="19"/>
        <v>4</v>
      </c>
      <c r="B234" s="6" t="s">
        <v>375</v>
      </c>
      <c r="C234" s="20">
        <v>45762</v>
      </c>
      <c r="D234" s="6" t="s">
        <v>113</v>
      </c>
      <c r="E234" s="6" t="s">
        <v>114</v>
      </c>
      <c r="F234" s="6" t="s">
        <v>104</v>
      </c>
      <c r="G234" s="6" t="s">
        <v>127</v>
      </c>
      <c r="H234" s="6" t="s">
        <v>106</v>
      </c>
      <c r="I234" s="6" t="s">
        <v>111</v>
      </c>
      <c r="J234" s="25">
        <v>2</v>
      </c>
      <c r="K234" s="21">
        <v>270.61</v>
      </c>
      <c r="L234" s="63">
        <v>0.1</v>
      </c>
      <c r="M234" s="21">
        <v>122.31</v>
      </c>
      <c r="N234" s="6" t="s">
        <v>94</v>
      </c>
      <c r="O234" s="60">
        <f>Vendas2025[[#This Row],[Quantidade]]*Vendas2025[[#This Row],[Preço_Unitário_R$]]</f>
        <v>541.22</v>
      </c>
      <c r="P234" s="60">
        <f>Vendas2025[[#This Row],[Receita_Bruta_R$]]*Vendas2025[[#This Row],[Desconto_pct]]</f>
        <v>54.122000000000007</v>
      </c>
      <c r="Q234" s="60">
        <f t="shared" si="15"/>
        <v>487.09800000000001</v>
      </c>
      <c r="R234" s="60">
        <f t="shared" si="16"/>
        <v>244.62</v>
      </c>
      <c r="S234" s="60">
        <f t="shared" si="17"/>
        <v>242.47800000000001</v>
      </c>
      <c r="T234" s="65">
        <f t="shared" si="18"/>
        <v>0.49780126381138906</v>
      </c>
    </row>
    <row r="235" spans="1:20">
      <c r="A235" s="41">
        <f t="shared" si="19"/>
        <v>4</v>
      </c>
      <c r="B235" s="6" t="s">
        <v>376</v>
      </c>
      <c r="C235" s="20">
        <v>45763</v>
      </c>
      <c r="D235" s="6" t="s">
        <v>129</v>
      </c>
      <c r="E235" s="6" t="s">
        <v>103</v>
      </c>
      <c r="F235" s="6" t="s">
        <v>90</v>
      </c>
      <c r="G235" s="6" t="s">
        <v>105</v>
      </c>
      <c r="H235" s="6" t="s">
        <v>106</v>
      </c>
      <c r="I235" s="6" t="s">
        <v>170</v>
      </c>
      <c r="J235" s="25">
        <v>1</v>
      </c>
      <c r="K235" s="21">
        <v>525.54</v>
      </c>
      <c r="L235" s="63">
        <v>0.25</v>
      </c>
      <c r="M235" s="21">
        <v>278.83999999999997</v>
      </c>
      <c r="N235" s="6" t="s">
        <v>94</v>
      </c>
      <c r="O235" s="60">
        <f>Vendas2025[[#This Row],[Quantidade]]*Vendas2025[[#This Row],[Preço_Unitário_R$]]</f>
        <v>525.54</v>
      </c>
      <c r="P235" s="60">
        <f>Vendas2025[[#This Row],[Receita_Bruta_R$]]*Vendas2025[[#This Row],[Desconto_pct]]</f>
        <v>131.38499999999999</v>
      </c>
      <c r="Q235" s="60">
        <f t="shared" si="15"/>
        <v>394.15499999999997</v>
      </c>
      <c r="R235" s="60">
        <f t="shared" si="16"/>
        <v>278.83999999999997</v>
      </c>
      <c r="S235" s="60">
        <f t="shared" si="17"/>
        <v>115.315</v>
      </c>
      <c r="T235" s="65">
        <f t="shared" si="18"/>
        <v>0.29256257056234225</v>
      </c>
    </row>
    <row r="236" spans="1:20">
      <c r="A236" s="41">
        <f t="shared" si="19"/>
        <v>4</v>
      </c>
      <c r="B236" s="6" t="s">
        <v>377</v>
      </c>
      <c r="C236" s="20">
        <v>45763</v>
      </c>
      <c r="D236" s="6" t="s">
        <v>96</v>
      </c>
      <c r="E236" s="6" t="s">
        <v>89</v>
      </c>
      <c r="F236" s="6" t="s">
        <v>97</v>
      </c>
      <c r="G236" s="6" t="s">
        <v>160</v>
      </c>
      <c r="H236" s="6" t="s">
        <v>124</v>
      </c>
      <c r="I236" s="6" t="s">
        <v>125</v>
      </c>
      <c r="J236" s="25">
        <v>1</v>
      </c>
      <c r="K236" s="21">
        <v>662.88</v>
      </c>
      <c r="L236" s="63">
        <v>0.15</v>
      </c>
      <c r="M236" s="21">
        <v>313.31</v>
      </c>
      <c r="N236" s="6" t="s">
        <v>94</v>
      </c>
      <c r="O236" s="60">
        <f>Vendas2025[[#This Row],[Quantidade]]*Vendas2025[[#This Row],[Preço_Unitário_R$]]</f>
        <v>662.88</v>
      </c>
      <c r="P236" s="60">
        <f>Vendas2025[[#This Row],[Receita_Bruta_R$]]*Vendas2025[[#This Row],[Desconto_pct]]</f>
        <v>99.432000000000002</v>
      </c>
      <c r="Q236" s="60">
        <f t="shared" si="15"/>
        <v>563.44799999999998</v>
      </c>
      <c r="R236" s="60">
        <f t="shared" si="16"/>
        <v>313.31</v>
      </c>
      <c r="S236" s="60">
        <f t="shared" si="17"/>
        <v>250.13799999999998</v>
      </c>
      <c r="T236" s="65">
        <f t="shared" si="18"/>
        <v>0.44394158822109581</v>
      </c>
    </row>
    <row r="237" spans="1:20">
      <c r="A237" s="41">
        <f t="shared" si="19"/>
        <v>4</v>
      </c>
      <c r="B237" s="6" t="s">
        <v>378</v>
      </c>
      <c r="C237" s="20">
        <v>45764</v>
      </c>
      <c r="D237" s="6" t="s">
        <v>88</v>
      </c>
      <c r="E237" s="6" t="s">
        <v>89</v>
      </c>
      <c r="F237" s="6" t="s">
        <v>97</v>
      </c>
      <c r="G237" s="6" t="s">
        <v>177</v>
      </c>
      <c r="H237" s="6" t="s">
        <v>106</v>
      </c>
      <c r="I237" s="6" t="s">
        <v>111</v>
      </c>
      <c r="J237" s="25">
        <v>1</v>
      </c>
      <c r="K237" s="21">
        <v>271.58999999999997</v>
      </c>
      <c r="L237" s="63">
        <v>0.05</v>
      </c>
      <c r="M237" s="21">
        <v>124.02</v>
      </c>
      <c r="N237" s="6" t="s">
        <v>94</v>
      </c>
      <c r="O237" s="60">
        <f>Vendas2025[[#This Row],[Quantidade]]*Vendas2025[[#This Row],[Preço_Unitário_R$]]</f>
        <v>271.58999999999997</v>
      </c>
      <c r="P237" s="60">
        <f>Vendas2025[[#This Row],[Receita_Bruta_R$]]*Vendas2025[[#This Row],[Desconto_pct]]</f>
        <v>13.579499999999999</v>
      </c>
      <c r="Q237" s="60">
        <f t="shared" si="15"/>
        <v>258.01049999999998</v>
      </c>
      <c r="R237" s="60">
        <f t="shared" si="16"/>
        <v>124.02</v>
      </c>
      <c r="S237" s="60">
        <f t="shared" si="17"/>
        <v>133.9905</v>
      </c>
      <c r="T237" s="65">
        <f t="shared" si="18"/>
        <v>0.51932188806269519</v>
      </c>
    </row>
    <row r="238" spans="1:20">
      <c r="A238" s="41">
        <f t="shared" si="19"/>
        <v>4</v>
      </c>
      <c r="B238" s="6" t="s">
        <v>379</v>
      </c>
      <c r="C238" s="20">
        <v>45764</v>
      </c>
      <c r="D238" s="6" t="s">
        <v>132</v>
      </c>
      <c r="E238" s="6" t="s">
        <v>89</v>
      </c>
      <c r="F238" s="6" t="s">
        <v>122</v>
      </c>
      <c r="G238" s="6" t="s">
        <v>123</v>
      </c>
      <c r="H238" s="6" t="s">
        <v>106</v>
      </c>
      <c r="I238" s="6" t="s">
        <v>111</v>
      </c>
      <c r="J238" s="25">
        <v>1</v>
      </c>
      <c r="K238" s="21">
        <v>288.02999999999997</v>
      </c>
      <c r="L238" s="63">
        <v>0.05</v>
      </c>
      <c r="M238" s="21">
        <v>125.64</v>
      </c>
      <c r="N238" s="6" t="s">
        <v>94</v>
      </c>
      <c r="O238" s="60">
        <f>Vendas2025[[#This Row],[Quantidade]]*Vendas2025[[#This Row],[Preço_Unitário_R$]]</f>
        <v>288.02999999999997</v>
      </c>
      <c r="P238" s="60">
        <f>Vendas2025[[#This Row],[Receita_Bruta_R$]]*Vendas2025[[#This Row],[Desconto_pct]]</f>
        <v>14.401499999999999</v>
      </c>
      <c r="Q238" s="60">
        <f t="shared" si="15"/>
        <v>273.62849999999997</v>
      </c>
      <c r="R238" s="60">
        <f t="shared" si="16"/>
        <v>125.64</v>
      </c>
      <c r="S238" s="60">
        <f t="shared" si="17"/>
        <v>147.98849999999999</v>
      </c>
      <c r="T238" s="65">
        <f t="shared" si="18"/>
        <v>0.54083730313180101</v>
      </c>
    </row>
    <row r="239" spans="1:20">
      <c r="A239" s="41">
        <f t="shared" si="19"/>
        <v>4</v>
      </c>
      <c r="B239" s="6" t="s">
        <v>380</v>
      </c>
      <c r="C239" s="20">
        <v>45764</v>
      </c>
      <c r="D239" s="6" t="s">
        <v>113</v>
      </c>
      <c r="E239" s="6" t="s">
        <v>114</v>
      </c>
      <c r="F239" s="6" t="s">
        <v>97</v>
      </c>
      <c r="G239" s="6" t="s">
        <v>127</v>
      </c>
      <c r="H239" s="6" t="s">
        <v>106</v>
      </c>
      <c r="I239" s="6" t="s">
        <v>116</v>
      </c>
      <c r="J239" s="25">
        <v>1</v>
      </c>
      <c r="K239" s="21">
        <v>445.92</v>
      </c>
      <c r="L239" s="63">
        <v>0.1</v>
      </c>
      <c r="M239" s="21">
        <v>244.21</v>
      </c>
      <c r="N239" s="6" t="s">
        <v>94</v>
      </c>
      <c r="O239" s="60">
        <f>Vendas2025[[#This Row],[Quantidade]]*Vendas2025[[#This Row],[Preço_Unitário_R$]]</f>
        <v>445.92</v>
      </c>
      <c r="P239" s="60">
        <f>Vendas2025[[#This Row],[Receita_Bruta_R$]]*Vendas2025[[#This Row],[Desconto_pct]]</f>
        <v>44.592000000000006</v>
      </c>
      <c r="Q239" s="60">
        <f t="shared" si="15"/>
        <v>401.32800000000003</v>
      </c>
      <c r="R239" s="60">
        <f t="shared" si="16"/>
        <v>244.21</v>
      </c>
      <c r="S239" s="60">
        <f t="shared" si="17"/>
        <v>157.11800000000002</v>
      </c>
      <c r="T239" s="65">
        <f t="shared" si="18"/>
        <v>0.39149523581708728</v>
      </c>
    </row>
    <row r="240" spans="1:20">
      <c r="A240" s="41">
        <f t="shared" si="19"/>
        <v>4</v>
      </c>
      <c r="B240" s="6" t="s">
        <v>381</v>
      </c>
      <c r="C240" s="20">
        <v>45764</v>
      </c>
      <c r="D240" s="6" t="s">
        <v>118</v>
      </c>
      <c r="E240" s="6" t="s">
        <v>114</v>
      </c>
      <c r="F240" s="6" t="s">
        <v>97</v>
      </c>
      <c r="G240" s="6" t="s">
        <v>154</v>
      </c>
      <c r="H240" s="6" t="s">
        <v>119</v>
      </c>
      <c r="I240" s="6" t="s">
        <v>155</v>
      </c>
      <c r="J240" s="25">
        <v>1</v>
      </c>
      <c r="K240" s="21">
        <v>385.62</v>
      </c>
      <c r="L240" s="63">
        <v>0.1</v>
      </c>
      <c r="M240" s="21">
        <v>218.82</v>
      </c>
      <c r="N240" s="6" t="s">
        <v>94</v>
      </c>
      <c r="O240" s="60">
        <f>Vendas2025[[#This Row],[Quantidade]]*Vendas2025[[#This Row],[Preço_Unitário_R$]]</f>
        <v>385.62</v>
      </c>
      <c r="P240" s="60">
        <f>Vendas2025[[#This Row],[Receita_Bruta_R$]]*Vendas2025[[#This Row],[Desconto_pct]]</f>
        <v>38.562000000000005</v>
      </c>
      <c r="Q240" s="60">
        <f t="shared" si="15"/>
        <v>347.05799999999999</v>
      </c>
      <c r="R240" s="60">
        <f t="shared" si="16"/>
        <v>218.82</v>
      </c>
      <c r="S240" s="60">
        <f t="shared" si="17"/>
        <v>128.238</v>
      </c>
      <c r="T240" s="65">
        <f t="shared" si="18"/>
        <v>0.36950019881403107</v>
      </c>
    </row>
    <row r="241" spans="1:20">
      <c r="A241" s="41">
        <f t="shared" si="19"/>
        <v>4</v>
      </c>
      <c r="B241" s="6" t="s">
        <v>382</v>
      </c>
      <c r="C241" s="20">
        <v>45764</v>
      </c>
      <c r="D241" s="6" t="s">
        <v>118</v>
      </c>
      <c r="E241" s="6" t="s">
        <v>114</v>
      </c>
      <c r="F241" s="6" t="s">
        <v>104</v>
      </c>
      <c r="G241" s="6" t="s">
        <v>91</v>
      </c>
      <c r="H241" s="6" t="s">
        <v>124</v>
      </c>
      <c r="I241" s="6" t="s">
        <v>125</v>
      </c>
      <c r="J241" s="25">
        <v>1</v>
      </c>
      <c r="K241" s="21">
        <v>689.77</v>
      </c>
      <c r="L241" s="63">
        <v>0</v>
      </c>
      <c r="M241" s="21">
        <v>336.89</v>
      </c>
      <c r="N241" s="6" t="s">
        <v>94</v>
      </c>
      <c r="O241" s="60">
        <f>Vendas2025[[#This Row],[Quantidade]]*Vendas2025[[#This Row],[Preço_Unitário_R$]]</f>
        <v>689.77</v>
      </c>
      <c r="P241" s="60">
        <f>Vendas2025[[#This Row],[Receita_Bruta_R$]]*Vendas2025[[#This Row],[Desconto_pct]]</f>
        <v>0</v>
      </c>
      <c r="Q241" s="60">
        <f t="shared" si="15"/>
        <v>689.77</v>
      </c>
      <c r="R241" s="60">
        <f t="shared" si="16"/>
        <v>336.89</v>
      </c>
      <c r="S241" s="60">
        <f t="shared" si="17"/>
        <v>352.88</v>
      </c>
      <c r="T241" s="65">
        <f t="shared" si="18"/>
        <v>0.51159082012844859</v>
      </c>
    </row>
    <row r="242" spans="1:20">
      <c r="A242" s="41">
        <f t="shared" si="19"/>
        <v>4</v>
      </c>
      <c r="B242" s="6" t="s">
        <v>383</v>
      </c>
      <c r="C242" s="20">
        <v>45765</v>
      </c>
      <c r="D242" s="6" t="s">
        <v>136</v>
      </c>
      <c r="E242" s="6" t="s">
        <v>137</v>
      </c>
      <c r="F242" s="6" t="s">
        <v>122</v>
      </c>
      <c r="G242" s="6" t="s">
        <v>123</v>
      </c>
      <c r="H242" s="6" t="s">
        <v>119</v>
      </c>
      <c r="I242" s="6" t="s">
        <v>138</v>
      </c>
      <c r="J242" s="25">
        <v>1</v>
      </c>
      <c r="K242" s="21">
        <v>140.94</v>
      </c>
      <c r="L242" s="63">
        <v>0.05</v>
      </c>
      <c r="M242" s="21">
        <v>54.9</v>
      </c>
      <c r="N242" s="6" t="s">
        <v>94</v>
      </c>
      <c r="O242" s="60">
        <f>Vendas2025[[#This Row],[Quantidade]]*Vendas2025[[#This Row],[Preço_Unitário_R$]]</f>
        <v>140.94</v>
      </c>
      <c r="P242" s="60">
        <f>Vendas2025[[#This Row],[Receita_Bruta_R$]]*Vendas2025[[#This Row],[Desconto_pct]]</f>
        <v>7.0470000000000006</v>
      </c>
      <c r="Q242" s="60">
        <f t="shared" si="15"/>
        <v>133.893</v>
      </c>
      <c r="R242" s="60">
        <f t="shared" si="16"/>
        <v>54.9</v>
      </c>
      <c r="S242" s="60">
        <f t="shared" si="17"/>
        <v>78.992999999999995</v>
      </c>
      <c r="T242" s="65">
        <f t="shared" si="18"/>
        <v>0.58997109632318345</v>
      </c>
    </row>
    <row r="243" spans="1:20">
      <c r="A243" s="41">
        <f t="shared" si="19"/>
        <v>4</v>
      </c>
      <c r="B243" s="6" t="s">
        <v>384</v>
      </c>
      <c r="C243" s="20">
        <v>45765</v>
      </c>
      <c r="D243" s="6" t="s">
        <v>132</v>
      </c>
      <c r="E243" s="6" t="s">
        <v>89</v>
      </c>
      <c r="F243" s="6" t="s">
        <v>97</v>
      </c>
      <c r="G243" s="6" t="s">
        <v>98</v>
      </c>
      <c r="H243" s="6" t="s">
        <v>106</v>
      </c>
      <c r="I243" s="6" t="s">
        <v>184</v>
      </c>
      <c r="J243" s="25">
        <v>1</v>
      </c>
      <c r="K243" s="21">
        <v>1201.1600000000001</v>
      </c>
      <c r="L243" s="63">
        <v>0.08</v>
      </c>
      <c r="M243" s="21">
        <v>855.05</v>
      </c>
      <c r="N243" s="6" t="s">
        <v>94</v>
      </c>
      <c r="O243" s="60">
        <f>Vendas2025[[#This Row],[Quantidade]]*Vendas2025[[#This Row],[Preço_Unitário_R$]]</f>
        <v>1201.1600000000001</v>
      </c>
      <c r="P243" s="60">
        <f>Vendas2025[[#This Row],[Receita_Bruta_R$]]*Vendas2025[[#This Row],[Desconto_pct]]</f>
        <v>96.092800000000011</v>
      </c>
      <c r="Q243" s="60">
        <f t="shared" si="15"/>
        <v>1105.0672</v>
      </c>
      <c r="R243" s="60">
        <f t="shared" si="16"/>
        <v>855.05</v>
      </c>
      <c r="S243" s="60">
        <f t="shared" si="17"/>
        <v>250.0172</v>
      </c>
      <c r="T243" s="65">
        <f t="shared" si="18"/>
        <v>0.2262461504603521</v>
      </c>
    </row>
    <row r="244" spans="1:20">
      <c r="A244" s="41">
        <f t="shared" si="19"/>
        <v>4</v>
      </c>
      <c r="B244" s="6" t="s">
        <v>385</v>
      </c>
      <c r="C244" s="20">
        <v>45765</v>
      </c>
      <c r="D244" s="6" t="s">
        <v>102</v>
      </c>
      <c r="E244" s="6" t="s">
        <v>103</v>
      </c>
      <c r="F244" s="6" t="s">
        <v>90</v>
      </c>
      <c r="G244" s="6" t="s">
        <v>160</v>
      </c>
      <c r="H244" s="6" t="s">
        <v>99</v>
      </c>
      <c r="I244" s="6" t="s">
        <v>100</v>
      </c>
      <c r="J244" s="25">
        <v>1</v>
      </c>
      <c r="K244" s="21">
        <v>417.03</v>
      </c>
      <c r="L244" s="63">
        <v>0.25</v>
      </c>
      <c r="M244" s="21">
        <v>245.97</v>
      </c>
      <c r="N244" s="6" t="s">
        <v>94</v>
      </c>
      <c r="O244" s="60">
        <f>Vendas2025[[#This Row],[Quantidade]]*Vendas2025[[#This Row],[Preço_Unitário_R$]]</f>
        <v>417.03</v>
      </c>
      <c r="P244" s="60">
        <f>Vendas2025[[#This Row],[Receita_Bruta_R$]]*Vendas2025[[#This Row],[Desconto_pct]]</f>
        <v>104.25749999999999</v>
      </c>
      <c r="Q244" s="60">
        <f t="shared" si="15"/>
        <v>312.77249999999998</v>
      </c>
      <c r="R244" s="60">
        <f t="shared" si="16"/>
        <v>245.97</v>
      </c>
      <c r="S244" s="60">
        <f t="shared" si="17"/>
        <v>66.802499999999981</v>
      </c>
      <c r="T244" s="65">
        <f t="shared" si="18"/>
        <v>0.21358175670815044</v>
      </c>
    </row>
    <row r="245" spans="1:20">
      <c r="A245" s="41">
        <f t="shared" si="19"/>
        <v>4</v>
      </c>
      <c r="B245" s="6" t="s">
        <v>386</v>
      </c>
      <c r="C245" s="20">
        <v>45766</v>
      </c>
      <c r="D245" s="6" t="s">
        <v>129</v>
      </c>
      <c r="E245" s="6" t="s">
        <v>103</v>
      </c>
      <c r="F245" s="6" t="s">
        <v>122</v>
      </c>
      <c r="G245" s="6" t="s">
        <v>127</v>
      </c>
      <c r="H245" s="6" t="s">
        <v>119</v>
      </c>
      <c r="I245" s="6" t="s">
        <v>155</v>
      </c>
      <c r="J245" s="25">
        <v>1</v>
      </c>
      <c r="K245" s="21">
        <v>360.14</v>
      </c>
      <c r="L245" s="63">
        <v>0.2</v>
      </c>
      <c r="M245" s="21">
        <v>208.78</v>
      </c>
      <c r="N245" s="6" t="s">
        <v>94</v>
      </c>
      <c r="O245" s="60">
        <f>Vendas2025[[#This Row],[Quantidade]]*Vendas2025[[#This Row],[Preço_Unitário_R$]]</f>
        <v>360.14</v>
      </c>
      <c r="P245" s="60">
        <f>Vendas2025[[#This Row],[Receita_Bruta_R$]]*Vendas2025[[#This Row],[Desconto_pct]]</f>
        <v>72.028000000000006</v>
      </c>
      <c r="Q245" s="60">
        <f t="shared" si="15"/>
        <v>288.11199999999997</v>
      </c>
      <c r="R245" s="60">
        <f t="shared" si="16"/>
        <v>208.78</v>
      </c>
      <c r="S245" s="60">
        <f t="shared" si="17"/>
        <v>79.331999999999965</v>
      </c>
      <c r="T245" s="65">
        <f t="shared" si="18"/>
        <v>0.27535125229077573</v>
      </c>
    </row>
    <row r="246" spans="1:20">
      <c r="A246" s="41">
        <f t="shared" si="19"/>
        <v>4</v>
      </c>
      <c r="B246" s="6" t="s">
        <v>387</v>
      </c>
      <c r="C246" s="20">
        <v>45766</v>
      </c>
      <c r="D246" s="6" t="s">
        <v>136</v>
      </c>
      <c r="E246" s="6" t="s">
        <v>137</v>
      </c>
      <c r="F246" s="6" t="s">
        <v>104</v>
      </c>
      <c r="G246" s="6" t="s">
        <v>151</v>
      </c>
      <c r="H246" s="6" t="s">
        <v>99</v>
      </c>
      <c r="I246" s="6" t="s">
        <v>100</v>
      </c>
      <c r="J246" s="25">
        <v>3</v>
      </c>
      <c r="K246" s="21">
        <v>452.55</v>
      </c>
      <c r="L246" s="63">
        <v>0.12</v>
      </c>
      <c r="M246" s="21">
        <v>266.20999999999998</v>
      </c>
      <c r="N246" s="6" t="s">
        <v>94</v>
      </c>
      <c r="O246" s="60">
        <f>Vendas2025[[#This Row],[Quantidade]]*Vendas2025[[#This Row],[Preço_Unitário_R$]]</f>
        <v>1357.65</v>
      </c>
      <c r="P246" s="60">
        <f>Vendas2025[[#This Row],[Receita_Bruta_R$]]*Vendas2025[[#This Row],[Desconto_pct]]</f>
        <v>162.91800000000001</v>
      </c>
      <c r="Q246" s="60">
        <f t="shared" si="15"/>
        <v>1194.732</v>
      </c>
      <c r="R246" s="60">
        <f t="shared" si="16"/>
        <v>798.62999999999988</v>
      </c>
      <c r="S246" s="60">
        <f t="shared" si="17"/>
        <v>396.10200000000009</v>
      </c>
      <c r="T246" s="65">
        <f t="shared" si="18"/>
        <v>0.33154046263094994</v>
      </c>
    </row>
    <row r="247" spans="1:20">
      <c r="A247" s="41">
        <f t="shared" si="19"/>
        <v>4</v>
      </c>
      <c r="B247" s="6" t="s">
        <v>388</v>
      </c>
      <c r="C247" s="20">
        <v>45766</v>
      </c>
      <c r="D247" s="6" t="s">
        <v>132</v>
      </c>
      <c r="E247" s="6" t="s">
        <v>89</v>
      </c>
      <c r="F247" s="6" t="s">
        <v>97</v>
      </c>
      <c r="G247" s="6" t="s">
        <v>154</v>
      </c>
      <c r="H247" s="6" t="s">
        <v>99</v>
      </c>
      <c r="I247" s="6" t="s">
        <v>173</v>
      </c>
      <c r="J247" s="25">
        <v>1</v>
      </c>
      <c r="K247" s="21">
        <v>3790.68</v>
      </c>
      <c r="L247" s="63">
        <v>0.1</v>
      </c>
      <c r="M247" s="21">
        <v>2920.39</v>
      </c>
      <c r="N247" s="6" t="s">
        <v>94</v>
      </c>
      <c r="O247" s="60">
        <f>Vendas2025[[#This Row],[Quantidade]]*Vendas2025[[#This Row],[Preço_Unitário_R$]]</f>
        <v>3790.68</v>
      </c>
      <c r="P247" s="60">
        <f>Vendas2025[[#This Row],[Receita_Bruta_R$]]*Vendas2025[[#This Row],[Desconto_pct]]</f>
        <v>379.06799999999998</v>
      </c>
      <c r="Q247" s="60">
        <f t="shared" si="15"/>
        <v>3411.6120000000001</v>
      </c>
      <c r="R247" s="60">
        <f t="shared" si="16"/>
        <v>2920.39</v>
      </c>
      <c r="S247" s="60">
        <f t="shared" si="17"/>
        <v>491.22200000000021</v>
      </c>
      <c r="T247" s="65">
        <f t="shared" si="18"/>
        <v>0.14398530665269094</v>
      </c>
    </row>
    <row r="248" spans="1:20">
      <c r="A248" s="41">
        <f t="shared" si="19"/>
        <v>4</v>
      </c>
      <c r="B248" s="6" t="s">
        <v>389</v>
      </c>
      <c r="C248" s="20">
        <v>45766</v>
      </c>
      <c r="D248" s="6" t="s">
        <v>96</v>
      </c>
      <c r="E248" s="6" t="s">
        <v>89</v>
      </c>
      <c r="F248" s="6" t="s">
        <v>90</v>
      </c>
      <c r="G248" s="6" t="s">
        <v>98</v>
      </c>
      <c r="H248" s="6" t="s">
        <v>124</v>
      </c>
      <c r="I248" s="6" t="s">
        <v>193</v>
      </c>
      <c r="J248" s="25">
        <v>1</v>
      </c>
      <c r="K248" s="21">
        <v>382.7</v>
      </c>
      <c r="L248" s="63">
        <v>0.2</v>
      </c>
      <c r="M248" s="21">
        <v>167.66</v>
      </c>
      <c r="N248" s="6" t="s">
        <v>245</v>
      </c>
      <c r="O248" s="60">
        <f>Vendas2025[[#This Row],[Quantidade]]*Vendas2025[[#This Row],[Preço_Unitário_R$]]</f>
        <v>382.7</v>
      </c>
      <c r="P248" s="60">
        <f>Vendas2025[[#This Row],[Receita_Bruta_R$]]*Vendas2025[[#This Row],[Desconto_pct]]</f>
        <v>76.540000000000006</v>
      </c>
      <c r="Q248" s="60">
        <f t="shared" si="15"/>
        <v>0</v>
      </c>
      <c r="R248" s="60">
        <f t="shared" si="16"/>
        <v>0</v>
      </c>
      <c r="S248" s="60">
        <f t="shared" si="17"/>
        <v>0</v>
      </c>
      <c r="T248" s="65" t="str">
        <f t="shared" si="18"/>
        <v/>
      </c>
    </row>
    <row r="249" spans="1:20">
      <c r="A249" s="41">
        <f t="shared" si="19"/>
        <v>4</v>
      </c>
      <c r="B249" s="6" t="s">
        <v>390</v>
      </c>
      <c r="C249" s="20">
        <v>45766</v>
      </c>
      <c r="D249" s="6" t="s">
        <v>129</v>
      </c>
      <c r="E249" s="6" t="s">
        <v>103</v>
      </c>
      <c r="F249" s="6" t="s">
        <v>97</v>
      </c>
      <c r="G249" s="6" t="s">
        <v>105</v>
      </c>
      <c r="H249" s="6" t="s">
        <v>124</v>
      </c>
      <c r="I249" s="6" t="s">
        <v>125</v>
      </c>
      <c r="J249" s="25">
        <v>1</v>
      </c>
      <c r="K249" s="21">
        <v>709.14</v>
      </c>
      <c r="L249" s="63">
        <v>0.15</v>
      </c>
      <c r="M249" s="21">
        <v>350.53</v>
      </c>
      <c r="N249" s="6" t="s">
        <v>94</v>
      </c>
      <c r="O249" s="60">
        <f>Vendas2025[[#This Row],[Quantidade]]*Vendas2025[[#This Row],[Preço_Unitário_R$]]</f>
        <v>709.14</v>
      </c>
      <c r="P249" s="60">
        <f>Vendas2025[[#This Row],[Receita_Bruta_R$]]*Vendas2025[[#This Row],[Desconto_pct]]</f>
        <v>106.371</v>
      </c>
      <c r="Q249" s="60">
        <f t="shared" si="15"/>
        <v>602.76900000000001</v>
      </c>
      <c r="R249" s="60">
        <f t="shared" si="16"/>
        <v>350.53</v>
      </c>
      <c r="S249" s="60">
        <f t="shared" si="17"/>
        <v>252.23900000000003</v>
      </c>
      <c r="T249" s="65">
        <f t="shared" si="18"/>
        <v>0.41846710763161349</v>
      </c>
    </row>
    <row r="250" spans="1:20">
      <c r="A250" s="41">
        <f t="shared" si="19"/>
        <v>4</v>
      </c>
      <c r="B250" s="6" t="s">
        <v>391</v>
      </c>
      <c r="C250" s="20">
        <v>45767</v>
      </c>
      <c r="D250" s="6" t="s">
        <v>132</v>
      </c>
      <c r="E250" s="6" t="s">
        <v>89</v>
      </c>
      <c r="F250" s="6" t="s">
        <v>97</v>
      </c>
      <c r="G250" s="6" t="s">
        <v>160</v>
      </c>
      <c r="H250" s="6" t="s">
        <v>92</v>
      </c>
      <c r="I250" s="6" t="s">
        <v>144</v>
      </c>
      <c r="J250" s="25">
        <v>1</v>
      </c>
      <c r="K250" s="21">
        <v>146.27000000000001</v>
      </c>
      <c r="L250" s="63">
        <v>0.05</v>
      </c>
      <c r="M250" s="21">
        <v>52.18</v>
      </c>
      <c r="N250" s="6" t="s">
        <v>94</v>
      </c>
      <c r="O250" s="60">
        <f>Vendas2025[[#This Row],[Quantidade]]*Vendas2025[[#This Row],[Preço_Unitário_R$]]</f>
        <v>146.27000000000001</v>
      </c>
      <c r="P250" s="60">
        <f>Vendas2025[[#This Row],[Receita_Bruta_R$]]*Vendas2025[[#This Row],[Desconto_pct]]</f>
        <v>7.3135000000000012</v>
      </c>
      <c r="Q250" s="60">
        <f t="shared" si="15"/>
        <v>138.95650000000001</v>
      </c>
      <c r="R250" s="60">
        <f t="shared" si="16"/>
        <v>52.18</v>
      </c>
      <c r="S250" s="60">
        <f t="shared" si="17"/>
        <v>86.776499999999999</v>
      </c>
      <c r="T250" s="65">
        <f t="shared" si="18"/>
        <v>0.62448679982584476</v>
      </c>
    </row>
    <row r="251" spans="1:20">
      <c r="A251" s="41">
        <f t="shared" si="19"/>
        <v>4</v>
      </c>
      <c r="B251" s="6" t="s">
        <v>392</v>
      </c>
      <c r="C251" s="20">
        <v>45768</v>
      </c>
      <c r="D251" s="6" t="s">
        <v>96</v>
      </c>
      <c r="E251" s="6" t="s">
        <v>89</v>
      </c>
      <c r="F251" s="6" t="s">
        <v>122</v>
      </c>
      <c r="G251" s="6" t="s">
        <v>115</v>
      </c>
      <c r="H251" s="6" t="s">
        <v>99</v>
      </c>
      <c r="I251" s="6" t="s">
        <v>163</v>
      </c>
      <c r="J251" s="25">
        <v>1</v>
      </c>
      <c r="K251" s="21">
        <v>1358.24</v>
      </c>
      <c r="L251" s="63">
        <v>0.05</v>
      </c>
      <c r="M251" s="21">
        <v>974.76</v>
      </c>
      <c r="N251" s="6" t="s">
        <v>94</v>
      </c>
      <c r="O251" s="60">
        <f>Vendas2025[[#This Row],[Quantidade]]*Vendas2025[[#This Row],[Preço_Unitário_R$]]</f>
        <v>1358.24</v>
      </c>
      <c r="P251" s="60">
        <f>Vendas2025[[#This Row],[Receita_Bruta_R$]]*Vendas2025[[#This Row],[Desconto_pct]]</f>
        <v>67.912000000000006</v>
      </c>
      <c r="Q251" s="60">
        <f t="shared" si="15"/>
        <v>1290.328</v>
      </c>
      <c r="R251" s="60">
        <f t="shared" si="16"/>
        <v>974.76</v>
      </c>
      <c r="S251" s="60">
        <f t="shared" si="17"/>
        <v>315.56799999999998</v>
      </c>
      <c r="T251" s="65">
        <f t="shared" si="18"/>
        <v>0.2445641728304741</v>
      </c>
    </row>
    <row r="252" spans="1:20">
      <c r="A252" s="41">
        <f t="shared" si="19"/>
        <v>4</v>
      </c>
      <c r="B252" s="6" t="s">
        <v>393</v>
      </c>
      <c r="C252" s="20">
        <v>45768</v>
      </c>
      <c r="D252" s="6" t="s">
        <v>118</v>
      </c>
      <c r="E252" s="6" t="s">
        <v>114</v>
      </c>
      <c r="F252" s="6" t="s">
        <v>90</v>
      </c>
      <c r="G252" s="6" t="s">
        <v>105</v>
      </c>
      <c r="H252" s="6" t="s">
        <v>92</v>
      </c>
      <c r="I252" s="6" t="s">
        <v>93</v>
      </c>
      <c r="J252" s="25">
        <v>1</v>
      </c>
      <c r="K252" s="21">
        <v>236.92</v>
      </c>
      <c r="L252" s="63">
        <v>0.15</v>
      </c>
      <c r="M252" s="21">
        <v>104.62</v>
      </c>
      <c r="N252" s="6" t="s">
        <v>94</v>
      </c>
      <c r="O252" s="60">
        <f>Vendas2025[[#This Row],[Quantidade]]*Vendas2025[[#This Row],[Preço_Unitário_R$]]</f>
        <v>236.92</v>
      </c>
      <c r="P252" s="60">
        <f>Vendas2025[[#This Row],[Receita_Bruta_R$]]*Vendas2025[[#This Row],[Desconto_pct]]</f>
        <v>35.537999999999997</v>
      </c>
      <c r="Q252" s="60">
        <f t="shared" si="15"/>
        <v>201.38200000000001</v>
      </c>
      <c r="R252" s="60">
        <f t="shared" si="16"/>
        <v>104.62</v>
      </c>
      <c r="S252" s="60">
        <f t="shared" si="17"/>
        <v>96.762</v>
      </c>
      <c r="T252" s="65">
        <f t="shared" si="18"/>
        <v>0.48048981537575353</v>
      </c>
    </row>
    <row r="253" spans="1:20">
      <c r="A253" s="41">
        <f t="shared" si="19"/>
        <v>4</v>
      </c>
      <c r="B253" s="6" t="s">
        <v>394</v>
      </c>
      <c r="C253" s="20">
        <v>45768</v>
      </c>
      <c r="D253" s="6" t="s">
        <v>118</v>
      </c>
      <c r="E253" s="6" t="s">
        <v>114</v>
      </c>
      <c r="F253" s="6" t="s">
        <v>122</v>
      </c>
      <c r="G253" s="6" t="s">
        <v>154</v>
      </c>
      <c r="H253" s="6" t="s">
        <v>106</v>
      </c>
      <c r="I253" s="6" t="s">
        <v>184</v>
      </c>
      <c r="J253" s="25">
        <v>1</v>
      </c>
      <c r="K253" s="21">
        <v>1173.3800000000001</v>
      </c>
      <c r="L253" s="63">
        <v>0.1</v>
      </c>
      <c r="M253" s="21">
        <v>830.66</v>
      </c>
      <c r="N253" s="6" t="s">
        <v>94</v>
      </c>
      <c r="O253" s="60">
        <f>Vendas2025[[#This Row],[Quantidade]]*Vendas2025[[#This Row],[Preço_Unitário_R$]]</f>
        <v>1173.3800000000001</v>
      </c>
      <c r="P253" s="60">
        <f>Vendas2025[[#This Row],[Receita_Bruta_R$]]*Vendas2025[[#This Row],[Desconto_pct]]</f>
        <v>117.33800000000002</v>
      </c>
      <c r="Q253" s="60">
        <f t="shared" si="15"/>
        <v>1056.0420000000001</v>
      </c>
      <c r="R253" s="60">
        <f t="shared" si="16"/>
        <v>830.66</v>
      </c>
      <c r="S253" s="60">
        <f t="shared" si="17"/>
        <v>225.38200000000018</v>
      </c>
      <c r="T253" s="65">
        <f t="shared" si="18"/>
        <v>0.21342143588986057</v>
      </c>
    </row>
    <row r="254" spans="1:20">
      <c r="A254" s="41">
        <f t="shared" si="19"/>
        <v>4</v>
      </c>
      <c r="B254" s="6" t="s">
        <v>395</v>
      </c>
      <c r="C254" s="20">
        <v>45768</v>
      </c>
      <c r="D254" s="6" t="s">
        <v>118</v>
      </c>
      <c r="E254" s="6" t="s">
        <v>114</v>
      </c>
      <c r="F254" s="6" t="s">
        <v>122</v>
      </c>
      <c r="G254" s="6" t="s">
        <v>105</v>
      </c>
      <c r="H254" s="6" t="s">
        <v>106</v>
      </c>
      <c r="I254" s="6" t="s">
        <v>107</v>
      </c>
      <c r="J254" s="25">
        <v>2</v>
      </c>
      <c r="K254" s="21">
        <v>702.16</v>
      </c>
      <c r="L254" s="63">
        <v>0.2</v>
      </c>
      <c r="M254" s="21">
        <v>385.59</v>
      </c>
      <c r="N254" s="6" t="s">
        <v>94</v>
      </c>
      <c r="O254" s="60">
        <f>Vendas2025[[#This Row],[Quantidade]]*Vendas2025[[#This Row],[Preço_Unitário_R$]]</f>
        <v>1404.32</v>
      </c>
      <c r="P254" s="60">
        <f>Vendas2025[[#This Row],[Receita_Bruta_R$]]*Vendas2025[[#This Row],[Desconto_pct]]</f>
        <v>280.86399999999998</v>
      </c>
      <c r="Q254" s="60">
        <f t="shared" si="15"/>
        <v>1123.4559999999999</v>
      </c>
      <c r="R254" s="60">
        <f t="shared" si="16"/>
        <v>771.18</v>
      </c>
      <c r="S254" s="60">
        <f t="shared" si="17"/>
        <v>352.27599999999995</v>
      </c>
      <c r="T254" s="65">
        <f t="shared" si="18"/>
        <v>0.31356457217728151</v>
      </c>
    </row>
    <row r="255" spans="1:20">
      <c r="A255" s="41">
        <f t="shared" si="19"/>
        <v>4</v>
      </c>
      <c r="B255" s="6" t="s">
        <v>396</v>
      </c>
      <c r="C255" s="20">
        <v>45768</v>
      </c>
      <c r="D255" s="6" t="s">
        <v>113</v>
      </c>
      <c r="E255" s="6" t="s">
        <v>114</v>
      </c>
      <c r="F255" s="6" t="s">
        <v>90</v>
      </c>
      <c r="G255" s="6" t="s">
        <v>160</v>
      </c>
      <c r="H255" s="6" t="s">
        <v>106</v>
      </c>
      <c r="I255" s="6" t="s">
        <v>107</v>
      </c>
      <c r="J255" s="25">
        <v>1</v>
      </c>
      <c r="K255" s="21">
        <v>692.09</v>
      </c>
      <c r="L255" s="63">
        <v>0.2</v>
      </c>
      <c r="M255" s="21">
        <v>408.64</v>
      </c>
      <c r="N255" s="6" t="s">
        <v>94</v>
      </c>
      <c r="O255" s="60">
        <f>Vendas2025[[#This Row],[Quantidade]]*Vendas2025[[#This Row],[Preço_Unitário_R$]]</f>
        <v>692.09</v>
      </c>
      <c r="P255" s="60">
        <f>Vendas2025[[#This Row],[Receita_Bruta_R$]]*Vendas2025[[#This Row],[Desconto_pct]]</f>
        <v>138.41800000000001</v>
      </c>
      <c r="Q255" s="60">
        <f t="shared" si="15"/>
        <v>553.67200000000003</v>
      </c>
      <c r="R255" s="60">
        <f t="shared" si="16"/>
        <v>408.64</v>
      </c>
      <c r="S255" s="60">
        <f t="shared" si="17"/>
        <v>145.03200000000004</v>
      </c>
      <c r="T255" s="65">
        <f t="shared" si="18"/>
        <v>0.26194570070366574</v>
      </c>
    </row>
    <row r="256" spans="1:20">
      <c r="A256" s="41">
        <f t="shared" si="19"/>
        <v>4</v>
      </c>
      <c r="B256" s="6" t="s">
        <v>397</v>
      </c>
      <c r="C256" s="20">
        <v>45769</v>
      </c>
      <c r="D256" s="6" t="s">
        <v>102</v>
      </c>
      <c r="E256" s="6" t="s">
        <v>103</v>
      </c>
      <c r="F256" s="6" t="s">
        <v>104</v>
      </c>
      <c r="G256" s="6" t="s">
        <v>140</v>
      </c>
      <c r="H256" s="6" t="s">
        <v>92</v>
      </c>
      <c r="I256" s="6" t="s">
        <v>134</v>
      </c>
      <c r="J256" s="25">
        <v>1</v>
      </c>
      <c r="K256" s="21">
        <v>432.66</v>
      </c>
      <c r="L256" s="63">
        <v>0.1</v>
      </c>
      <c r="M256" s="21">
        <v>239.62</v>
      </c>
      <c r="N256" s="6" t="s">
        <v>94</v>
      </c>
      <c r="O256" s="60">
        <f>Vendas2025[[#This Row],[Quantidade]]*Vendas2025[[#This Row],[Preço_Unitário_R$]]</f>
        <v>432.66</v>
      </c>
      <c r="P256" s="60">
        <f>Vendas2025[[#This Row],[Receita_Bruta_R$]]*Vendas2025[[#This Row],[Desconto_pct]]</f>
        <v>43.266000000000005</v>
      </c>
      <c r="Q256" s="60">
        <f t="shared" si="15"/>
        <v>389.39400000000001</v>
      </c>
      <c r="R256" s="60">
        <f t="shared" si="16"/>
        <v>239.62</v>
      </c>
      <c r="S256" s="60">
        <f t="shared" si="17"/>
        <v>149.774</v>
      </c>
      <c r="T256" s="65">
        <f t="shared" si="18"/>
        <v>0.38463355881189748</v>
      </c>
    </row>
    <row r="257" spans="1:20">
      <c r="A257" s="41">
        <f t="shared" si="19"/>
        <v>4</v>
      </c>
      <c r="B257" s="6" t="s">
        <v>398</v>
      </c>
      <c r="C257" s="20">
        <v>45770</v>
      </c>
      <c r="D257" s="6" t="s">
        <v>96</v>
      </c>
      <c r="E257" s="6" t="s">
        <v>89</v>
      </c>
      <c r="F257" s="6" t="s">
        <v>122</v>
      </c>
      <c r="G257" s="6" t="s">
        <v>98</v>
      </c>
      <c r="H257" s="6" t="s">
        <v>92</v>
      </c>
      <c r="I257" s="6" t="s">
        <v>144</v>
      </c>
      <c r="J257" s="25">
        <v>1</v>
      </c>
      <c r="K257" s="21">
        <v>149.28</v>
      </c>
      <c r="L257" s="63">
        <v>0.05</v>
      </c>
      <c r="M257" s="21">
        <v>52.82</v>
      </c>
      <c r="N257" s="6" t="s">
        <v>94</v>
      </c>
      <c r="O257" s="60">
        <f>Vendas2025[[#This Row],[Quantidade]]*Vendas2025[[#This Row],[Preço_Unitário_R$]]</f>
        <v>149.28</v>
      </c>
      <c r="P257" s="60">
        <f>Vendas2025[[#This Row],[Receita_Bruta_R$]]*Vendas2025[[#This Row],[Desconto_pct]]</f>
        <v>7.4640000000000004</v>
      </c>
      <c r="Q257" s="60">
        <f t="shared" si="15"/>
        <v>141.816</v>
      </c>
      <c r="R257" s="60">
        <f t="shared" si="16"/>
        <v>52.82</v>
      </c>
      <c r="S257" s="60">
        <f t="shared" si="17"/>
        <v>88.996000000000009</v>
      </c>
      <c r="T257" s="65">
        <f t="shared" si="18"/>
        <v>0.62754555198285111</v>
      </c>
    </row>
    <row r="258" spans="1:20">
      <c r="A258" s="41">
        <f t="shared" si="19"/>
        <v>4</v>
      </c>
      <c r="B258" s="6" t="s">
        <v>399</v>
      </c>
      <c r="C258" s="20">
        <v>45771</v>
      </c>
      <c r="D258" s="6" t="s">
        <v>132</v>
      </c>
      <c r="E258" s="6" t="s">
        <v>89</v>
      </c>
      <c r="F258" s="6" t="s">
        <v>122</v>
      </c>
      <c r="G258" s="6" t="s">
        <v>151</v>
      </c>
      <c r="H258" s="6" t="s">
        <v>106</v>
      </c>
      <c r="I258" s="6" t="s">
        <v>184</v>
      </c>
      <c r="J258" s="25">
        <v>1</v>
      </c>
      <c r="K258" s="21">
        <v>1261.3499999999999</v>
      </c>
      <c r="L258" s="63">
        <v>0.1</v>
      </c>
      <c r="M258" s="21">
        <v>891.23</v>
      </c>
      <c r="N258" s="6" t="s">
        <v>94</v>
      </c>
      <c r="O258" s="60">
        <f>Vendas2025[[#This Row],[Quantidade]]*Vendas2025[[#This Row],[Preço_Unitário_R$]]</f>
        <v>1261.3499999999999</v>
      </c>
      <c r="P258" s="60">
        <f>Vendas2025[[#This Row],[Receita_Bruta_R$]]*Vendas2025[[#This Row],[Desconto_pct]]</f>
        <v>126.13499999999999</v>
      </c>
      <c r="Q258" s="60">
        <f t="shared" ref="Q258:Q321" si="20">IF(N258="Concluída",O258-P258,0)</f>
        <v>1135.2149999999999</v>
      </c>
      <c r="R258" s="60">
        <f t="shared" ref="R258:R321" si="21">IF(N258="Concluída",J258*M258,0)</f>
        <v>891.23</v>
      </c>
      <c r="S258" s="60">
        <f t="shared" ref="S258:S321" si="22">Q258-R258</f>
        <v>243.9849999999999</v>
      </c>
      <c r="T258" s="65">
        <f t="shared" ref="T258:T321" si="23">IF(Q258=0,"",S258/Q258)</f>
        <v>0.21492404522491326</v>
      </c>
    </row>
    <row r="259" spans="1:20">
      <c r="A259" s="41">
        <f t="shared" ref="A259:A322" si="24">MONTH(C259)</f>
        <v>4</v>
      </c>
      <c r="B259" s="6" t="s">
        <v>400</v>
      </c>
      <c r="C259" s="20">
        <v>45771</v>
      </c>
      <c r="D259" s="6" t="s">
        <v>102</v>
      </c>
      <c r="E259" s="6" t="s">
        <v>103</v>
      </c>
      <c r="F259" s="6" t="s">
        <v>104</v>
      </c>
      <c r="G259" s="6" t="s">
        <v>123</v>
      </c>
      <c r="H259" s="6" t="s">
        <v>119</v>
      </c>
      <c r="I259" s="6" t="s">
        <v>155</v>
      </c>
      <c r="J259" s="25">
        <v>2</v>
      </c>
      <c r="K259" s="21">
        <v>352.9</v>
      </c>
      <c r="L259" s="63">
        <v>0.05</v>
      </c>
      <c r="M259" s="21">
        <v>189.93</v>
      </c>
      <c r="N259" s="6" t="s">
        <v>94</v>
      </c>
      <c r="O259" s="60">
        <f>Vendas2025[[#This Row],[Quantidade]]*Vendas2025[[#This Row],[Preço_Unitário_R$]]</f>
        <v>705.8</v>
      </c>
      <c r="P259" s="60">
        <f>Vendas2025[[#This Row],[Receita_Bruta_R$]]*Vendas2025[[#This Row],[Desconto_pct]]</f>
        <v>35.29</v>
      </c>
      <c r="Q259" s="60">
        <f t="shared" si="20"/>
        <v>670.51</v>
      </c>
      <c r="R259" s="60">
        <f t="shared" si="21"/>
        <v>379.86</v>
      </c>
      <c r="S259" s="60">
        <f t="shared" si="22"/>
        <v>290.64999999999998</v>
      </c>
      <c r="T259" s="65">
        <f t="shared" si="23"/>
        <v>0.43347601079775094</v>
      </c>
    </row>
    <row r="260" spans="1:20">
      <c r="A260" s="41">
        <f t="shared" si="24"/>
        <v>4</v>
      </c>
      <c r="B260" s="6" t="s">
        <v>401</v>
      </c>
      <c r="C260" s="20">
        <v>45772</v>
      </c>
      <c r="D260" s="6" t="s">
        <v>136</v>
      </c>
      <c r="E260" s="6" t="s">
        <v>137</v>
      </c>
      <c r="F260" s="6" t="s">
        <v>97</v>
      </c>
      <c r="G260" s="6" t="s">
        <v>160</v>
      </c>
      <c r="H260" s="6" t="s">
        <v>99</v>
      </c>
      <c r="I260" s="6" t="s">
        <v>130</v>
      </c>
      <c r="J260" s="25">
        <v>2</v>
      </c>
      <c r="K260" s="21">
        <v>233.3</v>
      </c>
      <c r="L260" s="63">
        <v>0.15</v>
      </c>
      <c r="M260" s="21">
        <v>112.76</v>
      </c>
      <c r="N260" s="6" t="s">
        <v>94</v>
      </c>
      <c r="O260" s="60">
        <f>Vendas2025[[#This Row],[Quantidade]]*Vendas2025[[#This Row],[Preço_Unitário_R$]]</f>
        <v>466.6</v>
      </c>
      <c r="P260" s="60">
        <f>Vendas2025[[#This Row],[Receita_Bruta_R$]]*Vendas2025[[#This Row],[Desconto_pct]]</f>
        <v>69.989999999999995</v>
      </c>
      <c r="Q260" s="60">
        <f t="shared" si="20"/>
        <v>396.61</v>
      </c>
      <c r="R260" s="60">
        <f t="shared" si="21"/>
        <v>225.52</v>
      </c>
      <c r="S260" s="60">
        <f t="shared" si="22"/>
        <v>171.09</v>
      </c>
      <c r="T260" s="65">
        <f t="shared" si="23"/>
        <v>0.43138095358160411</v>
      </c>
    </row>
    <row r="261" spans="1:20">
      <c r="A261" s="41">
        <f t="shared" si="24"/>
        <v>4</v>
      </c>
      <c r="B261" s="6" t="s">
        <v>402</v>
      </c>
      <c r="C261" s="20">
        <v>45772</v>
      </c>
      <c r="D261" s="6" t="s">
        <v>102</v>
      </c>
      <c r="E261" s="6" t="s">
        <v>103</v>
      </c>
      <c r="F261" s="6" t="s">
        <v>122</v>
      </c>
      <c r="G261" s="6" t="s">
        <v>105</v>
      </c>
      <c r="H261" s="6" t="s">
        <v>99</v>
      </c>
      <c r="I261" s="6" t="s">
        <v>163</v>
      </c>
      <c r="J261" s="25">
        <v>1</v>
      </c>
      <c r="K261" s="21">
        <v>1390.43</v>
      </c>
      <c r="L261" s="63">
        <v>0.1</v>
      </c>
      <c r="M261" s="21">
        <v>981.72</v>
      </c>
      <c r="N261" s="6" t="s">
        <v>94</v>
      </c>
      <c r="O261" s="60">
        <f>Vendas2025[[#This Row],[Quantidade]]*Vendas2025[[#This Row],[Preço_Unitário_R$]]</f>
        <v>1390.43</v>
      </c>
      <c r="P261" s="60">
        <f>Vendas2025[[#This Row],[Receita_Bruta_R$]]*Vendas2025[[#This Row],[Desconto_pct]]</f>
        <v>139.04300000000001</v>
      </c>
      <c r="Q261" s="60">
        <f t="shared" si="20"/>
        <v>1251.3870000000002</v>
      </c>
      <c r="R261" s="60">
        <f t="shared" si="21"/>
        <v>981.72</v>
      </c>
      <c r="S261" s="60">
        <f t="shared" si="22"/>
        <v>269.66700000000014</v>
      </c>
      <c r="T261" s="65">
        <f t="shared" si="23"/>
        <v>0.21549448731687329</v>
      </c>
    </row>
    <row r="262" spans="1:20">
      <c r="A262" s="41">
        <f t="shared" si="24"/>
        <v>4</v>
      </c>
      <c r="B262" s="6" t="s">
        <v>403</v>
      </c>
      <c r="C262" s="20">
        <v>45773</v>
      </c>
      <c r="D262" s="6" t="s">
        <v>136</v>
      </c>
      <c r="E262" s="6" t="s">
        <v>137</v>
      </c>
      <c r="F262" s="6" t="s">
        <v>90</v>
      </c>
      <c r="G262" s="6" t="s">
        <v>98</v>
      </c>
      <c r="H262" s="6" t="s">
        <v>92</v>
      </c>
      <c r="I262" s="6" t="s">
        <v>93</v>
      </c>
      <c r="J262" s="25">
        <v>1</v>
      </c>
      <c r="K262" s="21">
        <v>225.5</v>
      </c>
      <c r="L262" s="63">
        <v>0.15</v>
      </c>
      <c r="M262" s="21">
        <v>95.87</v>
      </c>
      <c r="N262" s="6" t="s">
        <v>245</v>
      </c>
      <c r="O262" s="60">
        <f>Vendas2025[[#This Row],[Quantidade]]*Vendas2025[[#This Row],[Preço_Unitário_R$]]</f>
        <v>225.5</v>
      </c>
      <c r="P262" s="60">
        <f>Vendas2025[[#This Row],[Receita_Bruta_R$]]*Vendas2025[[#This Row],[Desconto_pct]]</f>
        <v>33.824999999999996</v>
      </c>
      <c r="Q262" s="60">
        <f t="shared" si="20"/>
        <v>0</v>
      </c>
      <c r="R262" s="60">
        <f t="shared" si="21"/>
        <v>0</v>
      </c>
      <c r="S262" s="60">
        <f t="shared" si="22"/>
        <v>0</v>
      </c>
      <c r="T262" s="65" t="str">
        <f t="shared" si="23"/>
        <v/>
      </c>
    </row>
    <row r="263" spans="1:20">
      <c r="A263" s="41">
        <f t="shared" si="24"/>
        <v>4</v>
      </c>
      <c r="B263" s="6" t="s">
        <v>404</v>
      </c>
      <c r="C263" s="20">
        <v>45773</v>
      </c>
      <c r="D263" s="6" t="s">
        <v>129</v>
      </c>
      <c r="E263" s="6" t="s">
        <v>103</v>
      </c>
      <c r="F263" s="6" t="s">
        <v>122</v>
      </c>
      <c r="G263" s="6" t="s">
        <v>123</v>
      </c>
      <c r="H263" s="6" t="s">
        <v>106</v>
      </c>
      <c r="I263" s="6" t="s">
        <v>107</v>
      </c>
      <c r="J263" s="25">
        <v>1</v>
      </c>
      <c r="K263" s="21">
        <v>698.11</v>
      </c>
      <c r="L263" s="63">
        <v>0.2</v>
      </c>
      <c r="M263" s="21">
        <v>395.36</v>
      </c>
      <c r="N263" s="6" t="s">
        <v>94</v>
      </c>
      <c r="O263" s="60">
        <f>Vendas2025[[#This Row],[Quantidade]]*Vendas2025[[#This Row],[Preço_Unitário_R$]]</f>
        <v>698.11</v>
      </c>
      <c r="P263" s="60">
        <f>Vendas2025[[#This Row],[Receita_Bruta_R$]]*Vendas2025[[#This Row],[Desconto_pct]]</f>
        <v>139.62200000000001</v>
      </c>
      <c r="Q263" s="60">
        <f t="shared" si="20"/>
        <v>558.48800000000006</v>
      </c>
      <c r="R263" s="60">
        <f t="shared" si="21"/>
        <v>395.36</v>
      </c>
      <c r="S263" s="60">
        <f t="shared" si="22"/>
        <v>163.12800000000004</v>
      </c>
      <c r="T263" s="65">
        <f t="shared" si="23"/>
        <v>0.29208863932618073</v>
      </c>
    </row>
    <row r="264" spans="1:20">
      <c r="A264" s="41">
        <f t="shared" si="24"/>
        <v>4</v>
      </c>
      <c r="B264" s="6" t="s">
        <v>405</v>
      </c>
      <c r="C264" s="20">
        <v>45773</v>
      </c>
      <c r="D264" s="6" t="s">
        <v>102</v>
      </c>
      <c r="E264" s="6" t="s">
        <v>103</v>
      </c>
      <c r="F264" s="6" t="s">
        <v>97</v>
      </c>
      <c r="G264" s="6" t="s">
        <v>98</v>
      </c>
      <c r="H264" s="6" t="s">
        <v>99</v>
      </c>
      <c r="I264" s="6" t="s">
        <v>158</v>
      </c>
      <c r="J264" s="25">
        <v>1</v>
      </c>
      <c r="K264" s="21">
        <v>200.64</v>
      </c>
      <c r="L264" s="63">
        <v>0.05</v>
      </c>
      <c r="M264" s="21">
        <v>89.46</v>
      </c>
      <c r="N264" s="6" t="s">
        <v>94</v>
      </c>
      <c r="O264" s="60">
        <f>Vendas2025[[#This Row],[Quantidade]]*Vendas2025[[#This Row],[Preço_Unitário_R$]]</f>
        <v>200.64</v>
      </c>
      <c r="P264" s="60">
        <f>Vendas2025[[#This Row],[Receita_Bruta_R$]]*Vendas2025[[#This Row],[Desconto_pct]]</f>
        <v>10.032</v>
      </c>
      <c r="Q264" s="60">
        <f t="shared" si="20"/>
        <v>190.60799999999998</v>
      </c>
      <c r="R264" s="60">
        <f t="shared" si="21"/>
        <v>89.46</v>
      </c>
      <c r="S264" s="60">
        <f t="shared" si="22"/>
        <v>101.14799999999998</v>
      </c>
      <c r="T264" s="65">
        <f t="shared" si="23"/>
        <v>0.53065978342986653</v>
      </c>
    </row>
    <row r="265" spans="1:20">
      <c r="A265" s="41">
        <f t="shared" si="24"/>
        <v>4</v>
      </c>
      <c r="B265" s="6" t="s">
        <v>406</v>
      </c>
      <c r="C265" s="20">
        <v>45773</v>
      </c>
      <c r="D265" s="6" t="s">
        <v>96</v>
      </c>
      <c r="E265" s="6" t="s">
        <v>89</v>
      </c>
      <c r="F265" s="6" t="s">
        <v>97</v>
      </c>
      <c r="G265" s="6" t="s">
        <v>177</v>
      </c>
      <c r="H265" s="6" t="s">
        <v>99</v>
      </c>
      <c r="I265" s="6" t="s">
        <v>130</v>
      </c>
      <c r="J265" s="25">
        <v>1</v>
      </c>
      <c r="K265" s="21">
        <v>242.24</v>
      </c>
      <c r="L265" s="63">
        <v>0.15</v>
      </c>
      <c r="M265" s="21">
        <v>120.53</v>
      </c>
      <c r="N265" s="6" t="s">
        <v>94</v>
      </c>
      <c r="O265" s="60">
        <f>Vendas2025[[#This Row],[Quantidade]]*Vendas2025[[#This Row],[Preço_Unitário_R$]]</f>
        <v>242.24</v>
      </c>
      <c r="P265" s="60">
        <f>Vendas2025[[#This Row],[Receita_Bruta_R$]]*Vendas2025[[#This Row],[Desconto_pct]]</f>
        <v>36.335999999999999</v>
      </c>
      <c r="Q265" s="60">
        <f t="shared" si="20"/>
        <v>205.904</v>
      </c>
      <c r="R265" s="60">
        <f t="shared" si="21"/>
        <v>120.53</v>
      </c>
      <c r="S265" s="60">
        <f t="shared" si="22"/>
        <v>85.373999999999995</v>
      </c>
      <c r="T265" s="65">
        <f t="shared" si="23"/>
        <v>0.41463011889035667</v>
      </c>
    </row>
    <row r="266" spans="1:20">
      <c r="A266" s="41">
        <f t="shared" si="24"/>
        <v>4</v>
      </c>
      <c r="B266" s="6" t="s">
        <v>407</v>
      </c>
      <c r="C266" s="20">
        <v>45773</v>
      </c>
      <c r="D266" s="6" t="s">
        <v>88</v>
      </c>
      <c r="E266" s="6" t="s">
        <v>89</v>
      </c>
      <c r="F266" s="6" t="s">
        <v>97</v>
      </c>
      <c r="G266" s="6" t="s">
        <v>98</v>
      </c>
      <c r="H266" s="6" t="s">
        <v>124</v>
      </c>
      <c r="I266" s="6" t="s">
        <v>125</v>
      </c>
      <c r="J266" s="25">
        <v>2</v>
      </c>
      <c r="K266" s="21">
        <v>709.54</v>
      </c>
      <c r="L266" s="63">
        <v>0.05</v>
      </c>
      <c r="M266" s="21">
        <v>353.45</v>
      </c>
      <c r="N266" s="6" t="s">
        <v>94</v>
      </c>
      <c r="O266" s="60">
        <f>Vendas2025[[#This Row],[Quantidade]]*Vendas2025[[#This Row],[Preço_Unitário_R$]]</f>
        <v>1419.08</v>
      </c>
      <c r="P266" s="60">
        <f>Vendas2025[[#This Row],[Receita_Bruta_R$]]*Vendas2025[[#This Row],[Desconto_pct]]</f>
        <v>70.953999999999994</v>
      </c>
      <c r="Q266" s="60">
        <f t="shared" si="20"/>
        <v>1348.126</v>
      </c>
      <c r="R266" s="60">
        <f t="shared" si="21"/>
        <v>706.9</v>
      </c>
      <c r="S266" s="60">
        <f t="shared" si="22"/>
        <v>641.226</v>
      </c>
      <c r="T266" s="65">
        <f t="shared" si="23"/>
        <v>0.47564248445620066</v>
      </c>
    </row>
    <row r="267" spans="1:20">
      <c r="A267" s="41">
        <f t="shared" si="24"/>
        <v>4</v>
      </c>
      <c r="B267" s="6" t="s">
        <v>408</v>
      </c>
      <c r="C267" s="20">
        <v>45774</v>
      </c>
      <c r="D267" s="6" t="s">
        <v>118</v>
      </c>
      <c r="E267" s="6" t="s">
        <v>114</v>
      </c>
      <c r="F267" s="6" t="s">
        <v>90</v>
      </c>
      <c r="G267" s="6" t="s">
        <v>123</v>
      </c>
      <c r="H267" s="6" t="s">
        <v>99</v>
      </c>
      <c r="I267" s="6" t="s">
        <v>173</v>
      </c>
      <c r="J267" s="25">
        <v>1</v>
      </c>
      <c r="K267" s="21">
        <v>3925.34</v>
      </c>
      <c r="L267" s="63">
        <v>0.25</v>
      </c>
      <c r="M267" s="21">
        <v>3153.27</v>
      </c>
      <c r="N267" s="6" t="s">
        <v>94</v>
      </c>
      <c r="O267" s="60">
        <f>Vendas2025[[#This Row],[Quantidade]]*Vendas2025[[#This Row],[Preço_Unitário_R$]]</f>
        <v>3925.34</v>
      </c>
      <c r="P267" s="60">
        <f>Vendas2025[[#This Row],[Receita_Bruta_R$]]*Vendas2025[[#This Row],[Desconto_pct]]</f>
        <v>981.33500000000004</v>
      </c>
      <c r="Q267" s="60">
        <f t="shared" si="20"/>
        <v>2944.0050000000001</v>
      </c>
      <c r="R267" s="60">
        <f t="shared" si="21"/>
        <v>3153.27</v>
      </c>
      <c r="S267" s="60">
        <f t="shared" si="22"/>
        <v>-209.26499999999987</v>
      </c>
      <c r="T267" s="65">
        <f t="shared" si="23"/>
        <v>-7.1081740689978398E-2</v>
      </c>
    </row>
    <row r="268" spans="1:20">
      <c r="A268" s="41">
        <f t="shared" si="24"/>
        <v>4</v>
      </c>
      <c r="B268" s="6" t="s">
        <v>409</v>
      </c>
      <c r="C268" s="20">
        <v>45774</v>
      </c>
      <c r="D268" s="6" t="s">
        <v>96</v>
      </c>
      <c r="E268" s="6" t="s">
        <v>89</v>
      </c>
      <c r="F268" s="6" t="s">
        <v>97</v>
      </c>
      <c r="G268" s="6" t="s">
        <v>98</v>
      </c>
      <c r="H268" s="6" t="s">
        <v>99</v>
      </c>
      <c r="I268" s="6" t="s">
        <v>100</v>
      </c>
      <c r="J268" s="25">
        <v>2</v>
      </c>
      <c r="K268" s="21">
        <v>419.78</v>
      </c>
      <c r="L268" s="63">
        <v>0.05</v>
      </c>
      <c r="M268" s="21">
        <v>241.54</v>
      </c>
      <c r="N268" s="6" t="s">
        <v>94</v>
      </c>
      <c r="O268" s="60">
        <f>Vendas2025[[#This Row],[Quantidade]]*Vendas2025[[#This Row],[Preço_Unitário_R$]]</f>
        <v>839.56</v>
      </c>
      <c r="P268" s="60">
        <f>Vendas2025[[#This Row],[Receita_Bruta_R$]]*Vendas2025[[#This Row],[Desconto_pct]]</f>
        <v>41.978000000000002</v>
      </c>
      <c r="Q268" s="60">
        <f t="shared" si="20"/>
        <v>797.58199999999999</v>
      </c>
      <c r="R268" s="60">
        <f t="shared" si="21"/>
        <v>483.08</v>
      </c>
      <c r="S268" s="60">
        <f t="shared" si="22"/>
        <v>314.50200000000001</v>
      </c>
      <c r="T268" s="65">
        <f t="shared" si="23"/>
        <v>0.39431933017545534</v>
      </c>
    </row>
    <row r="269" spans="1:20">
      <c r="A269" s="41">
        <f t="shared" si="24"/>
        <v>4</v>
      </c>
      <c r="B269" s="6" t="s">
        <v>410</v>
      </c>
      <c r="C269" s="20">
        <v>45774</v>
      </c>
      <c r="D269" s="6" t="s">
        <v>113</v>
      </c>
      <c r="E269" s="6" t="s">
        <v>114</v>
      </c>
      <c r="F269" s="6" t="s">
        <v>104</v>
      </c>
      <c r="G269" s="6" t="s">
        <v>91</v>
      </c>
      <c r="H269" s="6" t="s">
        <v>119</v>
      </c>
      <c r="I269" s="6" t="s">
        <v>155</v>
      </c>
      <c r="J269" s="25">
        <v>1</v>
      </c>
      <c r="K269" s="21">
        <v>356.52</v>
      </c>
      <c r="L269" s="63">
        <v>0.05</v>
      </c>
      <c r="M269" s="21">
        <v>203.25</v>
      </c>
      <c r="N269" s="6" t="s">
        <v>94</v>
      </c>
      <c r="O269" s="60">
        <f>Vendas2025[[#This Row],[Quantidade]]*Vendas2025[[#This Row],[Preço_Unitário_R$]]</f>
        <v>356.52</v>
      </c>
      <c r="P269" s="60">
        <f>Vendas2025[[#This Row],[Receita_Bruta_R$]]*Vendas2025[[#This Row],[Desconto_pct]]</f>
        <v>17.826000000000001</v>
      </c>
      <c r="Q269" s="60">
        <f t="shared" si="20"/>
        <v>338.69399999999996</v>
      </c>
      <c r="R269" s="60">
        <f t="shared" si="21"/>
        <v>203.25</v>
      </c>
      <c r="S269" s="60">
        <f t="shared" si="22"/>
        <v>135.44399999999996</v>
      </c>
      <c r="T269" s="65">
        <f t="shared" si="23"/>
        <v>0.39990079540824452</v>
      </c>
    </row>
    <row r="270" spans="1:20">
      <c r="A270" s="41">
        <f t="shared" si="24"/>
        <v>4</v>
      </c>
      <c r="B270" s="6" t="s">
        <v>411</v>
      </c>
      <c r="C270" s="20">
        <v>45774</v>
      </c>
      <c r="D270" s="6" t="s">
        <v>129</v>
      </c>
      <c r="E270" s="6" t="s">
        <v>103</v>
      </c>
      <c r="F270" s="6" t="s">
        <v>90</v>
      </c>
      <c r="G270" s="6" t="s">
        <v>177</v>
      </c>
      <c r="H270" s="6" t="s">
        <v>99</v>
      </c>
      <c r="I270" s="6" t="s">
        <v>173</v>
      </c>
      <c r="J270" s="25">
        <v>1</v>
      </c>
      <c r="K270" s="21">
        <v>4020</v>
      </c>
      <c r="L270" s="63">
        <v>0.1</v>
      </c>
      <c r="M270" s="21">
        <v>3069.57</v>
      </c>
      <c r="N270" s="6" t="s">
        <v>94</v>
      </c>
      <c r="O270" s="60">
        <f>Vendas2025[[#This Row],[Quantidade]]*Vendas2025[[#This Row],[Preço_Unitário_R$]]</f>
        <v>4020</v>
      </c>
      <c r="P270" s="60">
        <f>Vendas2025[[#This Row],[Receita_Bruta_R$]]*Vendas2025[[#This Row],[Desconto_pct]]</f>
        <v>402</v>
      </c>
      <c r="Q270" s="60">
        <f t="shared" si="20"/>
        <v>3618</v>
      </c>
      <c r="R270" s="60">
        <f t="shared" si="21"/>
        <v>3069.57</v>
      </c>
      <c r="S270" s="60">
        <f t="shared" si="22"/>
        <v>548.42999999999984</v>
      </c>
      <c r="T270" s="65">
        <f t="shared" si="23"/>
        <v>0.15158374792703147</v>
      </c>
    </row>
    <row r="271" spans="1:20">
      <c r="A271" s="41">
        <f t="shared" si="24"/>
        <v>4</v>
      </c>
      <c r="B271" s="6" t="s">
        <v>412</v>
      </c>
      <c r="C271" s="20">
        <v>45775</v>
      </c>
      <c r="D271" s="6" t="s">
        <v>118</v>
      </c>
      <c r="E271" s="6" t="s">
        <v>114</v>
      </c>
      <c r="F271" s="6" t="s">
        <v>97</v>
      </c>
      <c r="G271" s="6" t="s">
        <v>110</v>
      </c>
      <c r="H271" s="6" t="s">
        <v>92</v>
      </c>
      <c r="I271" s="6" t="s">
        <v>144</v>
      </c>
      <c r="J271" s="25">
        <v>1</v>
      </c>
      <c r="K271" s="21">
        <v>138.27000000000001</v>
      </c>
      <c r="L271" s="63">
        <v>0.1</v>
      </c>
      <c r="M271" s="21">
        <v>47.07</v>
      </c>
      <c r="N271" s="6" t="s">
        <v>94</v>
      </c>
      <c r="O271" s="60">
        <f>Vendas2025[[#This Row],[Quantidade]]*Vendas2025[[#This Row],[Preço_Unitário_R$]]</f>
        <v>138.27000000000001</v>
      </c>
      <c r="P271" s="60">
        <f>Vendas2025[[#This Row],[Receita_Bruta_R$]]*Vendas2025[[#This Row],[Desconto_pct]]</f>
        <v>13.827000000000002</v>
      </c>
      <c r="Q271" s="60">
        <f t="shared" si="20"/>
        <v>124.44300000000001</v>
      </c>
      <c r="R271" s="60">
        <f t="shared" si="21"/>
        <v>47.07</v>
      </c>
      <c r="S271" s="60">
        <f t="shared" si="22"/>
        <v>77.373000000000019</v>
      </c>
      <c r="T271" s="65">
        <f t="shared" si="23"/>
        <v>0.62175453822231874</v>
      </c>
    </row>
    <row r="272" spans="1:20">
      <c r="A272" s="41">
        <f t="shared" si="24"/>
        <v>4</v>
      </c>
      <c r="B272" s="6" t="s">
        <v>413</v>
      </c>
      <c r="C272" s="20">
        <v>45775</v>
      </c>
      <c r="D272" s="6" t="s">
        <v>136</v>
      </c>
      <c r="E272" s="6" t="s">
        <v>137</v>
      </c>
      <c r="F272" s="6" t="s">
        <v>90</v>
      </c>
      <c r="G272" s="6" t="s">
        <v>115</v>
      </c>
      <c r="H272" s="6" t="s">
        <v>106</v>
      </c>
      <c r="I272" s="6" t="s">
        <v>116</v>
      </c>
      <c r="J272" s="25">
        <v>1</v>
      </c>
      <c r="K272" s="21">
        <v>445.25</v>
      </c>
      <c r="L272" s="63">
        <v>0.2</v>
      </c>
      <c r="M272" s="21">
        <v>235.47</v>
      </c>
      <c r="N272" s="6" t="s">
        <v>94</v>
      </c>
      <c r="O272" s="60">
        <f>Vendas2025[[#This Row],[Quantidade]]*Vendas2025[[#This Row],[Preço_Unitário_R$]]</f>
        <v>445.25</v>
      </c>
      <c r="P272" s="60">
        <f>Vendas2025[[#This Row],[Receita_Bruta_R$]]*Vendas2025[[#This Row],[Desconto_pct]]</f>
        <v>89.050000000000011</v>
      </c>
      <c r="Q272" s="60">
        <f t="shared" si="20"/>
        <v>356.2</v>
      </c>
      <c r="R272" s="60">
        <f t="shared" si="21"/>
        <v>235.47</v>
      </c>
      <c r="S272" s="60">
        <f t="shared" si="22"/>
        <v>120.72999999999999</v>
      </c>
      <c r="T272" s="65">
        <f t="shared" si="23"/>
        <v>0.33893879842784952</v>
      </c>
    </row>
    <row r="273" spans="1:20">
      <c r="A273" s="41">
        <f t="shared" si="24"/>
        <v>4</v>
      </c>
      <c r="B273" s="6" t="s">
        <v>414</v>
      </c>
      <c r="C273" s="20">
        <v>45775</v>
      </c>
      <c r="D273" s="6" t="s">
        <v>136</v>
      </c>
      <c r="E273" s="6" t="s">
        <v>137</v>
      </c>
      <c r="F273" s="6" t="s">
        <v>97</v>
      </c>
      <c r="G273" s="6" t="s">
        <v>177</v>
      </c>
      <c r="H273" s="6" t="s">
        <v>99</v>
      </c>
      <c r="I273" s="6" t="s">
        <v>163</v>
      </c>
      <c r="J273" s="25">
        <v>1</v>
      </c>
      <c r="K273" s="21">
        <v>1206.58</v>
      </c>
      <c r="L273" s="63">
        <v>0</v>
      </c>
      <c r="M273" s="21">
        <v>859.18</v>
      </c>
      <c r="N273" s="6" t="s">
        <v>94</v>
      </c>
      <c r="O273" s="60">
        <f>Vendas2025[[#This Row],[Quantidade]]*Vendas2025[[#This Row],[Preço_Unitário_R$]]</f>
        <v>1206.58</v>
      </c>
      <c r="P273" s="60">
        <f>Vendas2025[[#This Row],[Receita_Bruta_R$]]*Vendas2025[[#This Row],[Desconto_pct]]</f>
        <v>0</v>
      </c>
      <c r="Q273" s="60">
        <f t="shared" si="20"/>
        <v>1206.58</v>
      </c>
      <c r="R273" s="60">
        <f t="shared" si="21"/>
        <v>859.18</v>
      </c>
      <c r="S273" s="60">
        <f t="shared" si="22"/>
        <v>347.4</v>
      </c>
      <c r="T273" s="65">
        <f t="shared" si="23"/>
        <v>0.28792123191168428</v>
      </c>
    </row>
    <row r="274" spans="1:20">
      <c r="A274" s="41">
        <f t="shared" si="24"/>
        <v>4</v>
      </c>
      <c r="B274" s="6" t="s">
        <v>415</v>
      </c>
      <c r="C274" s="20">
        <v>45775</v>
      </c>
      <c r="D274" s="6" t="s">
        <v>118</v>
      </c>
      <c r="E274" s="6" t="s">
        <v>114</v>
      </c>
      <c r="F274" s="6" t="s">
        <v>97</v>
      </c>
      <c r="G274" s="6" t="s">
        <v>98</v>
      </c>
      <c r="H274" s="6" t="s">
        <v>124</v>
      </c>
      <c r="I274" s="6" t="s">
        <v>193</v>
      </c>
      <c r="J274" s="25">
        <v>1</v>
      </c>
      <c r="K274" s="21">
        <v>396.67</v>
      </c>
      <c r="L274" s="63">
        <v>0.1</v>
      </c>
      <c r="M274" s="21">
        <v>179.43</v>
      </c>
      <c r="N274" s="6" t="s">
        <v>94</v>
      </c>
      <c r="O274" s="60">
        <f>Vendas2025[[#This Row],[Quantidade]]*Vendas2025[[#This Row],[Preço_Unitário_R$]]</f>
        <v>396.67</v>
      </c>
      <c r="P274" s="60">
        <f>Vendas2025[[#This Row],[Receita_Bruta_R$]]*Vendas2025[[#This Row],[Desconto_pct]]</f>
        <v>39.667000000000002</v>
      </c>
      <c r="Q274" s="60">
        <f t="shared" si="20"/>
        <v>357.00300000000004</v>
      </c>
      <c r="R274" s="60">
        <f t="shared" si="21"/>
        <v>179.43</v>
      </c>
      <c r="S274" s="60">
        <f t="shared" si="22"/>
        <v>177.57300000000004</v>
      </c>
      <c r="T274" s="65">
        <f t="shared" si="23"/>
        <v>0.49739918151948309</v>
      </c>
    </row>
    <row r="275" spans="1:20">
      <c r="A275" s="41">
        <f t="shared" si="24"/>
        <v>5</v>
      </c>
      <c r="B275" s="6" t="s">
        <v>416</v>
      </c>
      <c r="C275" s="20">
        <v>45778</v>
      </c>
      <c r="D275" s="6" t="s">
        <v>88</v>
      </c>
      <c r="E275" s="6" t="s">
        <v>89</v>
      </c>
      <c r="F275" s="6" t="s">
        <v>122</v>
      </c>
      <c r="G275" s="6" t="s">
        <v>110</v>
      </c>
      <c r="H275" s="6" t="s">
        <v>119</v>
      </c>
      <c r="I275" s="6" t="s">
        <v>138</v>
      </c>
      <c r="J275" s="25">
        <v>1</v>
      </c>
      <c r="K275" s="21">
        <v>149.57</v>
      </c>
      <c r="L275" s="63">
        <v>0.2</v>
      </c>
      <c r="M275" s="21">
        <v>60.07</v>
      </c>
      <c r="N275" s="6" t="s">
        <v>94</v>
      </c>
      <c r="O275" s="60">
        <f>Vendas2025[[#This Row],[Quantidade]]*Vendas2025[[#This Row],[Preço_Unitário_R$]]</f>
        <v>149.57</v>
      </c>
      <c r="P275" s="60">
        <f>Vendas2025[[#This Row],[Receita_Bruta_R$]]*Vendas2025[[#This Row],[Desconto_pct]]</f>
        <v>29.914000000000001</v>
      </c>
      <c r="Q275" s="60">
        <f t="shared" si="20"/>
        <v>119.65599999999999</v>
      </c>
      <c r="R275" s="60">
        <f t="shared" si="21"/>
        <v>60.07</v>
      </c>
      <c r="S275" s="60">
        <f t="shared" si="22"/>
        <v>59.585999999999991</v>
      </c>
      <c r="T275" s="65">
        <f t="shared" si="23"/>
        <v>0.49797753560205921</v>
      </c>
    </row>
    <row r="276" spans="1:20">
      <c r="A276" s="41">
        <f t="shared" si="24"/>
        <v>5</v>
      </c>
      <c r="B276" s="6" t="s">
        <v>417</v>
      </c>
      <c r="C276" s="20">
        <v>45778</v>
      </c>
      <c r="D276" s="6" t="s">
        <v>88</v>
      </c>
      <c r="E276" s="6" t="s">
        <v>89</v>
      </c>
      <c r="F276" s="6" t="s">
        <v>97</v>
      </c>
      <c r="G276" s="6" t="s">
        <v>160</v>
      </c>
      <c r="H276" s="6" t="s">
        <v>106</v>
      </c>
      <c r="I276" s="6" t="s">
        <v>111</v>
      </c>
      <c r="J276" s="25">
        <v>1</v>
      </c>
      <c r="K276" s="21">
        <v>271.14999999999998</v>
      </c>
      <c r="L276" s="63">
        <v>0.05</v>
      </c>
      <c r="M276" s="21">
        <v>117.91</v>
      </c>
      <c r="N276" s="6" t="s">
        <v>94</v>
      </c>
      <c r="O276" s="60">
        <f>Vendas2025[[#This Row],[Quantidade]]*Vendas2025[[#This Row],[Preço_Unitário_R$]]</f>
        <v>271.14999999999998</v>
      </c>
      <c r="P276" s="60">
        <f>Vendas2025[[#This Row],[Receita_Bruta_R$]]*Vendas2025[[#This Row],[Desconto_pct]]</f>
        <v>13.557499999999999</v>
      </c>
      <c r="Q276" s="60">
        <f t="shared" si="20"/>
        <v>257.59249999999997</v>
      </c>
      <c r="R276" s="60">
        <f t="shared" si="21"/>
        <v>117.91</v>
      </c>
      <c r="S276" s="60">
        <f t="shared" si="22"/>
        <v>139.68249999999998</v>
      </c>
      <c r="T276" s="65">
        <f t="shared" si="23"/>
        <v>0.5422615177072313</v>
      </c>
    </row>
    <row r="277" spans="1:20">
      <c r="A277" s="41">
        <f t="shared" si="24"/>
        <v>5</v>
      </c>
      <c r="B277" s="6" t="s">
        <v>418</v>
      </c>
      <c r="C277" s="20">
        <v>45778</v>
      </c>
      <c r="D277" s="6" t="s">
        <v>129</v>
      </c>
      <c r="E277" s="6" t="s">
        <v>103</v>
      </c>
      <c r="F277" s="6" t="s">
        <v>97</v>
      </c>
      <c r="G277" s="6" t="s">
        <v>91</v>
      </c>
      <c r="H277" s="6" t="s">
        <v>92</v>
      </c>
      <c r="I277" s="6" t="s">
        <v>134</v>
      </c>
      <c r="J277" s="25">
        <v>1</v>
      </c>
      <c r="K277" s="21">
        <v>435.4</v>
      </c>
      <c r="L277" s="63">
        <v>0</v>
      </c>
      <c r="M277" s="21">
        <v>235.96</v>
      </c>
      <c r="N277" s="6" t="s">
        <v>94</v>
      </c>
      <c r="O277" s="60">
        <f>Vendas2025[[#This Row],[Quantidade]]*Vendas2025[[#This Row],[Preço_Unitário_R$]]</f>
        <v>435.4</v>
      </c>
      <c r="P277" s="60">
        <f>Vendas2025[[#This Row],[Receita_Bruta_R$]]*Vendas2025[[#This Row],[Desconto_pct]]</f>
        <v>0</v>
      </c>
      <c r="Q277" s="60">
        <f t="shared" si="20"/>
        <v>435.4</v>
      </c>
      <c r="R277" s="60">
        <f t="shared" si="21"/>
        <v>235.96</v>
      </c>
      <c r="S277" s="60">
        <f t="shared" si="22"/>
        <v>199.43999999999997</v>
      </c>
      <c r="T277" s="65">
        <f t="shared" si="23"/>
        <v>0.45806155259531461</v>
      </c>
    </row>
    <row r="278" spans="1:20">
      <c r="A278" s="41">
        <f t="shared" si="24"/>
        <v>5</v>
      </c>
      <c r="B278" s="6" t="s">
        <v>419</v>
      </c>
      <c r="C278" s="20">
        <v>45779</v>
      </c>
      <c r="D278" s="6" t="s">
        <v>96</v>
      </c>
      <c r="E278" s="6" t="s">
        <v>89</v>
      </c>
      <c r="F278" s="6" t="s">
        <v>97</v>
      </c>
      <c r="G278" s="6" t="s">
        <v>105</v>
      </c>
      <c r="H278" s="6" t="s">
        <v>99</v>
      </c>
      <c r="I278" s="6" t="s">
        <v>100</v>
      </c>
      <c r="J278" s="25">
        <v>1</v>
      </c>
      <c r="K278" s="21">
        <v>394.78</v>
      </c>
      <c r="L278" s="63">
        <v>0.08</v>
      </c>
      <c r="M278" s="21">
        <v>224.86</v>
      </c>
      <c r="N278" s="6" t="s">
        <v>94</v>
      </c>
      <c r="O278" s="60">
        <f>Vendas2025[[#This Row],[Quantidade]]*Vendas2025[[#This Row],[Preço_Unitário_R$]]</f>
        <v>394.78</v>
      </c>
      <c r="P278" s="60">
        <f>Vendas2025[[#This Row],[Receita_Bruta_R$]]*Vendas2025[[#This Row],[Desconto_pct]]</f>
        <v>31.5824</v>
      </c>
      <c r="Q278" s="60">
        <f t="shared" si="20"/>
        <v>363.19759999999997</v>
      </c>
      <c r="R278" s="60">
        <f t="shared" si="21"/>
        <v>224.86</v>
      </c>
      <c r="S278" s="60">
        <f t="shared" si="22"/>
        <v>138.33759999999995</v>
      </c>
      <c r="T278" s="65">
        <f t="shared" si="23"/>
        <v>0.38088797943598734</v>
      </c>
    </row>
    <row r="279" spans="1:20">
      <c r="A279" s="41">
        <f t="shared" si="24"/>
        <v>5</v>
      </c>
      <c r="B279" s="6" t="s">
        <v>420</v>
      </c>
      <c r="C279" s="20">
        <v>45779</v>
      </c>
      <c r="D279" s="6" t="s">
        <v>102</v>
      </c>
      <c r="E279" s="6" t="s">
        <v>103</v>
      </c>
      <c r="F279" s="6" t="s">
        <v>97</v>
      </c>
      <c r="G279" s="6" t="s">
        <v>98</v>
      </c>
      <c r="H279" s="6" t="s">
        <v>119</v>
      </c>
      <c r="I279" s="6" t="s">
        <v>120</v>
      </c>
      <c r="J279" s="25">
        <v>1</v>
      </c>
      <c r="K279" s="21">
        <v>2357.2199999999998</v>
      </c>
      <c r="L279" s="63">
        <v>0.15</v>
      </c>
      <c r="M279" s="21">
        <v>1572.73</v>
      </c>
      <c r="N279" s="6" t="s">
        <v>94</v>
      </c>
      <c r="O279" s="60">
        <f>Vendas2025[[#This Row],[Quantidade]]*Vendas2025[[#This Row],[Preço_Unitário_R$]]</f>
        <v>2357.2199999999998</v>
      </c>
      <c r="P279" s="60">
        <f>Vendas2025[[#This Row],[Receita_Bruta_R$]]*Vendas2025[[#This Row],[Desconto_pct]]</f>
        <v>353.58299999999997</v>
      </c>
      <c r="Q279" s="60">
        <f t="shared" si="20"/>
        <v>2003.6369999999997</v>
      </c>
      <c r="R279" s="60">
        <f t="shared" si="21"/>
        <v>1572.73</v>
      </c>
      <c r="S279" s="60">
        <f t="shared" si="22"/>
        <v>430.9069999999997</v>
      </c>
      <c r="T279" s="65">
        <f t="shared" si="23"/>
        <v>0.21506240900921661</v>
      </c>
    </row>
    <row r="280" spans="1:20">
      <c r="A280" s="41">
        <f t="shared" si="24"/>
        <v>5</v>
      </c>
      <c r="B280" s="6" t="s">
        <v>421</v>
      </c>
      <c r="C280" s="20">
        <v>45779</v>
      </c>
      <c r="D280" s="6" t="s">
        <v>88</v>
      </c>
      <c r="E280" s="6" t="s">
        <v>89</v>
      </c>
      <c r="F280" s="6" t="s">
        <v>97</v>
      </c>
      <c r="G280" s="6" t="s">
        <v>177</v>
      </c>
      <c r="H280" s="6" t="s">
        <v>99</v>
      </c>
      <c r="I280" s="6" t="s">
        <v>163</v>
      </c>
      <c r="J280" s="25">
        <v>2</v>
      </c>
      <c r="K280" s="21">
        <v>1370.46</v>
      </c>
      <c r="L280" s="63">
        <v>0.1</v>
      </c>
      <c r="M280" s="21">
        <v>959.05</v>
      </c>
      <c r="N280" s="6" t="s">
        <v>94</v>
      </c>
      <c r="O280" s="60">
        <f>Vendas2025[[#This Row],[Quantidade]]*Vendas2025[[#This Row],[Preço_Unitário_R$]]</f>
        <v>2740.92</v>
      </c>
      <c r="P280" s="60">
        <f>Vendas2025[[#This Row],[Receita_Bruta_R$]]*Vendas2025[[#This Row],[Desconto_pct]]</f>
        <v>274.09200000000004</v>
      </c>
      <c r="Q280" s="60">
        <f t="shared" si="20"/>
        <v>2466.828</v>
      </c>
      <c r="R280" s="60">
        <f t="shared" si="21"/>
        <v>1918.1</v>
      </c>
      <c r="S280" s="60">
        <f t="shared" si="22"/>
        <v>548.72800000000007</v>
      </c>
      <c r="T280" s="65">
        <f t="shared" si="23"/>
        <v>0.22244274833916272</v>
      </c>
    </row>
    <row r="281" spans="1:20">
      <c r="A281" s="41">
        <f t="shared" si="24"/>
        <v>5</v>
      </c>
      <c r="B281" s="6" t="s">
        <v>422</v>
      </c>
      <c r="C281" s="20">
        <v>45779</v>
      </c>
      <c r="D281" s="6" t="s">
        <v>136</v>
      </c>
      <c r="E281" s="6" t="s">
        <v>137</v>
      </c>
      <c r="F281" s="6" t="s">
        <v>122</v>
      </c>
      <c r="G281" s="6" t="s">
        <v>91</v>
      </c>
      <c r="H281" s="6" t="s">
        <v>92</v>
      </c>
      <c r="I281" s="6" t="s">
        <v>93</v>
      </c>
      <c r="J281" s="25">
        <v>1</v>
      </c>
      <c r="K281" s="21">
        <v>254.74</v>
      </c>
      <c r="L281" s="63">
        <v>0.15</v>
      </c>
      <c r="M281" s="21">
        <v>113.39</v>
      </c>
      <c r="N281" s="6" t="s">
        <v>94</v>
      </c>
      <c r="O281" s="60">
        <f>Vendas2025[[#This Row],[Quantidade]]*Vendas2025[[#This Row],[Preço_Unitário_R$]]</f>
        <v>254.74</v>
      </c>
      <c r="P281" s="60">
        <f>Vendas2025[[#This Row],[Receita_Bruta_R$]]*Vendas2025[[#This Row],[Desconto_pct]]</f>
        <v>38.210999999999999</v>
      </c>
      <c r="Q281" s="60">
        <f t="shared" si="20"/>
        <v>216.529</v>
      </c>
      <c r="R281" s="60">
        <f t="shared" si="21"/>
        <v>113.39</v>
      </c>
      <c r="S281" s="60">
        <f t="shared" si="22"/>
        <v>103.139</v>
      </c>
      <c r="T281" s="65">
        <f t="shared" si="23"/>
        <v>0.47632880584124987</v>
      </c>
    </row>
    <row r="282" spans="1:20">
      <c r="A282" s="41">
        <f t="shared" si="24"/>
        <v>5</v>
      </c>
      <c r="B282" s="6" t="s">
        <v>423</v>
      </c>
      <c r="C282" s="20">
        <v>45780</v>
      </c>
      <c r="D282" s="6" t="s">
        <v>113</v>
      </c>
      <c r="E282" s="6" t="s">
        <v>114</v>
      </c>
      <c r="F282" s="6" t="s">
        <v>97</v>
      </c>
      <c r="G282" s="6" t="s">
        <v>105</v>
      </c>
      <c r="H282" s="6" t="s">
        <v>124</v>
      </c>
      <c r="I282" s="6" t="s">
        <v>199</v>
      </c>
      <c r="J282" s="25">
        <v>1</v>
      </c>
      <c r="K282" s="21">
        <v>333.44</v>
      </c>
      <c r="L282" s="63">
        <v>0</v>
      </c>
      <c r="M282" s="21">
        <v>154.66</v>
      </c>
      <c r="N282" s="6" t="s">
        <v>94</v>
      </c>
      <c r="O282" s="60">
        <f>Vendas2025[[#This Row],[Quantidade]]*Vendas2025[[#This Row],[Preço_Unitário_R$]]</f>
        <v>333.44</v>
      </c>
      <c r="P282" s="60">
        <f>Vendas2025[[#This Row],[Receita_Bruta_R$]]*Vendas2025[[#This Row],[Desconto_pct]]</f>
        <v>0</v>
      </c>
      <c r="Q282" s="60">
        <f t="shared" si="20"/>
        <v>333.44</v>
      </c>
      <c r="R282" s="60">
        <f t="shared" si="21"/>
        <v>154.66</v>
      </c>
      <c r="S282" s="60">
        <f t="shared" si="22"/>
        <v>178.78</v>
      </c>
      <c r="T282" s="65">
        <f t="shared" si="23"/>
        <v>0.53616842610364679</v>
      </c>
    </row>
    <row r="283" spans="1:20">
      <c r="A283" s="41">
        <f t="shared" si="24"/>
        <v>5</v>
      </c>
      <c r="B283" s="6" t="s">
        <v>424</v>
      </c>
      <c r="C283" s="20">
        <v>45780</v>
      </c>
      <c r="D283" s="6" t="s">
        <v>96</v>
      </c>
      <c r="E283" s="6" t="s">
        <v>89</v>
      </c>
      <c r="F283" s="6" t="s">
        <v>90</v>
      </c>
      <c r="G283" s="6" t="s">
        <v>160</v>
      </c>
      <c r="H283" s="6" t="s">
        <v>99</v>
      </c>
      <c r="I283" s="6" t="s">
        <v>130</v>
      </c>
      <c r="J283" s="25">
        <v>1</v>
      </c>
      <c r="K283" s="21">
        <v>234.98</v>
      </c>
      <c r="L283" s="63">
        <v>0.2</v>
      </c>
      <c r="M283" s="21">
        <v>108.83</v>
      </c>
      <c r="N283" s="6" t="s">
        <v>94</v>
      </c>
      <c r="O283" s="60">
        <f>Vendas2025[[#This Row],[Quantidade]]*Vendas2025[[#This Row],[Preço_Unitário_R$]]</f>
        <v>234.98</v>
      </c>
      <c r="P283" s="60">
        <f>Vendas2025[[#This Row],[Receita_Bruta_R$]]*Vendas2025[[#This Row],[Desconto_pct]]</f>
        <v>46.996000000000002</v>
      </c>
      <c r="Q283" s="60">
        <f t="shared" si="20"/>
        <v>187.98399999999998</v>
      </c>
      <c r="R283" s="60">
        <f t="shared" si="21"/>
        <v>108.83</v>
      </c>
      <c r="S283" s="60">
        <f t="shared" si="22"/>
        <v>79.153999999999982</v>
      </c>
      <c r="T283" s="65">
        <f t="shared" si="23"/>
        <v>0.42106775044684647</v>
      </c>
    </row>
    <row r="284" spans="1:20">
      <c r="A284" s="41">
        <f t="shared" si="24"/>
        <v>5</v>
      </c>
      <c r="B284" s="6" t="s">
        <v>425</v>
      </c>
      <c r="C284" s="20">
        <v>45780</v>
      </c>
      <c r="D284" s="6" t="s">
        <v>129</v>
      </c>
      <c r="E284" s="6" t="s">
        <v>103</v>
      </c>
      <c r="F284" s="6" t="s">
        <v>90</v>
      </c>
      <c r="G284" s="6" t="s">
        <v>140</v>
      </c>
      <c r="H284" s="6" t="s">
        <v>99</v>
      </c>
      <c r="I284" s="6" t="s">
        <v>173</v>
      </c>
      <c r="J284" s="25">
        <v>1</v>
      </c>
      <c r="K284" s="21">
        <v>4142.5</v>
      </c>
      <c r="L284" s="63">
        <v>0.15</v>
      </c>
      <c r="M284" s="21">
        <v>3241.53</v>
      </c>
      <c r="N284" s="6" t="s">
        <v>94</v>
      </c>
      <c r="O284" s="60">
        <f>Vendas2025[[#This Row],[Quantidade]]*Vendas2025[[#This Row],[Preço_Unitário_R$]]</f>
        <v>4142.5</v>
      </c>
      <c r="P284" s="60">
        <f>Vendas2025[[#This Row],[Receita_Bruta_R$]]*Vendas2025[[#This Row],[Desconto_pct]]</f>
        <v>621.375</v>
      </c>
      <c r="Q284" s="60">
        <f t="shared" si="20"/>
        <v>3521.125</v>
      </c>
      <c r="R284" s="60">
        <f t="shared" si="21"/>
        <v>3241.53</v>
      </c>
      <c r="S284" s="60">
        <f t="shared" si="22"/>
        <v>279.5949999999998</v>
      </c>
      <c r="T284" s="65">
        <f t="shared" si="23"/>
        <v>7.9405019702509794E-2</v>
      </c>
    </row>
    <row r="285" spans="1:20">
      <c r="A285" s="41">
        <f t="shared" si="24"/>
        <v>5</v>
      </c>
      <c r="B285" s="6" t="s">
        <v>426</v>
      </c>
      <c r="C285" s="20">
        <v>45780</v>
      </c>
      <c r="D285" s="6" t="s">
        <v>129</v>
      </c>
      <c r="E285" s="6" t="s">
        <v>103</v>
      </c>
      <c r="F285" s="6" t="s">
        <v>104</v>
      </c>
      <c r="G285" s="6" t="s">
        <v>127</v>
      </c>
      <c r="H285" s="6" t="s">
        <v>124</v>
      </c>
      <c r="I285" s="6" t="s">
        <v>193</v>
      </c>
      <c r="J285" s="25">
        <v>1</v>
      </c>
      <c r="K285" s="21">
        <v>354.91</v>
      </c>
      <c r="L285" s="63">
        <v>0.05</v>
      </c>
      <c r="M285" s="21">
        <v>160.74</v>
      </c>
      <c r="N285" s="6" t="s">
        <v>94</v>
      </c>
      <c r="O285" s="60">
        <f>Vendas2025[[#This Row],[Quantidade]]*Vendas2025[[#This Row],[Preço_Unitário_R$]]</f>
        <v>354.91</v>
      </c>
      <c r="P285" s="60">
        <f>Vendas2025[[#This Row],[Receita_Bruta_R$]]*Vendas2025[[#This Row],[Desconto_pct]]</f>
        <v>17.745500000000003</v>
      </c>
      <c r="Q285" s="60">
        <f t="shared" si="20"/>
        <v>337.16450000000003</v>
      </c>
      <c r="R285" s="60">
        <f t="shared" si="21"/>
        <v>160.74</v>
      </c>
      <c r="S285" s="60">
        <f t="shared" si="22"/>
        <v>176.42450000000002</v>
      </c>
      <c r="T285" s="65">
        <f t="shared" si="23"/>
        <v>0.52325941788058949</v>
      </c>
    </row>
    <row r="286" spans="1:20">
      <c r="A286" s="41">
        <f t="shared" si="24"/>
        <v>5</v>
      </c>
      <c r="B286" s="6" t="s">
        <v>427</v>
      </c>
      <c r="C286" s="20">
        <v>45781</v>
      </c>
      <c r="D286" s="6" t="s">
        <v>113</v>
      </c>
      <c r="E286" s="6" t="s">
        <v>114</v>
      </c>
      <c r="F286" s="6" t="s">
        <v>122</v>
      </c>
      <c r="G286" s="6" t="s">
        <v>127</v>
      </c>
      <c r="H286" s="6" t="s">
        <v>92</v>
      </c>
      <c r="I286" s="6" t="s">
        <v>134</v>
      </c>
      <c r="J286" s="25">
        <v>1</v>
      </c>
      <c r="K286" s="21">
        <v>411.71</v>
      </c>
      <c r="L286" s="63">
        <v>0.15</v>
      </c>
      <c r="M286" s="21">
        <v>235.05</v>
      </c>
      <c r="N286" s="6" t="s">
        <v>94</v>
      </c>
      <c r="O286" s="60">
        <f>Vendas2025[[#This Row],[Quantidade]]*Vendas2025[[#This Row],[Preço_Unitário_R$]]</f>
        <v>411.71</v>
      </c>
      <c r="P286" s="60">
        <f>Vendas2025[[#This Row],[Receita_Bruta_R$]]*Vendas2025[[#This Row],[Desconto_pct]]</f>
        <v>61.756499999999996</v>
      </c>
      <c r="Q286" s="60">
        <f t="shared" si="20"/>
        <v>349.95349999999996</v>
      </c>
      <c r="R286" s="60">
        <f t="shared" si="21"/>
        <v>235.05</v>
      </c>
      <c r="S286" s="60">
        <f t="shared" si="22"/>
        <v>114.90349999999995</v>
      </c>
      <c r="T286" s="65">
        <f t="shared" si="23"/>
        <v>0.32833933651185077</v>
      </c>
    </row>
    <row r="287" spans="1:20">
      <c r="A287" s="41">
        <f t="shared" si="24"/>
        <v>5</v>
      </c>
      <c r="B287" s="6" t="s">
        <v>428</v>
      </c>
      <c r="C287" s="20">
        <v>45781</v>
      </c>
      <c r="D287" s="6" t="s">
        <v>113</v>
      </c>
      <c r="E287" s="6" t="s">
        <v>114</v>
      </c>
      <c r="F287" s="6" t="s">
        <v>122</v>
      </c>
      <c r="G287" s="6" t="s">
        <v>105</v>
      </c>
      <c r="H287" s="6" t="s">
        <v>119</v>
      </c>
      <c r="I287" s="6" t="s">
        <v>155</v>
      </c>
      <c r="J287" s="25">
        <v>1</v>
      </c>
      <c r="K287" s="21">
        <v>387.02</v>
      </c>
      <c r="L287" s="63">
        <v>0.03</v>
      </c>
      <c r="M287" s="21">
        <v>220.87</v>
      </c>
      <c r="N287" s="6" t="s">
        <v>94</v>
      </c>
      <c r="O287" s="60">
        <f>Vendas2025[[#This Row],[Quantidade]]*Vendas2025[[#This Row],[Preço_Unitário_R$]]</f>
        <v>387.02</v>
      </c>
      <c r="P287" s="60">
        <f>Vendas2025[[#This Row],[Receita_Bruta_R$]]*Vendas2025[[#This Row],[Desconto_pct]]</f>
        <v>11.6106</v>
      </c>
      <c r="Q287" s="60">
        <f t="shared" si="20"/>
        <v>375.40940000000001</v>
      </c>
      <c r="R287" s="60">
        <f t="shared" si="21"/>
        <v>220.87</v>
      </c>
      <c r="S287" s="60">
        <f t="shared" si="22"/>
        <v>154.5394</v>
      </c>
      <c r="T287" s="65">
        <f t="shared" si="23"/>
        <v>0.41165564847337333</v>
      </c>
    </row>
    <row r="288" spans="1:20">
      <c r="A288" s="41">
        <f t="shared" si="24"/>
        <v>5</v>
      </c>
      <c r="B288" s="6" t="s">
        <v>429</v>
      </c>
      <c r="C288" s="20">
        <v>45781</v>
      </c>
      <c r="D288" s="6" t="s">
        <v>118</v>
      </c>
      <c r="E288" s="6" t="s">
        <v>114</v>
      </c>
      <c r="F288" s="6" t="s">
        <v>97</v>
      </c>
      <c r="G288" s="6" t="s">
        <v>91</v>
      </c>
      <c r="H288" s="6" t="s">
        <v>124</v>
      </c>
      <c r="I288" s="6" t="s">
        <v>199</v>
      </c>
      <c r="J288" s="25">
        <v>2</v>
      </c>
      <c r="K288" s="21">
        <v>332.01</v>
      </c>
      <c r="L288" s="63">
        <v>0.1</v>
      </c>
      <c r="M288" s="21">
        <v>156.19999999999999</v>
      </c>
      <c r="N288" s="6" t="s">
        <v>94</v>
      </c>
      <c r="O288" s="60">
        <f>Vendas2025[[#This Row],[Quantidade]]*Vendas2025[[#This Row],[Preço_Unitário_R$]]</f>
        <v>664.02</v>
      </c>
      <c r="P288" s="60">
        <f>Vendas2025[[#This Row],[Receita_Bruta_R$]]*Vendas2025[[#This Row],[Desconto_pct]]</f>
        <v>66.402000000000001</v>
      </c>
      <c r="Q288" s="60">
        <f t="shared" si="20"/>
        <v>597.61799999999994</v>
      </c>
      <c r="R288" s="60">
        <f t="shared" si="21"/>
        <v>312.39999999999998</v>
      </c>
      <c r="S288" s="60">
        <f t="shared" si="22"/>
        <v>285.21799999999996</v>
      </c>
      <c r="T288" s="65">
        <f t="shared" si="23"/>
        <v>0.47725804778303194</v>
      </c>
    </row>
    <row r="289" spans="1:20">
      <c r="A289" s="41">
        <f t="shared" si="24"/>
        <v>5</v>
      </c>
      <c r="B289" s="6" t="s">
        <v>430</v>
      </c>
      <c r="C289" s="20">
        <v>45781</v>
      </c>
      <c r="D289" s="6" t="s">
        <v>136</v>
      </c>
      <c r="E289" s="6" t="s">
        <v>137</v>
      </c>
      <c r="F289" s="6" t="s">
        <v>122</v>
      </c>
      <c r="G289" s="6" t="s">
        <v>110</v>
      </c>
      <c r="H289" s="6" t="s">
        <v>124</v>
      </c>
      <c r="I289" s="6" t="s">
        <v>125</v>
      </c>
      <c r="J289" s="25">
        <v>1</v>
      </c>
      <c r="K289" s="21">
        <v>704.84</v>
      </c>
      <c r="L289" s="63">
        <v>0.1</v>
      </c>
      <c r="M289" s="21">
        <v>348.02</v>
      </c>
      <c r="N289" s="6" t="s">
        <v>94</v>
      </c>
      <c r="O289" s="60">
        <f>Vendas2025[[#This Row],[Quantidade]]*Vendas2025[[#This Row],[Preço_Unitário_R$]]</f>
        <v>704.84</v>
      </c>
      <c r="P289" s="60">
        <f>Vendas2025[[#This Row],[Receita_Bruta_R$]]*Vendas2025[[#This Row],[Desconto_pct]]</f>
        <v>70.484000000000009</v>
      </c>
      <c r="Q289" s="60">
        <f t="shared" si="20"/>
        <v>634.35599999999999</v>
      </c>
      <c r="R289" s="60">
        <f t="shared" si="21"/>
        <v>348.02</v>
      </c>
      <c r="S289" s="60">
        <f t="shared" si="22"/>
        <v>286.33600000000001</v>
      </c>
      <c r="T289" s="65">
        <f t="shared" si="23"/>
        <v>0.45138061277894431</v>
      </c>
    </row>
    <row r="290" spans="1:20">
      <c r="A290" s="41">
        <f t="shared" si="24"/>
        <v>5</v>
      </c>
      <c r="B290" s="6" t="s">
        <v>431</v>
      </c>
      <c r="C290" s="20">
        <v>45782</v>
      </c>
      <c r="D290" s="6" t="s">
        <v>132</v>
      </c>
      <c r="E290" s="6" t="s">
        <v>89</v>
      </c>
      <c r="F290" s="6" t="s">
        <v>97</v>
      </c>
      <c r="G290" s="6" t="s">
        <v>160</v>
      </c>
      <c r="H290" s="6" t="s">
        <v>99</v>
      </c>
      <c r="I290" s="6" t="s">
        <v>163</v>
      </c>
      <c r="J290" s="25">
        <v>1</v>
      </c>
      <c r="K290" s="21">
        <v>1211.33</v>
      </c>
      <c r="L290" s="63">
        <v>0</v>
      </c>
      <c r="M290" s="21">
        <v>852.99</v>
      </c>
      <c r="N290" s="6" t="s">
        <v>94</v>
      </c>
      <c r="O290" s="60">
        <f>Vendas2025[[#This Row],[Quantidade]]*Vendas2025[[#This Row],[Preço_Unitário_R$]]</f>
        <v>1211.33</v>
      </c>
      <c r="P290" s="60">
        <f>Vendas2025[[#This Row],[Receita_Bruta_R$]]*Vendas2025[[#This Row],[Desconto_pct]]</f>
        <v>0</v>
      </c>
      <c r="Q290" s="60">
        <f t="shared" si="20"/>
        <v>1211.33</v>
      </c>
      <c r="R290" s="60">
        <f t="shared" si="21"/>
        <v>852.99</v>
      </c>
      <c r="S290" s="60">
        <f t="shared" si="22"/>
        <v>358.33999999999992</v>
      </c>
      <c r="T290" s="65">
        <f t="shared" si="23"/>
        <v>0.29582359885415199</v>
      </c>
    </row>
    <row r="291" spans="1:20">
      <c r="A291" s="41">
        <f t="shared" si="24"/>
        <v>5</v>
      </c>
      <c r="B291" s="6" t="s">
        <v>432</v>
      </c>
      <c r="C291" s="20">
        <v>45782</v>
      </c>
      <c r="D291" s="6" t="s">
        <v>96</v>
      </c>
      <c r="E291" s="6" t="s">
        <v>89</v>
      </c>
      <c r="F291" s="6" t="s">
        <v>122</v>
      </c>
      <c r="G291" s="6" t="s">
        <v>105</v>
      </c>
      <c r="H291" s="6" t="s">
        <v>92</v>
      </c>
      <c r="I291" s="6" t="s">
        <v>93</v>
      </c>
      <c r="J291" s="25">
        <v>2</v>
      </c>
      <c r="K291" s="21">
        <v>225.49</v>
      </c>
      <c r="L291" s="63">
        <v>0.1</v>
      </c>
      <c r="M291" s="21">
        <v>100.35</v>
      </c>
      <c r="N291" s="6" t="s">
        <v>94</v>
      </c>
      <c r="O291" s="60">
        <f>Vendas2025[[#This Row],[Quantidade]]*Vendas2025[[#This Row],[Preço_Unitário_R$]]</f>
        <v>450.98</v>
      </c>
      <c r="P291" s="60">
        <f>Vendas2025[[#This Row],[Receita_Bruta_R$]]*Vendas2025[[#This Row],[Desconto_pct]]</f>
        <v>45.098000000000006</v>
      </c>
      <c r="Q291" s="60">
        <f t="shared" si="20"/>
        <v>405.88200000000001</v>
      </c>
      <c r="R291" s="60">
        <f t="shared" si="21"/>
        <v>200.7</v>
      </c>
      <c r="S291" s="60">
        <f t="shared" si="22"/>
        <v>205.18200000000002</v>
      </c>
      <c r="T291" s="65">
        <f t="shared" si="23"/>
        <v>0.50552130914896454</v>
      </c>
    </row>
    <row r="292" spans="1:20">
      <c r="A292" s="41">
        <f t="shared" si="24"/>
        <v>5</v>
      </c>
      <c r="B292" s="6" t="s">
        <v>433</v>
      </c>
      <c r="C292" s="20">
        <v>45782</v>
      </c>
      <c r="D292" s="6" t="s">
        <v>118</v>
      </c>
      <c r="E292" s="6" t="s">
        <v>114</v>
      </c>
      <c r="F292" s="6" t="s">
        <v>97</v>
      </c>
      <c r="G292" s="6" t="s">
        <v>98</v>
      </c>
      <c r="H292" s="6" t="s">
        <v>119</v>
      </c>
      <c r="I292" s="6" t="s">
        <v>141</v>
      </c>
      <c r="J292" s="25">
        <v>1</v>
      </c>
      <c r="K292" s="21">
        <v>2605.1</v>
      </c>
      <c r="L292" s="63">
        <v>0.15</v>
      </c>
      <c r="M292" s="21">
        <v>1789.05</v>
      </c>
      <c r="N292" s="6" t="s">
        <v>94</v>
      </c>
      <c r="O292" s="60">
        <f>Vendas2025[[#This Row],[Quantidade]]*Vendas2025[[#This Row],[Preço_Unitário_R$]]</f>
        <v>2605.1</v>
      </c>
      <c r="P292" s="60">
        <f>Vendas2025[[#This Row],[Receita_Bruta_R$]]*Vendas2025[[#This Row],[Desconto_pct]]</f>
        <v>390.76499999999999</v>
      </c>
      <c r="Q292" s="60">
        <f t="shared" si="20"/>
        <v>2214.335</v>
      </c>
      <c r="R292" s="60">
        <f t="shared" si="21"/>
        <v>1789.05</v>
      </c>
      <c r="S292" s="60">
        <f t="shared" si="22"/>
        <v>425.28500000000008</v>
      </c>
      <c r="T292" s="65">
        <f t="shared" si="23"/>
        <v>0.19205991866632649</v>
      </c>
    </row>
    <row r="293" spans="1:20">
      <c r="A293" s="41">
        <f t="shared" si="24"/>
        <v>5</v>
      </c>
      <c r="B293" s="6" t="s">
        <v>434</v>
      </c>
      <c r="C293" s="20">
        <v>45783</v>
      </c>
      <c r="D293" s="6" t="s">
        <v>118</v>
      </c>
      <c r="E293" s="6" t="s">
        <v>114</v>
      </c>
      <c r="F293" s="6" t="s">
        <v>122</v>
      </c>
      <c r="G293" s="6" t="s">
        <v>140</v>
      </c>
      <c r="H293" s="6" t="s">
        <v>124</v>
      </c>
      <c r="I293" s="6" t="s">
        <v>199</v>
      </c>
      <c r="J293" s="25">
        <v>2</v>
      </c>
      <c r="K293" s="21">
        <v>337.65</v>
      </c>
      <c r="L293" s="63">
        <v>0.15</v>
      </c>
      <c r="M293" s="21">
        <v>157.36000000000001</v>
      </c>
      <c r="N293" s="6" t="s">
        <v>94</v>
      </c>
      <c r="O293" s="60">
        <f>Vendas2025[[#This Row],[Quantidade]]*Vendas2025[[#This Row],[Preço_Unitário_R$]]</f>
        <v>675.3</v>
      </c>
      <c r="P293" s="60">
        <f>Vendas2025[[#This Row],[Receita_Bruta_R$]]*Vendas2025[[#This Row],[Desconto_pct]]</f>
        <v>101.29499999999999</v>
      </c>
      <c r="Q293" s="60">
        <f t="shared" si="20"/>
        <v>574.005</v>
      </c>
      <c r="R293" s="60">
        <f t="shared" si="21"/>
        <v>314.72000000000003</v>
      </c>
      <c r="S293" s="60">
        <f t="shared" si="22"/>
        <v>259.28499999999997</v>
      </c>
      <c r="T293" s="65">
        <f t="shared" si="23"/>
        <v>0.45171209310023425</v>
      </c>
    </row>
    <row r="294" spans="1:20">
      <c r="A294" s="41">
        <f t="shared" si="24"/>
        <v>5</v>
      </c>
      <c r="B294" s="6" t="s">
        <v>435</v>
      </c>
      <c r="C294" s="20">
        <v>45783</v>
      </c>
      <c r="D294" s="6" t="s">
        <v>88</v>
      </c>
      <c r="E294" s="6" t="s">
        <v>89</v>
      </c>
      <c r="F294" s="6" t="s">
        <v>122</v>
      </c>
      <c r="G294" s="6" t="s">
        <v>110</v>
      </c>
      <c r="H294" s="6" t="s">
        <v>99</v>
      </c>
      <c r="I294" s="6" t="s">
        <v>158</v>
      </c>
      <c r="J294" s="25">
        <v>1</v>
      </c>
      <c r="K294" s="21">
        <v>195.29</v>
      </c>
      <c r="L294" s="63">
        <v>0.15</v>
      </c>
      <c r="M294" s="21">
        <v>88.34</v>
      </c>
      <c r="N294" s="6" t="s">
        <v>94</v>
      </c>
      <c r="O294" s="60">
        <f>Vendas2025[[#This Row],[Quantidade]]*Vendas2025[[#This Row],[Preço_Unitário_R$]]</f>
        <v>195.29</v>
      </c>
      <c r="P294" s="60">
        <f>Vendas2025[[#This Row],[Receita_Bruta_R$]]*Vendas2025[[#This Row],[Desconto_pct]]</f>
        <v>29.293499999999998</v>
      </c>
      <c r="Q294" s="60">
        <f t="shared" si="20"/>
        <v>165.9965</v>
      </c>
      <c r="R294" s="60">
        <f t="shared" si="21"/>
        <v>88.34</v>
      </c>
      <c r="S294" s="60">
        <f t="shared" si="22"/>
        <v>77.656499999999994</v>
      </c>
      <c r="T294" s="65">
        <f t="shared" si="23"/>
        <v>0.46782010464076046</v>
      </c>
    </row>
    <row r="295" spans="1:20">
      <c r="A295" s="41">
        <f t="shared" si="24"/>
        <v>5</v>
      </c>
      <c r="B295" s="6" t="s">
        <v>436</v>
      </c>
      <c r="C295" s="20">
        <v>45785</v>
      </c>
      <c r="D295" s="6" t="s">
        <v>136</v>
      </c>
      <c r="E295" s="6" t="s">
        <v>137</v>
      </c>
      <c r="F295" s="6" t="s">
        <v>122</v>
      </c>
      <c r="G295" s="6" t="s">
        <v>127</v>
      </c>
      <c r="H295" s="6" t="s">
        <v>99</v>
      </c>
      <c r="I295" s="6" t="s">
        <v>130</v>
      </c>
      <c r="J295" s="25">
        <v>1</v>
      </c>
      <c r="K295" s="21">
        <v>262.35000000000002</v>
      </c>
      <c r="L295" s="63">
        <v>0.2</v>
      </c>
      <c r="M295" s="21">
        <v>121.81</v>
      </c>
      <c r="N295" s="6" t="s">
        <v>94</v>
      </c>
      <c r="O295" s="60">
        <f>Vendas2025[[#This Row],[Quantidade]]*Vendas2025[[#This Row],[Preço_Unitário_R$]]</f>
        <v>262.35000000000002</v>
      </c>
      <c r="P295" s="60">
        <f>Vendas2025[[#This Row],[Receita_Bruta_R$]]*Vendas2025[[#This Row],[Desconto_pct]]</f>
        <v>52.470000000000006</v>
      </c>
      <c r="Q295" s="60">
        <f t="shared" si="20"/>
        <v>209.88000000000002</v>
      </c>
      <c r="R295" s="60">
        <f t="shared" si="21"/>
        <v>121.81</v>
      </c>
      <c r="S295" s="60">
        <f t="shared" si="22"/>
        <v>88.070000000000022</v>
      </c>
      <c r="T295" s="65">
        <f t="shared" si="23"/>
        <v>0.41962073565847158</v>
      </c>
    </row>
    <row r="296" spans="1:20">
      <c r="A296" s="41">
        <f t="shared" si="24"/>
        <v>5</v>
      </c>
      <c r="B296" s="6" t="s">
        <v>437</v>
      </c>
      <c r="C296" s="20">
        <v>45787</v>
      </c>
      <c r="D296" s="6" t="s">
        <v>113</v>
      </c>
      <c r="E296" s="6" t="s">
        <v>114</v>
      </c>
      <c r="F296" s="6" t="s">
        <v>90</v>
      </c>
      <c r="G296" s="6" t="s">
        <v>98</v>
      </c>
      <c r="H296" s="6" t="s">
        <v>106</v>
      </c>
      <c r="I296" s="6" t="s">
        <v>170</v>
      </c>
      <c r="J296" s="25">
        <v>1</v>
      </c>
      <c r="K296" s="21">
        <v>561.22</v>
      </c>
      <c r="L296" s="63">
        <v>0.05</v>
      </c>
      <c r="M296" s="21">
        <v>288.63</v>
      </c>
      <c r="N296" s="6" t="s">
        <v>94</v>
      </c>
      <c r="O296" s="60">
        <f>Vendas2025[[#This Row],[Quantidade]]*Vendas2025[[#This Row],[Preço_Unitário_R$]]</f>
        <v>561.22</v>
      </c>
      <c r="P296" s="60">
        <f>Vendas2025[[#This Row],[Receita_Bruta_R$]]*Vendas2025[[#This Row],[Desconto_pct]]</f>
        <v>28.061000000000003</v>
      </c>
      <c r="Q296" s="60">
        <f t="shared" si="20"/>
        <v>533.15899999999999</v>
      </c>
      <c r="R296" s="60">
        <f t="shared" si="21"/>
        <v>288.63</v>
      </c>
      <c r="S296" s="60">
        <f t="shared" si="22"/>
        <v>244.529</v>
      </c>
      <c r="T296" s="65">
        <f t="shared" si="23"/>
        <v>0.45864179353626217</v>
      </c>
    </row>
    <row r="297" spans="1:20">
      <c r="A297" s="41">
        <f t="shared" si="24"/>
        <v>5</v>
      </c>
      <c r="B297" s="6" t="s">
        <v>438</v>
      </c>
      <c r="C297" s="20">
        <v>45788</v>
      </c>
      <c r="D297" s="6" t="s">
        <v>96</v>
      </c>
      <c r="E297" s="6" t="s">
        <v>89</v>
      </c>
      <c r="F297" s="6" t="s">
        <v>97</v>
      </c>
      <c r="G297" s="6" t="s">
        <v>115</v>
      </c>
      <c r="H297" s="6" t="s">
        <v>99</v>
      </c>
      <c r="I297" s="6" t="s">
        <v>173</v>
      </c>
      <c r="J297" s="25">
        <v>1</v>
      </c>
      <c r="K297" s="21">
        <v>4002.43</v>
      </c>
      <c r="L297" s="63">
        <v>0.08</v>
      </c>
      <c r="M297" s="21">
        <v>3070.48</v>
      </c>
      <c r="N297" s="6" t="s">
        <v>94</v>
      </c>
      <c r="O297" s="60">
        <f>Vendas2025[[#This Row],[Quantidade]]*Vendas2025[[#This Row],[Preço_Unitário_R$]]</f>
        <v>4002.43</v>
      </c>
      <c r="P297" s="60">
        <f>Vendas2025[[#This Row],[Receita_Bruta_R$]]*Vendas2025[[#This Row],[Desconto_pct]]</f>
        <v>320.19439999999997</v>
      </c>
      <c r="Q297" s="60">
        <f t="shared" si="20"/>
        <v>3682.2356</v>
      </c>
      <c r="R297" s="60">
        <f t="shared" si="21"/>
        <v>3070.48</v>
      </c>
      <c r="S297" s="60">
        <f t="shared" si="22"/>
        <v>611.75559999999996</v>
      </c>
      <c r="T297" s="65">
        <f t="shared" si="23"/>
        <v>0.16613700655112887</v>
      </c>
    </row>
    <row r="298" spans="1:20">
      <c r="A298" s="41">
        <f t="shared" si="24"/>
        <v>5</v>
      </c>
      <c r="B298" s="6" t="s">
        <v>439</v>
      </c>
      <c r="C298" s="20">
        <v>45788</v>
      </c>
      <c r="D298" s="6" t="s">
        <v>102</v>
      </c>
      <c r="E298" s="6" t="s">
        <v>103</v>
      </c>
      <c r="F298" s="6" t="s">
        <v>104</v>
      </c>
      <c r="G298" s="6" t="s">
        <v>115</v>
      </c>
      <c r="H298" s="6" t="s">
        <v>99</v>
      </c>
      <c r="I298" s="6" t="s">
        <v>100</v>
      </c>
      <c r="J298" s="25">
        <v>1</v>
      </c>
      <c r="K298" s="21">
        <v>389.6</v>
      </c>
      <c r="L298" s="63">
        <v>0</v>
      </c>
      <c r="M298" s="21">
        <v>229.27</v>
      </c>
      <c r="N298" s="6" t="s">
        <v>94</v>
      </c>
      <c r="O298" s="60">
        <f>Vendas2025[[#This Row],[Quantidade]]*Vendas2025[[#This Row],[Preço_Unitário_R$]]</f>
        <v>389.6</v>
      </c>
      <c r="P298" s="60">
        <f>Vendas2025[[#This Row],[Receita_Bruta_R$]]*Vendas2025[[#This Row],[Desconto_pct]]</f>
        <v>0</v>
      </c>
      <c r="Q298" s="60">
        <f t="shared" si="20"/>
        <v>389.6</v>
      </c>
      <c r="R298" s="60">
        <f t="shared" si="21"/>
        <v>229.27</v>
      </c>
      <c r="S298" s="60">
        <f t="shared" si="22"/>
        <v>160.33000000000001</v>
      </c>
      <c r="T298" s="65">
        <f t="shared" si="23"/>
        <v>0.41152464065708422</v>
      </c>
    </row>
    <row r="299" spans="1:20">
      <c r="A299" s="41">
        <f t="shared" si="24"/>
        <v>5</v>
      </c>
      <c r="B299" s="6" t="s">
        <v>440</v>
      </c>
      <c r="C299" s="20">
        <v>45788</v>
      </c>
      <c r="D299" s="6" t="s">
        <v>132</v>
      </c>
      <c r="E299" s="6" t="s">
        <v>89</v>
      </c>
      <c r="F299" s="6" t="s">
        <v>97</v>
      </c>
      <c r="G299" s="6" t="s">
        <v>140</v>
      </c>
      <c r="H299" s="6" t="s">
        <v>99</v>
      </c>
      <c r="I299" s="6" t="s">
        <v>130</v>
      </c>
      <c r="J299" s="25">
        <v>2</v>
      </c>
      <c r="K299" s="21">
        <v>239.16</v>
      </c>
      <c r="L299" s="63">
        <v>0.05</v>
      </c>
      <c r="M299" s="21">
        <v>113.98</v>
      </c>
      <c r="N299" s="6" t="s">
        <v>94</v>
      </c>
      <c r="O299" s="60">
        <f>Vendas2025[[#This Row],[Quantidade]]*Vendas2025[[#This Row],[Preço_Unitário_R$]]</f>
        <v>478.32</v>
      </c>
      <c r="P299" s="60">
        <f>Vendas2025[[#This Row],[Receita_Bruta_R$]]*Vendas2025[[#This Row],[Desconto_pct]]</f>
        <v>23.916</v>
      </c>
      <c r="Q299" s="60">
        <f t="shared" si="20"/>
        <v>454.404</v>
      </c>
      <c r="R299" s="60">
        <f t="shared" si="21"/>
        <v>227.96</v>
      </c>
      <c r="S299" s="60">
        <f t="shared" si="22"/>
        <v>226.44399999999999</v>
      </c>
      <c r="T299" s="65">
        <f t="shared" si="23"/>
        <v>0.49833188088133024</v>
      </c>
    </row>
    <row r="300" spans="1:20">
      <c r="A300" s="41">
        <f t="shared" si="24"/>
        <v>5</v>
      </c>
      <c r="B300" s="6" t="s">
        <v>441</v>
      </c>
      <c r="C300" s="20">
        <v>45788</v>
      </c>
      <c r="D300" s="6" t="s">
        <v>118</v>
      </c>
      <c r="E300" s="6" t="s">
        <v>114</v>
      </c>
      <c r="F300" s="6" t="s">
        <v>122</v>
      </c>
      <c r="G300" s="6" t="s">
        <v>110</v>
      </c>
      <c r="H300" s="6" t="s">
        <v>99</v>
      </c>
      <c r="I300" s="6" t="s">
        <v>100</v>
      </c>
      <c r="J300" s="25">
        <v>1</v>
      </c>
      <c r="K300" s="21">
        <v>420.48</v>
      </c>
      <c r="L300" s="63">
        <v>0.05</v>
      </c>
      <c r="M300" s="21">
        <v>237.8</v>
      </c>
      <c r="N300" s="6" t="s">
        <v>108</v>
      </c>
      <c r="O300" s="60">
        <f>Vendas2025[[#This Row],[Quantidade]]*Vendas2025[[#This Row],[Preço_Unitário_R$]]</f>
        <v>420.48</v>
      </c>
      <c r="P300" s="60">
        <f>Vendas2025[[#This Row],[Receita_Bruta_R$]]*Vendas2025[[#This Row],[Desconto_pct]]</f>
        <v>21.024000000000001</v>
      </c>
      <c r="Q300" s="60">
        <f t="shared" si="20"/>
        <v>0</v>
      </c>
      <c r="R300" s="60">
        <f t="shared" si="21"/>
        <v>0</v>
      </c>
      <c r="S300" s="60">
        <f t="shared" si="22"/>
        <v>0</v>
      </c>
      <c r="T300" s="65" t="str">
        <f t="shared" si="23"/>
        <v/>
      </c>
    </row>
    <row r="301" spans="1:20">
      <c r="A301" s="41">
        <f t="shared" si="24"/>
        <v>5</v>
      </c>
      <c r="B301" s="6" t="s">
        <v>442</v>
      </c>
      <c r="C301" s="20">
        <v>45788</v>
      </c>
      <c r="D301" s="6" t="s">
        <v>118</v>
      </c>
      <c r="E301" s="6" t="s">
        <v>114</v>
      </c>
      <c r="F301" s="6" t="s">
        <v>122</v>
      </c>
      <c r="G301" s="6" t="s">
        <v>154</v>
      </c>
      <c r="H301" s="6" t="s">
        <v>99</v>
      </c>
      <c r="I301" s="6" t="s">
        <v>163</v>
      </c>
      <c r="J301" s="25">
        <v>1</v>
      </c>
      <c r="K301" s="21">
        <v>1369.16</v>
      </c>
      <c r="L301" s="63">
        <v>0.05</v>
      </c>
      <c r="M301" s="21">
        <v>925.5</v>
      </c>
      <c r="N301" s="6" t="s">
        <v>108</v>
      </c>
      <c r="O301" s="60">
        <f>Vendas2025[[#This Row],[Quantidade]]*Vendas2025[[#This Row],[Preço_Unitário_R$]]</f>
        <v>1369.16</v>
      </c>
      <c r="P301" s="60">
        <f>Vendas2025[[#This Row],[Receita_Bruta_R$]]*Vendas2025[[#This Row],[Desconto_pct]]</f>
        <v>68.458000000000013</v>
      </c>
      <c r="Q301" s="60">
        <f t="shared" si="20"/>
        <v>0</v>
      </c>
      <c r="R301" s="60">
        <f t="shared" si="21"/>
        <v>0</v>
      </c>
      <c r="S301" s="60">
        <f t="shared" si="22"/>
        <v>0</v>
      </c>
      <c r="T301" s="65" t="str">
        <f t="shared" si="23"/>
        <v/>
      </c>
    </row>
    <row r="302" spans="1:20">
      <c r="A302" s="41">
        <f t="shared" si="24"/>
        <v>5</v>
      </c>
      <c r="B302" s="6" t="s">
        <v>443</v>
      </c>
      <c r="C302" s="20">
        <v>45789</v>
      </c>
      <c r="D302" s="6" t="s">
        <v>113</v>
      </c>
      <c r="E302" s="6" t="s">
        <v>114</v>
      </c>
      <c r="F302" s="6" t="s">
        <v>97</v>
      </c>
      <c r="G302" s="6" t="s">
        <v>140</v>
      </c>
      <c r="H302" s="6" t="s">
        <v>99</v>
      </c>
      <c r="I302" s="6" t="s">
        <v>173</v>
      </c>
      <c r="J302" s="25">
        <v>1</v>
      </c>
      <c r="K302" s="21">
        <v>4059.38</v>
      </c>
      <c r="L302" s="63">
        <v>0.15</v>
      </c>
      <c r="M302" s="21">
        <v>3153.48</v>
      </c>
      <c r="N302" s="6" t="s">
        <v>94</v>
      </c>
      <c r="O302" s="60">
        <f>Vendas2025[[#This Row],[Quantidade]]*Vendas2025[[#This Row],[Preço_Unitário_R$]]</f>
        <v>4059.38</v>
      </c>
      <c r="P302" s="60">
        <f>Vendas2025[[#This Row],[Receita_Bruta_R$]]*Vendas2025[[#This Row],[Desconto_pct]]</f>
        <v>608.90700000000004</v>
      </c>
      <c r="Q302" s="60">
        <f t="shared" si="20"/>
        <v>3450.473</v>
      </c>
      <c r="R302" s="60">
        <f t="shared" si="21"/>
        <v>3153.48</v>
      </c>
      <c r="S302" s="60">
        <f t="shared" si="22"/>
        <v>296.99299999999994</v>
      </c>
      <c r="T302" s="65">
        <f t="shared" si="23"/>
        <v>8.6073126785805865E-2</v>
      </c>
    </row>
    <row r="303" spans="1:20">
      <c r="A303" s="41">
        <f t="shared" si="24"/>
        <v>5</v>
      </c>
      <c r="B303" s="6" t="s">
        <v>444</v>
      </c>
      <c r="C303" s="20">
        <v>45789</v>
      </c>
      <c r="D303" s="6" t="s">
        <v>113</v>
      </c>
      <c r="E303" s="6" t="s">
        <v>114</v>
      </c>
      <c r="F303" s="6" t="s">
        <v>97</v>
      </c>
      <c r="G303" s="6" t="s">
        <v>110</v>
      </c>
      <c r="H303" s="6" t="s">
        <v>92</v>
      </c>
      <c r="I303" s="6" t="s">
        <v>93</v>
      </c>
      <c r="J303" s="25">
        <v>1</v>
      </c>
      <c r="K303" s="21">
        <v>255.25</v>
      </c>
      <c r="L303" s="63">
        <v>0.05</v>
      </c>
      <c r="M303" s="21">
        <v>108.18</v>
      </c>
      <c r="N303" s="6" t="s">
        <v>94</v>
      </c>
      <c r="O303" s="60">
        <f>Vendas2025[[#This Row],[Quantidade]]*Vendas2025[[#This Row],[Preço_Unitário_R$]]</f>
        <v>255.25</v>
      </c>
      <c r="P303" s="60">
        <f>Vendas2025[[#This Row],[Receita_Bruta_R$]]*Vendas2025[[#This Row],[Desconto_pct]]</f>
        <v>12.762500000000001</v>
      </c>
      <c r="Q303" s="60">
        <f t="shared" si="20"/>
        <v>242.48750000000001</v>
      </c>
      <c r="R303" s="60">
        <f t="shared" si="21"/>
        <v>108.18</v>
      </c>
      <c r="S303" s="60">
        <f t="shared" si="22"/>
        <v>134.3075</v>
      </c>
      <c r="T303" s="65">
        <f t="shared" si="23"/>
        <v>0.55387391102634154</v>
      </c>
    </row>
    <row r="304" spans="1:20">
      <c r="A304" s="41">
        <f t="shared" si="24"/>
        <v>5</v>
      </c>
      <c r="B304" s="6" t="s">
        <v>445</v>
      </c>
      <c r="C304" s="20">
        <v>45789</v>
      </c>
      <c r="D304" s="6" t="s">
        <v>136</v>
      </c>
      <c r="E304" s="6" t="s">
        <v>137</v>
      </c>
      <c r="F304" s="6" t="s">
        <v>90</v>
      </c>
      <c r="G304" s="6" t="s">
        <v>115</v>
      </c>
      <c r="H304" s="6" t="s">
        <v>99</v>
      </c>
      <c r="I304" s="6" t="s">
        <v>173</v>
      </c>
      <c r="J304" s="25">
        <v>1</v>
      </c>
      <c r="K304" s="21">
        <v>3709.02</v>
      </c>
      <c r="L304" s="63">
        <v>0.25</v>
      </c>
      <c r="M304" s="21">
        <v>2921.29</v>
      </c>
      <c r="N304" s="6" t="s">
        <v>94</v>
      </c>
      <c r="O304" s="60">
        <f>Vendas2025[[#This Row],[Quantidade]]*Vendas2025[[#This Row],[Preço_Unitário_R$]]</f>
        <v>3709.02</v>
      </c>
      <c r="P304" s="60">
        <f>Vendas2025[[#This Row],[Receita_Bruta_R$]]*Vendas2025[[#This Row],[Desconto_pct]]</f>
        <v>927.255</v>
      </c>
      <c r="Q304" s="60">
        <f t="shared" si="20"/>
        <v>2781.7649999999999</v>
      </c>
      <c r="R304" s="60">
        <f t="shared" si="21"/>
        <v>2921.29</v>
      </c>
      <c r="S304" s="60">
        <f t="shared" si="22"/>
        <v>-139.52500000000009</v>
      </c>
      <c r="T304" s="65">
        <f t="shared" si="23"/>
        <v>-5.0157004635546169E-2</v>
      </c>
    </row>
    <row r="305" spans="1:20">
      <c r="A305" s="41">
        <f t="shared" si="24"/>
        <v>5</v>
      </c>
      <c r="B305" s="6" t="s">
        <v>446</v>
      </c>
      <c r="C305" s="20">
        <v>45789</v>
      </c>
      <c r="D305" s="6" t="s">
        <v>102</v>
      </c>
      <c r="E305" s="6" t="s">
        <v>103</v>
      </c>
      <c r="F305" s="6" t="s">
        <v>97</v>
      </c>
      <c r="G305" s="6" t="s">
        <v>151</v>
      </c>
      <c r="H305" s="6" t="s">
        <v>99</v>
      </c>
      <c r="I305" s="6" t="s">
        <v>100</v>
      </c>
      <c r="J305" s="25">
        <v>2</v>
      </c>
      <c r="K305" s="21">
        <v>395.99</v>
      </c>
      <c r="L305" s="63">
        <v>0</v>
      </c>
      <c r="M305" s="21">
        <v>223.17</v>
      </c>
      <c r="N305" s="6" t="s">
        <v>94</v>
      </c>
      <c r="O305" s="60">
        <f>Vendas2025[[#This Row],[Quantidade]]*Vendas2025[[#This Row],[Preço_Unitário_R$]]</f>
        <v>791.98</v>
      </c>
      <c r="P305" s="60">
        <f>Vendas2025[[#This Row],[Receita_Bruta_R$]]*Vendas2025[[#This Row],[Desconto_pct]]</f>
        <v>0</v>
      </c>
      <c r="Q305" s="60">
        <f t="shared" si="20"/>
        <v>791.98</v>
      </c>
      <c r="R305" s="60">
        <f t="shared" si="21"/>
        <v>446.34</v>
      </c>
      <c r="S305" s="60">
        <f t="shared" si="22"/>
        <v>345.64000000000004</v>
      </c>
      <c r="T305" s="65">
        <f t="shared" si="23"/>
        <v>0.43642516225157207</v>
      </c>
    </row>
    <row r="306" spans="1:20">
      <c r="A306" s="41">
        <f t="shared" si="24"/>
        <v>5</v>
      </c>
      <c r="B306" s="6" t="s">
        <v>447</v>
      </c>
      <c r="C306" s="20">
        <v>45789</v>
      </c>
      <c r="D306" s="6" t="s">
        <v>88</v>
      </c>
      <c r="E306" s="6" t="s">
        <v>89</v>
      </c>
      <c r="F306" s="6" t="s">
        <v>122</v>
      </c>
      <c r="G306" s="6" t="s">
        <v>110</v>
      </c>
      <c r="H306" s="6" t="s">
        <v>92</v>
      </c>
      <c r="I306" s="6" t="s">
        <v>144</v>
      </c>
      <c r="J306" s="25">
        <v>1</v>
      </c>
      <c r="K306" s="21">
        <v>142.99</v>
      </c>
      <c r="L306" s="63">
        <v>0.05</v>
      </c>
      <c r="M306" s="21">
        <v>50.47</v>
      </c>
      <c r="N306" s="6" t="s">
        <v>94</v>
      </c>
      <c r="O306" s="60">
        <f>Vendas2025[[#This Row],[Quantidade]]*Vendas2025[[#This Row],[Preço_Unitário_R$]]</f>
        <v>142.99</v>
      </c>
      <c r="P306" s="60">
        <f>Vendas2025[[#This Row],[Receita_Bruta_R$]]*Vendas2025[[#This Row],[Desconto_pct]]</f>
        <v>7.1495000000000006</v>
      </c>
      <c r="Q306" s="60">
        <f t="shared" si="20"/>
        <v>135.84050000000002</v>
      </c>
      <c r="R306" s="60">
        <f t="shared" si="21"/>
        <v>50.47</v>
      </c>
      <c r="S306" s="60">
        <f t="shared" si="22"/>
        <v>85.370500000000021</v>
      </c>
      <c r="T306" s="65">
        <f t="shared" si="23"/>
        <v>0.62846132044566982</v>
      </c>
    </row>
    <row r="307" spans="1:20">
      <c r="A307" s="41">
        <f t="shared" si="24"/>
        <v>5</v>
      </c>
      <c r="B307" s="6" t="s">
        <v>448</v>
      </c>
      <c r="C307" s="20">
        <v>45790</v>
      </c>
      <c r="D307" s="6" t="s">
        <v>96</v>
      </c>
      <c r="E307" s="6" t="s">
        <v>89</v>
      </c>
      <c r="F307" s="6" t="s">
        <v>90</v>
      </c>
      <c r="G307" s="6" t="s">
        <v>105</v>
      </c>
      <c r="H307" s="6" t="s">
        <v>106</v>
      </c>
      <c r="I307" s="6" t="s">
        <v>170</v>
      </c>
      <c r="J307" s="25">
        <v>2</v>
      </c>
      <c r="K307" s="21">
        <v>492.5</v>
      </c>
      <c r="L307" s="63">
        <v>0.05</v>
      </c>
      <c r="M307" s="21">
        <v>249.16</v>
      </c>
      <c r="N307" s="6" t="s">
        <v>94</v>
      </c>
      <c r="O307" s="60">
        <f>Vendas2025[[#This Row],[Quantidade]]*Vendas2025[[#This Row],[Preço_Unitário_R$]]</f>
        <v>985</v>
      </c>
      <c r="P307" s="60">
        <f>Vendas2025[[#This Row],[Receita_Bruta_R$]]*Vendas2025[[#This Row],[Desconto_pct]]</f>
        <v>49.25</v>
      </c>
      <c r="Q307" s="60">
        <f t="shared" si="20"/>
        <v>935.75</v>
      </c>
      <c r="R307" s="60">
        <f t="shared" si="21"/>
        <v>498.32</v>
      </c>
      <c r="S307" s="60">
        <f t="shared" si="22"/>
        <v>437.43</v>
      </c>
      <c r="T307" s="65">
        <f t="shared" si="23"/>
        <v>0.46746460058776385</v>
      </c>
    </row>
    <row r="308" spans="1:20">
      <c r="A308" s="41">
        <f t="shared" si="24"/>
        <v>5</v>
      </c>
      <c r="B308" s="6" t="s">
        <v>449</v>
      </c>
      <c r="C308" s="20">
        <v>45790</v>
      </c>
      <c r="D308" s="6" t="s">
        <v>96</v>
      </c>
      <c r="E308" s="6" t="s">
        <v>89</v>
      </c>
      <c r="F308" s="6" t="s">
        <v>97</v>
      </c>
      <c r="G308" s="6" t="s">
        <v>177</v>
      </c>
      <c r="H308" s="6" t="s">
        <v>92</v>
      </c>
      <c r="I308" s="6" t="s">
        <v>144</v>
      </c>
      <c r="J308" s="25">
        <v>2</v>
      </c>
      <c r="K308" s="21">
        <v>140.41</v>
      </c>
      <c r="L308" s="63">
        <v>0.08</v>
      </c>
      <c r="M308" s="21">
        <v>51.06</v>
      </c>
      <c r="N308" s="6" t="s">
        <v>94</v>
      </c>
      <c r="O308" s="60">
        <f>Vendas2025[[#This Row],[Quantidade]]*Vendas2025[[#This Row],[Preço_Unitário_R$]]</f>
        <v>280.82</v>
      </c>
      <c r="P308" s="60">
        <f>Vendas2025[[#This Row],[Receita_Bruta_R$]]*Vendas2025[[#This Row],[Desconto_pct]]</f>
        <v>22.465599999999998</v>
      </c>
      <c r="Q308" s="60">
        <f t="shared" si="20"/>
        <v>258.3544</v>
      </c>
      <c r="R308" s="60">
        <f t="shared" si="21"/>
        <v>102.12</v>
      </c>
      <c r="S308" s="60">
        <f t="shared" si="22"/>
        <v>156.23439999999999</v>
      </c>
      <c r="T308" s="65">
        <f t="shared" si="23"/>
        <v>0.60472900790541984</v>
      </c>
    </row>
    <row r="309" spans="1:20">
      <c r="A309" s="41">
        <f t="shared" si="24"/>
        <v>5</v>
      </c>
      <c r="B309" s="6" t="s">
        <v>450</v>
      </c>
      <c r="C309" s="20">
        <v>45790</v>
      </c>
      <c r="D309" s="6" t="s">
        <v>132</v>
      </c>
      <c r="E309" s="6" t="s">
        <v>89</v>
      </c>
      <c r="F309" s="6" t="s">
        <v>122</v>
      </c>
      <c r="G309" s="6" t="s">
        <v>115</v>
      </c>
      <c r="H309" s="6" t="s">
        <v>92</v>
      </c>
      <c r="I309" s="6" t="s">
        <v>144</v>
      </c>
      <c r="J309" s="25">
        <v>2</v>
      </c>
      <c r="K309" s="21">
        <v>140.07</v>
      </c>
      <c r="L309" s="63">
        <v>0.1</v>
      </c>
      <c r="M309" s="21">
        <v>49.68</v>
      </c>
      <c r="N309" s="6" t="s">
        <v>108</v>
      </c>
      <c r="O309" s="60">
        <f>Vendas2025[[#This Row],[Quantidade]]*Vendas2025[[#This Row],[Preço_Unitário_R$]]</f>
        <v>280.14</v>
      </c>
      <c r="P309" s="60">
        <f>Vendas2025[[#This Row],[Receita_Bruta_R$]]*Vendas2025[[#This Row],[Desconto_pct]]</f>
        <v>28.013999999999999</v>
      </c>
      <c r="Q309" s="60">
        <f t="shared" si="20"/>
        <v>0</v>
      </c>
      <c r="R309" s="60">
        <f t="shared" si="21"/>
        <v>0</v>
      </c>
      <c r="S309" s="60">
        <f t="shared" si="22"/>
        <v>0</v>
      </c>
      <c r="T309" s="65" t="str">
        <f t="shared" si="23"/>
        <v/>
      </c>
    </row>
    <row r="310" spans="1:20">
      <c r="A310" s="41">
        <f t="shared" si="24"/>
        <v>5</v>
      </c>
      <c r="B310" s="6" t="s">
        <v>451</v>
      </c>
      <c r="C310" s="20">
        <v>45790</v>
      </c>
      <c r="D310" s="6" t="s">
        <v>96</v>
      </c>
      <c r="E310" s="6" t="s">
        <v>89</v>
      </c>
      <c r="F310" s="6" t="s">
        <v>90</v>
      </c>
      <c r="G310" s="6" t="s">
        <v>123</v>
      </c>
      <c r="H310" s="6" t="s">
        <v>106</v>
      </c>
      <c r="I310" s="6" t="s">
        <v>184</v>
      </c>
      <c r="J310" s="25">
        <v>1</v>
      </c>
      <c r="K310" s="21">
        <v>1116.82</v>
      </c>
      <c r="L310" s="63">
        <v>0.1</v>
      </c>
      <c r="M310" s="21">
        <v>831.71</v>
      </c>
      <c r="N310" s="6" t="s">
        <v>94</v>
      </c>
      <c r="O310" s="60">
        <f>Vendas2025[[#This Row],[Quantidade]]*Vendas2025[[#This Row],[Preço_Unitário_R$]]</f>
        <v>1116.82</v>
      </c>
      <c r="P310" s="60">
        <f>Vendas2025[[#This Row],[Receita_Bruta_R$]]*Vendas2025[[#This Row],[Desconto_pct]]</f>
        <v>111.682</v>
      </c>
      <c r="Q310" s="60">
        <f t="shared" si="20"/>
        <v>1005.1379999999999</v>
      </c>
      <c r="R310" s="60">
        <f t="shared" si="21"/>
        <v>831.71</v>
      </c>
      <c r="S310" s="60">
        <f t="shared" si="22"/>
        <v>173.42799999999988</v>
      </c>
      <c r="T310" s="65">
        <f t="shared" si="23"/>
        <v>0.17254148186617152</v>
      </c>
    </row>
    <row r="311" spans="1:20">
      <c r="A311" s="41">
        <f t="shared" si="24"/>
        <v>5</v>
      </c>
      <c r="B311" s="6" t="s">
        <v>452</v>
      </c>
      <c r="C311" s="20">
        <v>45791</v>
      </c>
      <c r="D311" s="6" t="s">
        <v>129</v>
      </c>
      <c r="E311" s="6" t="s">
        <v>103</v>
      </c>
      <c r="F311" s="6" t="s">
        <v>122</v>
      </c>
      <c r="G311" s="6" t="s">
        <v>140</v>
      </c>
      <c r="H311" s="6" t="s">
        <v>119</v>
      </c>
      <c r="I311" s="6" t="s">
        <v>120</v>
      </c>
      <c r="J311" s="25">
        <v>1</v>
      </c>
      <c r="K311" s="21">
        <v>2190.69</v>
      </c>
      <c r="L311" s="63">
        <v>0.03</v>
      </c>
      <c r="M311" s="21">
        <v>1453.87</v>
      </c>
      <c r="N311" s="6" t="s">
        <v>94</v>
      </c>
      <c r="O311" s="60">
        <f>Vendas2025[[#This Row],[Quantidade]]*Vendas2025[[#This Row],[Preço_Unitário_R$]]</f>
        <v>2190.69</v>
      </c>
      <c r="P311" s="60">
        <f>Vendas2025[[#This Row],[Receita_Bruta_R$]]*Vendas2025[[#This Row],[Desconto_pct]]</f>
        <v>65.720699999999994</v>
      </c>
      <c r="Q311" s="60">
        <f t="shared" si="20"/>
        <v>2124.9693000000002</v>
      </c>
      <c r="R311" s="60">
        <f t="shared" si="21"/>
        <v>1453.87</v>
      </c>
      <c r="S311" s="60">
        <f t="shared" si="22"/>
        <v>671.09930000000031</v>
      </c>
      <c r="T311" s="65">
        <f t="shared" si="23"/>
        <v>0.31581599790641696</v>
      </c>
    </row>
    <row r="312" spans="1:20">
      <c r="A312" s="41">
        <f t="shared" si="24"/>
        <v>5</v>
      </c>
      <c r="B312" s="6" t="s">
        <v>453</v>
      </c>
      <c r="C312" s="20">
        <v>45792</v>
      </c>
      <c r="D312" s="6" t="s">
        <v>102</v>
      </c>
      <c r="E312" s="6" t="s">
        <v>103</v>
      </c>
      <c r="F312" s="6" t="s">
        <v>90</v>
      </c>
      <c r="G312" s="6" t="s">
        <v>110</v>
      </c>
      <c r="H312" s="6" t="s">
        <v>99</v>
      </c>
      <c r="I312" s="6" t="s">
        <v>173</v>
      </c>
      <c r="J312" s="25">
        <v>1</v>
      </c>
      <c r="K312" s="21">
        <v>3751.38</v>
      </c>
      <c r="L312" s="63">
        <v>0.1</v>
      </c>
      <c r="M312" s="21">
        <v>2981.03</v>
      </c>
      <c r="N312" s="6" t="s">
        <v>94</v>
      </c>
      <c r="O312" s="60">
        <f>Vendas2025[[#This Row],[Quantidade]]*Vendas2025[[#This Row],[Preço_Unitário_R$]]</f>
        <v>3751.38</v>
      </c>
      <c r="P312" s="60">
        <f>Vendas2025[[#This Row],[Receita_Bruta_R$]]*Vendas2025[[#This Row],[Desconto_pct]]</f>
        <v>375.13800000000003</v>
      </c>
      <c r="Q312" s="60">
        <f t="shared" si="20"/>
        <v>3376.2420000000002</v>
      </c>
      <c r="R312" s="60">
        <f t="shared" si="21"/>
        <v>2981.03</v>
      </c>
      <c r="S312" s="60">
        <f t="shared" si="22"/>
        <v>395.21199999999999</v>
      </c>
      <c r="T312" s="65">
        <f t="shared" si="23"/>
        <v>0.11705677495866705</v>
      </c>
    </row>
    <row r="313" spans="1:20">
      <c r="A313" s="41">
        <f t="shared" si="24"/>
        <v>5</v>
      </c>
      <c r="B313" s="6" t="s">
        <v>454</v>
      </c>
      <c r="C313" s="20">
        <v>45792</v>
      </c>
      <c r="D313" s="6" t="s">
        <v>102</v>
      </c>
      <c r="E313" s="6" t="s">
        <v>103</v>
      </c>
      <c r="F313" s="6" t="s">
        <v>90</v>
      </c>
      <c r="G313" s="6" t="s">
        <v>110</v>
      </c>
      <c r="H313" s="6" t="s">
        <v>99</v>
      </c>
      <c r="I313" s="6" t="s">
        <v>130</v>
      </c>
      <c r="J313" s="25">
        <v>1</v>
      </c>
      <c r="K313" s="21">
        <v>265.41000000000003</v>
      </c>
      <c r="L313" s="63">
        <v>0.2</v>
      </c>
      <c r="M313" s="21">
        <v>126.88</v>
      </c>
      <c r="N313" s="6" t="s">
        <v>94</v>
      </c>
      <c r="O313" s="60">
        <f>Vendas2025[[#This Row],[Quantidade]]*Vendas2025[[#This Row],[Preço_Unitário_R$]]</f>
        <v>265.41000000000003</v>
      </c>
      <c r="P313" s="60">
        <f>Vendas2025[[#This Row],[Receita_Bruta_R$]]*Vendas2025[[#This Row],[Desconto_pct]]</f>
        <v>53.082000000000008</v>
      </c>
      <c r="Q313" s="60">
        <f t="shared" si="20"/>
        <v>212.32800000000003</v>
      </c>
      <c r="R313" s="60">
        <f t="shared" si="21"/>
        <v>126.88</v>
      </c>
      <c r="S313" s="60">
        <f t="shared" si="22"/>
        <v>85.448000000000036</v>
      </c>
      <c r="T313" s="65">
        <f t="shared" si="23"/>
        <v>0.40243397008402104</v>
      </c>
    </row>
    <row r="314" spans="1:20">
      <c r="A314" s="41">
        <f t="shared" si="24"/>
        <v>5</v>
      </c>
      <c r="B314" s="6" t="s">
        <v>455</v>
      </c>
      <c r="C314" s="20">
        <v>45792</v>
      </c>
      <c r="D314" s="6" t="s">
        <v>118</v>
      </c>
      <c r="E314" s="6" t="s">
        <v>114</v>
      </c>
      <c r="F314" s="6" t="s">
        <v>122</v>
      </c>
      <c r="G314" s="6" t="s">
        <v>123</v>
      </c>
      <c r="H314" s="6" t="s">
        <v>106</v>
      </c>
      <c r="I314" s="6" t="s">
        <v>107</v>
      </c>
      <c r="J314" s="25">
        <v>3</v>
      </c>
      <c r="K314" s="21">
        <v>739.14</v>
      </c>
      <c r="L314" s="63">
        <v>0.2</v>
      </c>
      <c r="M314" s="21">
        <v>416.08</v>
      </c>
      <c r="N314" s="6" t="s">
        <v>94</v>
      </c>
      <c r="O314" s="60">
        <f>Vendas2025[[#This Row],[Quantidade]]*Vendas2025[[#This Row],[Preço_Unitário_R$]]</f>
        <v>2217.42</v>
      </c>
      <c r="P314" s="60">
        <f>Vendas2025[[#This Row],[Receita_Bruta_R$]]*Vendas2025[[#This Row],[Desconto_pct]]</f>
        <v>443.48400000000004</v>
      </c>
      <c r="Q314" s="60">
        <f t="shared" si="20"/>
        <v>1773.9360000000001</v>
      </c>
      <c r="R314" s="60">
        <f t="shared" si="21"/>
        <v>1248.24</v>
      </c>
      <c r="S314" s="60">
        <f t="shared" si="22"/>
        <v>525.69600000000014</v>
      </c>
      <c r="T314" s="65">
        <f t="shared" si="23"/>
        <v>0.29634440024893799</v>
      </c>
    </row>
    <row r="315" spans="1:20">
      <c r="A315" s="41">
        <f t="shared" si="24"/>
        <v>5</v>
      </c>
      <c r="B315" s="6" t="s">
        <v>456</v>
      </c>
      <c r="C315" s="20">
        <v>45792</v>
      </c>
      <c r="D315" s="6" t="s">
        <v>96</v>
      </c>
      <c r="E315" s="6" t="s">
        <v>89</v>
      </c>
      <c r="F315" s="6" t="s">
        <v>122</v>
      </c>
      <c r="G315" s="6" t="s">
        <v>151</v>
      </c>
      <c r="H315" s="6" t="s">
        <v>106</v>
      </c>
      <c r="I315" s="6" t="s">
        <v>116</v>
      </c>
      <c r="J315" s="25">
        <v>1</v>
      </c>
      <c r="K315" s="21">
        <v>475.46</v>
      </c>
      <c r="L315" s="63">
        <v>0.2</v>
      </c>
      <c r="M315" s="21">
        <v>268.88</v>
      </c>
      <c r="N315" s="6" t="s">
        <v>94</v>
      </c>
      <c r="O315" s="60">
        <f>Vendas2025[[#This Row],[Quantidade]]*Vendas2025[[#This Row],[Preço_Unitário_R$]]</f>
        <v>475.46</v>
      </c>
      <c r="P315" s="60">
        <f>Vendas2025[[#This Row],[Receita_Bruta_R$]]*Vendas2025[[#This Row],[Desconto_pct]]</f>
        <v>95.091999999999999</v>
      </c>
      <c r="Q315" s="60">
        <f t="shared" si="20"/>
        <v>380.36799999999999</v>
      </c>
      <c r="R315" s="60">
        <f t="shared" si="21"/>
        <v>268.88</v>
      </c>
      <c r="S315" s="60">
        <f t="shared" si="22"/>
        <v>111.488</v>
      </c>
      <c r="T315" s="65">
        <f t="shared" si="23"/>
        <v>0.29310562402725782</v>
      </c>
    </row>
    <row r="316" spans="1:20">
      <c r="A316" s="41">
        <f t="shared" si="24"/>
        <v>5</v>
      </c>
      <c r="B316" s="6" t="s">
        <v>457</v>
      </c>
      <c r="C316" s="20">
        <v>45792</v>
      </c>
      <c r="D316" s="6" t="s">
        <v>96</v>
      </c>
      <c r="E316" s="6" t="s">
        <v>89</v>
      </c>
      <c r="F316" s="6" t="s">
        <v>122</v>
      </c>
      <c r="G316" s="6" t="s">
        <v>123</v>
      </c>
      <c r="H316" s="6" t="s">
        <v>106</v>
      </c>
      <c r="I316" s="6" t="s">
        <v>107</v>
      </c>
      <c r="J316" s="25">
        <v>1</v>
      </c>
      <c r="K316" s="21">
        <v>682.71</v>
      </c>
      <c r="L316" s="63">
        <v>0.05</v>
      </c>
      <c r="M316" s="21">
        <v>403.57</v>
      </c>
      <c r="N316" s="6" t="s">
        <v>94</v>
      </c>
      <c r="O316" s="60">
        <f>Vendas2025[[#This Row],[Quantidade]]*Vendas2025[[#This Row],[Preço_Unitário_R$]]</f>
        <v>682.71</v>
      </c>
      <c r="P316" s="60">
        <f>Vendas2025[[#This Row],[Receita_Bruta_R$]]*Vendas2025[[#This Row],[Desconto_pct]]</f>
        <v>34.1355</v>
      </c>
      <c r="Q316" s="60">
        <f t="shared" si="20"/>
        <v>648.57450000000006</v>
      </c>
      <c r="R316" s="60">
        <f t="shared" si="21"/>
        <v>403.57</v>
      </c>
      <c r="S316" s="60">
        <f t="shared" si="22"/>
        <v>245.00450000000006</v>
      </c>
      <c r="T316" s="65">
        <f t="shared" si="23"/>
        <v>0.37775845334653158</v>
      </c>
    </row>
    <row r="317" spans="1:20">
      <c r="A317" s="41">
        <f t="shared" si="24"/>
        <v>5</v>
      </c>
      <c r="B317" s="6" t="s">
        <v>458</v>
      </c>
      <c r="C317" s="20">
        <v>45793</v>
      </c>
      <c r="D317" s="6" t="s">
        <v>96</v>
      </c>
      <c r="E317" s="6" t="s">
        <v>89</v>
      </c>
      <c r="F317" s="6" t="s">
        <v>122</v>
      </c>
      <c r="G317" s="6" t="s">
        <v>177</v>
      </c>
      <c r="H317" s="6" t="s">
        <v>119</v>
      </c>
      <c r="I317" s="6" t="s">
        <v>120</v>
      </c>
      <c r="J317" s="25">
        <v>1</v>
      </c>
      <c r="K317" s="21">
        <v>2123.63</v>
      </c>
      <c r="L317" s="63">
        <v>0.15</v>
      </c>
      <c r="M317" s="21">
        <v>1413.85</v>
      </c>
      <c r="N317" s="6" t="s">
        <v>94</v>
      </c>
      <c r="O317" s="60">
        <f>Vendas2025[[#This Row],[Quantidade]]*Vendas2025[[#This Row],[Preço_Unitário_R$]]</f>
        <v>2123.63</v>
      </c>
      <c r="P317" s="60">
        <f>Vendas2025[[#This Row],[Receita_Bruta_R$]]*Vendas2025[[#This Row],[Desconto_pct]]</f>
        <v>318.54450000000003</v>
      </c>
      <c r="Q317" s="60">
        <f t="shared" si="20"/>
        <v>1805.0855000000001</v>
      </c>
      <c r="R317" s="60">
        <f t="shared" si="21"/>
        <v>1413.85</v>
      </c>
      <c r="S317" s="60">
        <f t="shared" si="22"/>
        <v>391.23550000000023</v>
      </c>
      <c r="T317" s="65">
        <f t="shared" si="23"/>
        <v>0.21674070286421346</v>
      </c>
    </row>
    <row r="318" spans="1:20">
      <c r="A318" s="41">
        <f t="shared" si="24"/>
        <v>5</v>
      </c>
      <c r="B318" s="6" t="s">
        <v>459</v>
      </c>
      <c r="C318" s="20">
        <v>45793</v>
      </c>
      <c r="D318" s="6" t="s">
        <v>113</v>
      </c>
      <c r="E318" s="6" t="s">
        <v>114</v>
      </c>
      <c r="F318" s="6" t="s">
        <v>97</v>
      </c>
      <c r="G318" s="6" t="s">
        <v>91</v>
      </c>
      <c r="H318" s="6" t="s">
        <v>124</v>
      </c>
      <c r="I318" s="6" t="s">
        <v>125</v>
      </c>
      <c r="J318" s="25">
        <v>2</v>
      </c>
      <c r="K318" s="21">
        <v>721.81</v>
      </c>
      <c r="L318" s="63">
        <v>0.05</v>
      </c>
      <c r="M318" s="21">
        <v>355.13</v>
      </c>
      <c r="N318" s="6" t="s">
        <v>94</v>
      </c>
      <c r="O318" s="60">
        <f>Vendas2025[[#This Row],[Quantidade]]*Vendas2025[[#This Row],[Preço_Unitário_R$]]</f>
        <v>1443.62</v>
      </c>
      <c r="P318" s="60">
        <f>Vendas2025[[#This Row],[Receita_Bruta_R$]]*Vendas2025[[#This Row],[Desconto_pct]]</f>
        <v>72.180999999999997</v>
      </c>
      <c r="Q318" s="60">
        <f t="shared" si="20"/>
        <v>1371.4389999999999</v>
      </c>
      <c r="R318" s="60">
        <f t="shared" si="21"/>
        <v>710.26</v>
      </c>
      <c r="S318" s="60">
        <f t="shared" si="22"/>
        <v>661.17899999999986</v>
      </c>
      <c r="T318" s="65">
        <f t="shared" si="23"/>
        <v>0.48210602148546156</v>
      </c>
    </row>
    <row r="319" spans="1:20">
      <c r="A319" s="41">
        <f t="shared" si="24"/>
        <v>5</v>
      </c>
      <c r="B319" s="6" t="s">
        <v>460</v>
      </c>
      <c r="C319" s="20">
        <v>45793</v>
      </c>
      <c r="D319" s="6" t="s">
        <v>136</v>
      </c>
      <c r="E319" s="6" t="s">
        <v>137</v>
      </c>
      <c r="F319" s="6" t="s">
        <v>97</v>
      </c>
      <c r="G319" s="6" t="s">
        <v>115</v>
      </c>
      <c r="H319" s="6" t="s">
        <v>119</v>
      </c>
      <c r="I319" s="6" t="s">
        <v>155</v>
      </c>
      <c r="J319" s="25">
        <v>1</v>
      </c>
      <c r="K319" s="21">
        <v>386.18</v>
      </c>
      <c r="L319" s="63">
        <v>0.15</v>
      </c>
      <c r="M319" s="21">
        <v>209.13</v>
      </c>
      <c r="N319" s="6" t="s">
        <v>94</v>
      </c>
      <c r="O319" s="60">
        <f>Vendas2025[[#This Row],[Quantidade]]*Vendas2025[[#This Row],[Preço_Unitário_R$]]</f>
        <v>386.18</v>
      </c>
      <c r="P319" s="60">
        <f>Vendas2025[[#This Row],[Receita_Bruta_R$]]*Vendas2025[[#This Row],[Desconto_pct]]</f>
        <v>57.927</v>
      </c>
      <c r="Q319" s="60">
        <f t="shared" si="20"/>
        <v>328.25299999999999</v>
      </c>
      <c r="R319" s="60">
        <f t="shared" si="21"/>
        <v>209.13</v>
      </c>
      <c r="S319" s="60">
        <f t="shared" si="22"/>
        <v>119.12299999999999</v>
      </c>
      <c r="T319" s="65">
        <f t="shared" si="23"/>
        <v>0.36289995826390009</v>
      </c>
    </row>
    <row r="320" spans="1:20">
      <c r="A320" s="41">
        <f t="shared" si="24"/>
        <v>5</v>
      </c>
      <c r="B320" s="6" t="s">
        <v>461</v>
      </c>
      <c r="C320" s="20">
        <v>45793</v>
      </c>
      <c r="D320" s="6" t="s">
        <v>96</v>
      </c>
      <c r="E320" s="6" t="s">
        <v>89</v>
      </c>
      <c r="F320" s="6" t="s">
        <v>122</v>
      </c>
      <c r="G320" s="6" t="s">
        <v>98</v>
      </c>
      <c r="H320" s="6" t="s">
        <v>99</v>
      </c>
      <c r="I320" s="6" t="s">
        <v>130</v>
      </c>
      <c r="J320" s="25">
        <v>2</v>
      </c>
      <c r="K320" s="21">
        <v>262.61</v>
      </c>
      <c r="L320" s="63">
        <v>0.15</v>
      </c>
      <c r="M320" s="21">
        <v>125.79</v>
      </c>
      <c r="N320" s="6" t="s">
        <v>94</v>
      </c>
      <c r="O320" s="60">
        <f>Vendas2025[[#This Row],[Quantidade]]*Vendas2025[[#This Row],[Preço_Unitário_R$]]</f>
        <v>525.22</v>
      </c>
      <c r="P320" s="60">
        <f>Vendas2025[[#This Row],[Receita_Bruta_R$]]*Vendas2025[[#This Row],[Desconto_pct]]</f>
        <v>78.783000000000001</v>
      </c>
      <c r="Q320" s="60">
        <f t="shared" si="20"/>
        <v>446.43700000000001</v>
      </c>
      <c r="R320" s="60">
        <f t="shared" si="21"/>
        <v>251.58</v>
      </c>
      <c r="S320" s="60">
        <f t="shared" si="22"/>
        <v>194.857</v>
      </c>
      <c r="T320" s="65">
        <f t="shared" si="23"/>
        <v>0.43647143941922373</v>
      </c>
    </row>
    <row r="321" spans="1:20">
      <c r="A321" s="41">
        <f t="shared" si="24"/>
        <v>5</v>
      </c>
      <c r="B321" s="6" t="s">
        <v>462</v>
      </c>
      <c r="C321" s="20">
        <v>45794</v>
      </c>
      <c r="D321" s="6" t="s">
        <v>88</v>
      </c>
      <c r="E321" s="6" t="s">
        <v>89</v>
      </c>
      <c r="F321" s="6" t="s">
        <v>90</v>
      </c>
      <c r="G321" s="6" t="s">
        <v>105</v>
      </c>
      <c r="H321" s="6" t="s">
        <v>119</v>
      </c>
      <c r="I321" s="6" t="s">
        <v>138</v>
      </c>
      <c r="J321" s="25">
        <v>1</v>
      </c>
      <c r="K321" s="21">
        <v>148.87</v>
      </c>
      <c r="L321" s="63">
        <v>0.15</v>
      </c>
      <c r="M321" s="21">
        <v>60.8</v>
      </c>
      <c r="N321" s="6" t="s">
        <v>94</v>
      </c>
      <c r="O321" s="60">
        <f>Vendas2025[[#This Row],[Quantidade]]*Vendas2025[[#This Row],[Preço_Unitário_R$]]</f>
        <v>148.87</v>
      </c>
      <c r="P321" s="60">
        <f>Vendas2025[[#This Row],[Receita_Bruta_R$]]*Vendas2025[[#This Row],[Desconto_pct]]</f>
        <v>22.330500000000001</v>
      </c>
      <c r="Q321" s="60">
        <f t="shared" si="20"/>
        <v>126.5395</v>
      </c>
      <c r="R321" s="60">
        <f t="shared" si="21"/>
        <v>60.8</v>
      </c>
      <c r="S321" s="60">
        <f t="shared" si="22"/>
        <v>65.739500000000007</v>
      </c>
      <c r="T321" s="65">
        <f t="shared" si="23"/>
        <v>0.5195176209800102</v>
      </c>
    </row>
    <row r="322" spans="1:20">
      <c r="A322" s="41">
        <f t="shared" si="24"/>
        <v>5</v>
      </c>
      <c r="B322" s="6" t="s">
        <v>463</v>
      </c>
      <c r="C322" s="20">
        <v>45794</v>
      </c>
      <c r="D322" s="6" t="s">
        <v>102</v>
      </c>
      <c r="E322" s="6" t="s">
        <v>103</v>
      </c>
      <c r="F322" s="6" t="s">
        <v>90</v>
      </c>
      <c r="G322" s="6" t="s">
        <v>127</v>
      </c>
      <c r="H322" s="6" t="s">
        <v>92</v>
      </c>
      <c r="I322" s="6" t="s">
        <v>93</v>
      </c>
      <c r="J322" s="25">
        <v>1</v>
      </c>
      <c r="K322" s="21">
        <v>256.95</v>
      </c>
      <c r="L322" s="63">
        <v>0.1</v>
      </c>
      <c r="M322" s="21">
        <v>109.13</v>
      </c>
      <c r="N322" s="6" t="s">
        <v>94</v>
      </c>
      <c r="O322" s="60">
        <f>Vendas2025[[#This Row],[Quantidade]]*Vendas2025[[#This Row],[Preço_Unitário_R$]]</f>
        <v>256.95</v>
      </c>
      <c r="P322" s="60">
        <f>Vendas2025[[#This Row],[Receita_Bruta_R$]]*Vendas2025[[#This Row],[Desconto_pct]]</f>
        <v>25.695</v>
      </c>
      <c r="Q322" s="60">
        <f t="shared" ref="Q322:Q385" si="25">IF(N322="Concluída",O322-P322,0)</f>
        <v>231.255</v>
      </c>
      <c r="R322" s="60">
        <f t="shared" ref="R322:R385" si="26">IF(N322="Concluída",J322*M322,0)</f>
        <v>109.13</v>
      </c>
      <c r="S322" s="60">
        <f t="shared" ref="S322:S385" si="27">Q322-R322</f>
        <v>122.125</v>
      </c>
      <c r="T322" s="65">
        <f t="shared" ref="T322:T385" si="28">IF(Q322=0,"",S322/Q322)</f>
        <v>0.52809668980130164</v>
      </c>
    </row>
    <row r="323" spans="1:20">
      <c r="A323" s="41">
        <f t="shared" ref="A323:A386" si="29">MONTH(C323)</f>
        <v>5</v>
      </c>
      <c r="B323" s="6" t="s">
        <v>464</v>
      </c>
      <c r="C323" s="20">
        <v>45794</v>
      </c>
      <c r="D323" s="6" t="s">
        <v>129</v>
      </c>
      <c r="E323" s="6" t="s">
        <v>103</v>
      </c>
      <c r="F323" s="6" t="s">
        <v>90</v>
      </c>
      <c r="G323" s="6" t="s">
        <v>127</v>
      </c>
      <c r="H323" s="6" t="s">
        <v>124</v>
      </c>
      <c r="I323" s="6" t="s">
        <v>193</v>
      </c>
      <c r="J323" s="25">
        <v>1</v>
      </c>
      <c r="K323" s="21">
        <v>392.62</v>
      </c>
      <c r="L323" s="63">
        <v>0.05</v>
      </c>
      <c r="M323" s="21">
        <v>178.85</v>
      </c>
      <c r="N323" s="6" t="s">
        <v>94</v>
      </c>
      <c r="O323" s="60">
        <f>Vendas2025[[#This Row],[Quantidade]]*Vendas2025[[#This Row],[Preço_Unitário_R$]]</f>
        <v>392.62</v>
      </c>
      <c r="P323" s="60">
        <f>Vendas2025[[#This Row],[Receita_Bruta_R$]]*Vendas2025[[#This Row],[Desconto_pct]]</f>
        <v>19.631</v>
      </c>
      <c r="Q323" s="60">
        <f t="shared" si="25"/>
        <v>372.98900000000003</v>
      </c>
      <c r="R323" s="60">
        <f t="shared" si="26"/>
        <v>178.85</v>
      </c>
      <c r="S323" s="60">
        <f t="shared" si="27"/>
        <v>194.13900000000004</v>
      </c>
      <c r="T323" s="65">
        <f t="shared" si="28"/>
        <v>0.52049524248704393</v>
      </c>
    </row>
    <row r="324" spans="1:20">
      <c r="A324" s="41">
        <f t="shared" si="29"/>
        <v>5</v>
      </c>
      <c r="B324" s="6" t="s">
        <v>465</v>
      </c>
      <c r="C324" s="20">
        <v>45794</v>
      </c>
      <c r="D324" s="6" t="s">
        <v>96</v>
      </c>
      <c r="E324" s="6" t="s">
        <v>89</v>
      </c>
      <c r="F324" s="6" t="s">
        <v>122</v>
      </c>
      <c r="G324" s="6" t="s">
        <v>91</v>
      </c>
      <c r="H324" s="6" t="s">
        <v>119</v>
      </c>
      <c r="I324" s="6" t="s">
        <v>138</v>
      </c>
      <c r="J324" s="25">
        <v>3</v>
      </c>
      <c r="K324" s="21">
        <v>143.44999999999999</v>
      </c>
      <c r="L324" s="63">
        <v>0.1</v>
      </c>
      <c r="M324" s="21">
        <v>58.64</v>
      </c>
      <c r="N324" s="6" t="s">
        <v>94</v>
      </c>
      <c r="O324" s="60">
        <f>Vendas2025[[#This Row],[Quantidade]]*Vendas2025[[#This Row],[Preço_Unitário_R$]]</f>
        <v>430.34999999999997</v>
      </c>
      <c r="P324" s="60">
        <f>Vendas2025[[#This Row],[Receita_Bruta_R$]]*Vendas2025[[#This Row],[Desconto_pct]]</f>
        <v>43.034999999999997</v>
      </c>
      <c r="Q324" s="60">
        <f t="shared" si="25"/>
        <v>387.31499999999994</v>
      </c>
      <c r="R324" s="60">
        <f t="shared" si="26"/>
        <v>175.92000000000002</v>
      </c>
      <c r="S324" s="60">
        <f t="shared" si="27"/>
        <v>211.39499999999992</v>
      </c>
      <c r="T324" s="65">
        <f t="shared" si="28"/>
        <v>0.54579605747259974</v>
      </c>
    </row>
    <row r="325" spans="1:20">
      <c r="A325" s="41">
        <f t="shared" si="29"/>
        <v>5</v>
      </c>
      <c r="B325" s="6" t="s">
        <v>466</v>
      </c>
      <c r="C325" s="20">
        <v>45794</v>
      </c>
      <c r="D325" s="6" t="s">
        <v>136</v>
      </c>
      <c r="E325" s="6" t="s">
        <v>137</v>
      </c>
      <c r="F325" s="6" t="s">
        <v>90</v>
      </c>
      <c r="G325" s="6" t="s">
        <v>140</v>
      </c>
      <c r="H325" s="6" t="s">
        <v>124</v>
      </c>
      <c r="I325" s="6" t="s">
        <v>125</v>
      </c>
      <c r="J325" s="25">
        <v>1</v>
      </c>
      <c r="K325" s="21">
        <v>744.39</v>
      </c>
      <c r="L325" s="63">
        <v>0.1</v>
      </c>
      <c r="M325" s="21">
        <v>349.64</v>
      </c>
      <c r="N325" s="6" t="s">
        <v>94</v>
      </c>
      <c r="O325" s="60">
        <f>Vendas2025[[#This Row],[Quantidade]]*Vendas2025[[#This Row],[Preço_Unitário_R$]]</f>
        <v>744.39</v>
      </c>
      <c r="P325" s="60">
        <f>Vendas2025[[#This Row],[Receita_Bruta_R$]]*Vendas2025[[#This Row],[Desconto_pct]]</f>
        <v>74.439000000000007</v>
      </c>
      <c r="Q325" s="60">
        <f t="shared" si="25"/>
        <v>669.95100000000002</v>
      </c>
      <c r="R325" s="60">
        <f t="shared" si="26"/>
        <v>349.64</v>
      </c>
      <c r="S325" s="60">
        <f t="shared" si="27"/>
        <v>320.31100000000004</v>
      </c>
      <c r="T325" s="65">
        <f t="shared" si="28"/>
        <v>0.47811108573612104</v>
      </c>
    </row>
    <row r="326" spans="1:20">
      <c r="A326" s="41">
        <f t="shared" si="29"/>
        <v>5</v>
      </c>
      <c r="B326" s="6" t="s">
        <v>467</v>
      </c>
      <c r="C326" s="20">
        <v>45794</v>
      </c>
      <c r="D326" s="6" t="s">
        <v>129</v>
      </c>
      <c r="E326" s="6" t="s">
        <v>103</v>
      </c>
      <c r="F326" s="6" t="s">
        <v>104</v>
      </c>
      <c r="G326" s="6" t="s">
        <v>151</v>
      </c>
      <c r="H326" s="6" t="s">
        <v>99</v>
      </c>
      <c r="I326" s="6" t="s">
        <v>158</v>
      </c>
      <c r="J326" s="25">
        <v>1</v>
      </c>
      <c r="K326" s="21">
        <v>181.58</v>
      </c>
      <c r="L326" s="63">
        <v>0.05</v>
      </c>
      <c r="M326" s="21">
        <v>80.22</v>
      </c>
      <c r="N326" s="6" t="s">
        <v>94</v>
      </c>
      <c r="O326" s="60">
        <f>Vendas2025[[#This Row],[Quantidade]]*Vendas2025[[#This Row],[Preço_Unitário_R$]]</f>
        <v>181.58</v>
      </c>
      <c r="P326" s="60">
        <f>Vendas2025[[#This Row],[Receita_Bruta_R$]]*Vendas2025[[#This Row],[Desconto_pct]]</f>
        <v>9.0790000000000006</v>
      </c>
      <c r="Q326" s="60">
        <f t="shared" si="25"/>
        <v>172.501</v>
      </c>
      <c r="R326" s="60">
        <f t="shared" si="26"/>
        <v>80.22</v>
      </c>
      <c r="S326" s="60">
        <f t="shared" si="27"/>
        <v>92.281000000000006</v>
      </c>
      <c r="T326" s="65">
        <f t="shared" si="28"/>
        <v>0.53495921762772392</v>
      </c>
    </row>
    <row r="327" spans="1:20">
      <c r="A327" s="41">
        <f t="shared" si="29"/>
        <v>5</v>
      </c>
      <c r="B327" s="6" t="s">
        <v>468</v>
      </c>
      <c r="C327" s="20">
        <v>45795</v>
      </c>
      <c r="D327" s="6" t="s">
        <v>118</v>
      </c>
      <c r="E327" s="6" t="s">
        <v>114</v>
      </c>
      <c r="F327" s="6" t="s">
        <v>90</v>
      </c>
      <c r="G327" s="6" t="s">
        <v>105</v>
      </c>
      <c r="H327" s="6" t="s">
        <v>99</v>
      </c>
      <c r="I327" s="6" t="s">
        <v>163</v>
      </c>
      <c r="J327" s="25">
        <v>1</v>
      </c>
      <c r="K327" s="21">
        <v>1219.3800000000001</v>
      </c>
      <c r="L327" s="63">
        <v>0.05</v>
      </c>
      <c r="M327" s="21">
        <v>844.35</v>
      </c>
      <c r="N327" s="6" t="s">
        <v>94</v>
      </c>
      <c r="O327" s="60">
        <f>Vendas2025[[#This Row],[Quantidade]]*Vendas2025[[#This Row],[Preço_Unitário_R$]]</f>
        <v>1219.3800000000001</v>
      </c>
      <c r="P327" s="60">
        <f>Vendas2025[[#This Row],[Receita_Bruta_R$]]*Vendas2025[[#This Row],[Desconto_pct]]</f>
        <v>60.969000000000008</v>
      </c>
      <c r="Q327" s="60">
        <f t="shared" si="25"/>
        <v>1158.4110000000001</v>
      </c>
      <c r="R327" s="60">
        <f t="shared" si="26"/>
        <v>844.35</v>
      </c>
      <c r="S327" s="60">
        <f t="shared" si="27"/>
        <v>314.06100000000004</v>
      </c>
      <c r="T327" s="65">
        <f t="shared" si="28"/>
        <v>0.27111362029538738</v>
      </c>
    </row>
    <row r="328" spans="1:20">
      <c r="A328" s="41">
        <f t="shared" si="29"/>
        <v>5</v>
      </c>
      <c r="B328" s="6" t="s">
        <v>469</v>
      </c>
      <c r="C328" s="20">
        <v>45796</v>
      </c>
      <c r="D328" s="6" t="s">
        <v>132</v>
      </c>
      <c r="E328" s="6" t="s">
        <v>89</v>
      </c>
      <c r="F328" s="6" t="s">
        <v>97</v>
      </c>
      <c r="G328" s="6" t="s">
        <v>115</v>
      </c>
      <c r="H328" s="6" t="s">
        <v>124</v>
      </c>
      <c r="I328" s="6" t="s">
        <v>193</v>
      </c>
      <c r="J328" s="25">
        <v>1</v>
      </c>
      <c r="K328" s="21">
        <v>397.06</v>
      </c>
      <c r="L328" s="63">
        <v>0</v>
      </c>
      <c r="M328" s="21">
        <v>172.87</v>
      </c>
      <c r="N328" s="6" t="s">
        <v>94</v>
      </c>
      <c r="O328" s="60">
        <f>Vendas2025[[#This Row],[Quantidade]]*Vendas2025[[#This Row],[Preço_Unitário_R$]]</f>
        <v>397.06</v>
      </c>
      <c r="P328" s="60">
        <f>Vendas2025[[#This Row],[Receita_Bruta_R$]]*Vendas2025[[#This Row],[Desconto_pct]]</f>
        <v>0</v>
      </c>
      <c r="Q328" s="60">
        <f t="shared" si="25"/>
        <v>397.06</v>
      </c>
      <c r="R328" s="60">
        <f t="shared" si="26"/>
        <v>172.87</v>
      </c>
      <c r="S328" s="60">
        <f t="shared" si="27"/>
        <v>224.19</v>
      </c>
      <c r="T328" s="65">
        <f t="shared" si="28"/>
        <v>0.56462499370372232</v>
      </c>
    </row>
    <row r="329" spans="1:20">
      <c r="A329" s="41">
        <f t="shared" si="29"/>
        <v>5</v>
      </c>
      <c r="B329" s="6" t="s">
        <v>470</v>
      </c>
      <c r="C329" s="20">
        <v>45796</v>
      </c>
      <c r="D329" s="6" t="s">
        <v>102</v>
      </c>
      <c r="E329" s="6" t="s">
        <v>103</v>
      </c>
      <c r="F329" s="6" t="s">
        <v>104</v>
      </c>
      <c r="G329" s="6" t="s">
        <v>140</v>
      </c>
      <c r="H329" s="6" t="s">
        <v>106</v>
      </c>
      <c r="I329" s="6" t="s">
        <v>116</v>
      </c>
      <c r="J329" s="25">
        <v>1</v>
      </c>
      <c r="K329" s="21">
        <v>420.47</v>
      </c>
      <c r="L329" s="63">
        <v>0.1</v>
      </c>
      <c r="M329" s="21">
        <v>238.84</v>
      </c>
      <c r="N329" s="6" t="s">
        <v>94</v>
      </c>
      <c r="O329" s="60">
        <f>Vendas2025[[#This Row],[Quantidade]]*Vendas2025[[#This Row],[Preço_Unitário_R$]]</f>
        <v>420.47</v>
      </c>
      <c r="P329" s="60">
        <f>Vendas2025[[#This Row],[Receita_Bruta_R$]]*Vendas2025[[#This Row],[Desconto_pct]]</f>
        <v>42.047000000000004</v>
      </c>
      <c r="Q329" s="60">
        <f t="shared" si="25"/>
        <v>378.423</v>
      </c>
      <c r="R329" s="60">
        <f t="shared" si="26"/>
        <v>238.84</v>
      </c>
      <c r="S329" s="60">
        <f t="shared" si="27"/>
        <v>139.583</v>
      </c>
      <c r="T329" s="65">
        <f t="shared" si="28"/>
        <v>0.36885443009542229</v>
      </c>
    </row>
    <row r="330" spans="1:20">
      <c r="A330" s="41">
        <f t="shared" si="29"/>
        <v>5</v>
      </c>
      <c r="B330" s="6" t="s">
        <v>471</v>
      </c>
      <c r="C330" s="20">
        <v>45796</v>
      </c>
      <c r="D330" s="6" t="s">
        <v>88</v>
      </c>
      <c r="E330" s="6" t="s">
        <v>89</v>
      </c>
      <c r="F330" s="6" t="s">
        <v>122</v>
      </c>
      <c r="G330" s="6" t="s">
        <v>115</v>
      </c>
      <c r="H330" s="6" t="s">
        <v>106</v>
      </c>
      <c r="I330" s="6" t="s">
        <v>107</v>
      </c>
      <c r="J330" s="25">
        <v>2</v>
      </c>
      <c r="K330" s="21">
        <v>726.94</v>
      </c>
      <c r="L330" s="63">
        <v>0.1</v>
      </c>
      <c r="M330" s="21">
        <v>401.81</v>
      </c>
      <c r="N330" s="6" t="s">
        <v>94</v>
      </c>
      <c r="O330" s="60">
        <f>Vendas2025[[#This Row],[Quantidade]]*Vendas2025[[#This Row],[Preço_Unitário_R$]]</f>
        <v>1453.88</v>
      </c>
      <c r="P330" s="60">
        <f>Vendas2025[[#This Row],[Receita_Bruta_R$]]*Vendas2025[[#This Row],[Desconto_pct]]</f>
        <v>145.38800000000001</v>
      </c>
      <c r="Q330" s="60">
        <f t="shared" si="25"/>
        <v>1308.4920000000002</v>
      </c>
      <c r="R330" s="60">
        <f t="shared" si="26"/>
        <v>803.62</v>
      </c>
      <c r="S330" s="60">
        <f t="shared" si="27"/>
        <v>504.87200000000018</v>
      </c>
      <c r="T330" s="65">
        <f t="shared" si="28"/>
        <v>0.38584263411621939</v>
      </c>
    </row>
    <row r="331" spans="1:20">
      <c r="A331" s="41">
        <f t="shared" si="29"/>
        <v>5</v>
      </c>
      <c r="B331" s="6" t="s">
        <v>472</v>
      </c>
      <c r="C331" s="20">
        <v>45797</v>
      </c>
      <c r="D331" s="6" t="s">
        <v>88</v>
      </c>
      <c r="E331" s="6" t="s">
        <v>89</v>
      </c>
      <c r="F331" s="6" t="s">
        <v>122</v>
      </c>
      <c r="G331" s="6" t="s">
        <v>140</v>
      </c>
      <c r="H331" s="6" t="s">
        <v>99</v>
      </c>
      <c r="I331" s="6" t="s">
        <v>163</v>
      </c>
      <c r="J331" s="25">
        <v>1</v>
      </c>
      <c r="K331" s="21">
        <v>1339.4</v>
      </c>
      <c r="L331" s="63">
        <v>0.15</v>
      </c>
      <c r="M331" s="21">
        <v>913.39</v>
      </c>
      <c r="N331" s="6" t="s">
        <v>94</v>
      </c>
      <c r="O331" s="60">
        <f>Vendas2025[[#This Row],[Quantidade]]*Vendas2025[[#This Row],[Preço_Unitário_R$]]</f>
        <v>1339.4</v>
      </c>
      <c r="P331" s="60">
        <f>Vendas2025[[#This Row],[Receita_Bruta_R$]]*Vendas2025[[#This Row],[Desconto_pct]]</f>
        <v>200.91</v>
      </c>
      <c r="Q331" s="60">
        <f t="shared" si="25"/>
        <v>1138.49</v>
      </c>
      <c r="R331" s="60">
        <f t="shared" si="26"/>
        <v>913.39</v>
      </c>
      <c r="S331" s="60">
        <f t="shared" si="27"/>
        <v>225.10000000000002</v>
      </c>
      <c r="T331" s="65">
        <f t="shared" si="28"/>
        <v>0.19771803002222244</v>
      </c>
    </row>
    <row r="332" spans="1:20">
      <c r="A332" s="41">
        <f t="shared" si="29"/>
        <v>5</v>
      </c>
      <c r="B332" s="6" t="s">
        <v>473</v>
      </c>
      <c r="C332" s="20">
        <v>45797</v>
      </c>
      <c r="D332" s="6" t="s">
        <v>136</v>
      </c>
      <c r="E332" s="6" t="s">
        <v>137</v>
      </c>
      <c r="F332" s="6" t="s">
        <v>97</v>
      </c>
      <c r="G332" s="6" t="s">
        <v>140</v>
      </c>
      <c r="H332" s="6" t="s">
        <v>106</v>
      </c>
      <c r="I332" s="6" t="s">
        <v>116</v>
      </c>
      <c r="J332" s="25">
        <v>1</v>
      </c>
      <c r="K332" s="21">
        <v>475.84</v>
      </c>
      <c r="L332" s="63">
        <v>0.15</v>
      </c>
      <c r="M332" s="21">
        <v>255.55</v>
      </c>
      <c r="N332" s="6" t="s">
        <v>94</v>
      </c>
      <c r="O332" s="60">
        <f>Vendas2025[[#This Row],[Quantidade]]*Vendas2025[[#This Row],[Preço_Unitário_R$]]</f>
        <v>475.84</v>
      </c>
      <c r="P332" s="60">
        <f>Vendas2025[[#This Row],[Receita_Bruta_R$]]*Vendas2025[[#This Row],[Desconto_pct]]</f>
        <v>71.375999999999991</v>
      </c>
      <c r="Q332" s="60">
        <f t="shared" si="25"/>
        <v>404.464</v>
      </c>
      <c r="R332" s="60">
        <f t="shared" si="26"/>
        <v>255.55</v>
      </c>
      <c r="S332" s="60">
        <f t="shared" si="27"/>
        <v>148.91399999999999</v>
      </c>
      <c r="T332" s="65">
        <f t="shared" si="28"/>
        <v>0.36817615412002053</v>
      </c>
    </row>
    <row r="333" spans="1:20">
      <c r="A333" s="41">
        <f t="shared" si="29"/>
        <v>5</v>
      </c>
      <c r="B333" s="6" t="s">
        <v>474</v>
      </c>
      <c r="C333" s="20">
        <v>45798</v>
      </c>
      <c r="D333" s="6" t="s">
        <v>102</v>
      </c>
      <c r="E333" s="6" t="s">
        <v>103</v>
      </c>
      <c r="F333" s="6" t="s">
        <v>97</v>
      </c>
      <c r="G333" s="6" t="s">
        <v>91</v>
      </c>
      <c r="H333" s="6" t="s">
        <v>99</v>
      </c>
      <c r="I333" s="6" t="s">
        <v>130</v>
      </c>
      <c r="J333" s="25">
        <v>1</v>
      </c>
      <c r="K333" s="21">
        <v>232.71</v>
      </c>
      <c r="L333" s="63">
        <v>0.08</v>
      </c>
      <c r="M333" s="21">
        <v>109.56</v>
      </c>
      <c r="N333" s="6" t="s">
        <v>94</v>
      </c>
      <c r="O333" s="60">
        <f>Vendas2025[[#This Row],[Quantidade]]*Vendas2025[[#This Row],[Preço_Unitário_R$]]</f>
        <v>232.71</v>
      </c>
      <c r="P333" s="60">
        <f>Vendas2025[[#This Row],[Receita_Bruta_R$]]*Vendas2025[[#This Row],[Desconto_pct]]</f>
        <v>18.616800000000001</v>
      </c>
      <c r="Q333" s="60">
        <f t="shared" si="25"/>
        <v>214.0932</v>
      </c>
      <c r="R333" s="60">
        <f t="shared" si="26"/>
        <v>109.56</v>
      </c>
      <c r="S333" s="60">
        <f t="shared" si="27"/>
        <v>104.53319999999999</v>
      </c>
      <c r="T333" s="65">
        <f t="shared" si="28"/>
        <v>0.48826025301130532</v>
      </c>
    </row>
    <row r="334" spans="1:20">
      <c r="A334" s="41">
        <f t="shared" si="29"/>
        <v>5</v>
      </c>
      <c r="B334" s="6" t="s">
        <v>475</v>
      </c>
      <c r="C334" s="20">
        <v>45798</v>
      </c>
      <c r="D334" s="6" t="s">
        <v>118</v>
      </c>
      <c r="E334" s="6" t="s">
        <v>114</v>
      </c>
      <c r="F334" s="6" t="s">
        <v>122</v>
      </c>
      <c r="G334" s="6" t="s">
        <v>177</v>
      </c>
      <c r="H334" s="6" t="s">
        <v>92</v>
      </c>
      <c r="I334" s="6" t="s">
        <v>144</v>
      </c>
      <c r="J334" s="25">
        <v>1</v>
      </c>
      <c r="K334" s="21">
        <v>159.63999999999999</v>
      </c>
      <c r="L334" s="63">
        <v>0.15</v>
      </c>
      <c r="M334" s="21">
        <v>54.21</v>
      </c>
      <c r="N334" s="6" t="s">
        <v>94</v>
      </c>
      <c r="O334" s="60">
        <f>Vendas2025[[#This Row],[Quantidade]]*Vendas2025[[#This Row],[Preço_Unitário_R$]]</f>
        <v>159.63999999999999</v>
      </c>
      <c r="P334" s="60">
        <f>Vendas2025[[#This Row],[Receita_Bruta_R$]]*Vendas2025[[#This Row],[Desconto_pct]]</f>
        <v>23.945999999999998</v>
      </c>
      <c r="Q334" s="60">
        <f t="shared" si="25"/>
        <v>135.69399999999999</v>
      </c>
      <c r="R334" s="60">
        <f t="shared" si="26"/>
        <v>54.21</v>
      </c>
      <c r="S334" s="60">
        <f t="shared" si="27"/>
        <v>81.48399999999998</v>
      </c>
      <c r="T334" s="65">
        <f t="shared" si="28"/>
        <v>0.60049817972791708</v>
      </c>
    </row>
    <row r="335" spans="1:20">
      <c r="A335" s="41">
        <f t="shared" si="29"/>
        <v>5</v>
      </c>
      <c r="B335" s="6" t="s">
        <v>476</v>
      </c>
      <c r="C335" s="20">
        <v>45798</v>
      </c>
      <c r="D335" s="6" t="s">
        <v>96</v>
      </c>
      <c r="E335" s="6" t="s">
        <v>89</v>
      </c>
      <c r="F335" s="6" t="s">
        <v>104</v>
      </c>
      <c r="G335" s="6" t="s">
        <v>91</v>
      </c>
      <c r="H335" s="6" t="s">
        <v>99</v>
      </c>
      <c r="I335" s="6" t="s">
        <v>130</v>
      </c>
      <c r="J335" s="25">
        <v>1</v>
      </c>
      <c r="K335" s="21">
        <v>229.59</v>
      </c>
      <c r="L335" s="63">
        <v>0.1</v>
      </c>
      <c r="M335" s="21">
        <v>109.54</v>
      </c>
      <c r="N335" s="6" t="s">
        <v>94</v>
      </c>
      <c r="O335" s="60">
        <f>Vendas2025[[#This Row],[Quantidade]]*Vendas2025[[#This Row],[Preço_Unitário_R$]]</f>
        <v>229.59</v>
      </c>
      <c r="P335" s="60">
        <f>Vendas2025[[#This Row],[Receita_Bruta_R$]]*Vendas2025[[#This Row],[Desconto_pct]]</f>
        <v>22.959000000000003</v>
      </c>
      <c r="Q335" s="60">
        <f t="shared" si="25"/>
        <v>206.631</v>
      </c>
      <c r="R335" s="60">
        <f t="shared" si="26"/>
        <v>109.54</v>
      </c>
      <c r="S335" s="60">
        <f t="shared" si="27"/>
        <v>97.090999999999994</v>
      </c>
      <c r="T335" s="65">
        <f t="shared" si="28"/>
        <v>0.46987625283718315</v>
      </c>
    </row>
    <row r="336" spans="1:20">
      <c r="A336" s="41">
        <f t="shared" si="29"/>
        <v>5</v>
      </c>
      <c r="B336" s="6" t="s">
        <v>477</v>
      </c>
      <c r="C336" s="20">
        <v>45798</v>
      </c>
      <c r="D336" s="6" t="s">
        <v>96</v>
      </c>
      <c r="E336" s="6" t="s">
        <v>89</v>
      </c>
      <c r="F336" s="6" t="s">
        <v>97</v>
      </c>
      <c r="G336" s="6" t="s">
        <v>123</v>
      </c>
      <c r="H336" s="6" t="s">
        <v>124</v>
      </c>
      <c r="I336" s="6" t="s">
        <v>125</v>
      </c>
      <c r="J336" s="25">
        <v>1</v>
      </c>
      <c r="K336" s="21">
        <v>688.99</v>
      </c>
      <c r="L336" s="63">
        <v>0.1</v>
      </c>
      <c r="M336" s="21">
        <v>322.93</v>
      </c>
      <c r="N336" s="6" t="s">
        <v>94</v>
      </c>
      <c r="O336" s="60">
        <f>Vendas2025[[#This Row],[Quantidade]]*Vendas2025[[#This Row],[Preço_Unitário_R$]]</f>
        <v>688.99</v>
      </c>
      <c r="P336" s="60">
        <f>Vendas2025[[#This Row],[Receita_Bruta_R$]]*Vendas2025[[#This Row],[Desconto_pct]]</f>
        <v>68.899000000000001</v>
      </c>
      <c r="Q336" s="60">
        <f t="shared" si="25"/>
        <v>620.09100000000001</v>
      </c>
      <c r="R336" s="60">
        <f t="shared" si="26"/>
        <v>322.93</v>
      </c>
      <c r="S336" s="60">
        <f t="shared" si="27"/>
        <v>297.161</v>
      </c>
      <c r="T336" s="65">
        <f t="shared" si="28"/>
        <v>0.47922159812027587</v>
      </c>
    </row>
    <row r="337" spans="1:20">
      <c r="A337" s="41">
        <f t="shared" si="29"/>
        <v>5</v>
      </c>
      <c r="B337" s="6" t="s">
        <v>478</v>
      </c>
      <c r="C337" s="20">
        <v>45798</v>
      </c>
      <c r="D337" s="6" t="s">
        <v>132</v>
      </c>
      <c r="E337" s="6" t="s">
        <v>89</v>
      </c>
      <c r="F337" s="6" t="s">
        <v>90</v>
      </c>
      <c r="G337" s="6" t="s">
        <v>105</v>
      </c>
      <c r="H337" s="6" t="s">
        <v>106</v>
      </c>
      <c r="I337" s="6" t="s">
        <v>111</v>
      </c>
      <c r="J337" s="25">
        <v>1</v>
      </c>
      <c r="K337" s="21">
        <v>302.49</v>
      </c>
      <c r="L337" s="63">
        <v>0.15</v>
      </c>
      <c r="M337" s="21">
        <v>128.99</v>
      </c>
      <c r="N337" s="6" t="s">
        <v>94</v>
      </c>
      <c r="O337" s="60">
        <f>Vendas2025[[#This Row],[Quantidade]]*Vendas2025[[#This Row],[Preço_Unitário_R$]]</f>
        <v>302.49</v>
      </c>
      <c r="P337" s="60">
        <f>Vendas2025[[#This Row],[Receita_Bruta_R$]]*Vendas2025[[#This Row],[Desconto_pct]]</f>
        <v>45.3735</v>
      </c>
      <c r="Q337" s="60">
        <f t="shared" si="25"/>
        <v>257.11650000000003</v>
      </c>
      <c r="R337" s="60">
        <f t="shared" si="26"/>
        <v>128.99</v>
      </c>
      <c r="S337" s="60">
        <f t="shared" si="27"/>
        <v>128.12650000000002</v>
      </c>
      <c r="T337" s="65">
        <f t="shared" si="28"/>
        <v>0.49832080010423291</v>
      </c>
    </row>
    <row r="338" spans="1:20">
      <c r="A338" s="41">
        <f t="shared" si="29"/>
        <v>5</v>
      </c>
      <c r="B338" s="6" t="s">
        <v>479</v>
      </c>
      <c r="C338" s="20">
        <v>45800</v>
      </c>
      <c r="D338" s="6" t="s">
        <v>118</v>
      </c>
      <c r="E338" s="6" t="s">
        <v>114</v>
      </c>
      <c r="F338" s="6" t="s">
        <v>97</v>
      </c>
      <c r="G338" s="6" t="s">
        <v>140</v>
      </c>
      <c r="H338" s="6" t="s">
        <v>106</v>
      </c>
      <c r="I338" s="6" t="s">
        <v>107</v>
      </c>
      <c r="J338" s="25">
        <v>1</v>
      </c>
      <c r="K338" s="21">
        <v>689.05</v>
      </c>
      <c r="L338" s="63">
        <v>0.1</v>
      </c>
      <c r="M338" s="21">
        <v>394.69</v>
      </c>
      <c r="N338" s="6" t="s">
        <v>94</v>
      </c>
      <c r="O338" s="60">
        <f>Vendas2025[[#This Row],[Quantidade]]*Vendas2025[[#This Row],[Preço_Unitário_R$]]</f>
        <v>689.05</v>
      </c>
      <c r="P338" s="60">
        <f>Vendas2025[[#This Row],[Receita_Bruta_R$]]*Vendas2025[[#This Row],[Desconto_pct]]</f>
        <v>68.905000000000001</v>
      </c>
      <c r="Q338" s="60">
        <f t="shared" si="25"/>
        <v>620.14499999999998</v>
      </c>
      <c r="R338" s="60">
        <f t="shared" si="26"/>
        <v>394.69</v>
      </c>
      <c r="S338" s="60">
        <f t="shared" si="27"/>
        <v>225.45499999999998</v>
      </c>
      <c r="T338" s="65">
        <f t="shared" si="28"/>
        <v>0.36355207249917354</v>
      </c>
    </row>
    <row r="339" spans="1:20">
      <c r="A339" s="41">
        <f t="shared" si="29"/>
        <v>5</v>
      </c>
      <c r="B339" s="6" t="s">
        <v>480</v>
      </c>
      <c r="C339" s="20">
        <v>45800</v>
      </c>
      <c r="D339" s="6" t="s">
        <v>129</v>
      </c>
      <c r="E339" s="6" t="s">
        <v>103</v>
      </c>
      <c r="F339" s="6" t="s">
        <v>90</v>
      </c>
      <c r="G339" s="6" t="s">
        <v>105</v>
      </c>
      <c r="H339" s="6" t="s">
        <v>124</v>
      </c>
      <c r="I339" s="6" t="s">
        <v>193</v>
      </c>
      <c r="J339" s="25">
        <v>1</v>
      </c>
      <c r="K339" s="21">
        <v>403.5</v>
      </c>
      <c r="L339" s="63">
        <v>0.25</v>
      </c>
      <c r="M339" s="21">
        <v>180.4</v>
      </c>
      <c r="N339" s="6" t="s">
        <v>94</v>
      </c>
      <c r="O339" s="60">
        <f>Vendas2025[[#This Row],[Quantidade]]*Vendas2025[[#This Row],[Preço_Unitário_R$]]</f>
        <v>403.5</v>
      </c>
      <c r="P339" s="60">
        <f>Vendas2025[[#This Row],[Receita_Bruta_R$]]*Vendas2025[[#This Row],[Desconto_pct]]</f>
        <v>100.875</v>
      </c>
      <c r="Q339" s="60">
        <f t="shared" si="25"/>
        <v>302.625</v>
      </c>
      <c r="R339" s="60">
        <f t="shared" si="26"/>
        <v>180.4</v>
      </c>
      <c r="S339" s="60">
        <f t="shared" si="27"/>
        <v>122.22499999999999</v>
      </c>
      <c r="T339" s="65">
        <f t="shared" si="28"/>
        <v>0.40388269310202396</v>
      </c>
    </row>
    <row r="340" spans="1:20">
      <c r="A340" s="41">
        <f t="shared" si="29"/>
        <v>5</v>
      </c>
      <c r="B340" s="6" t="s">
        <v>481</v>
      </c>
      <c r="C340" s="20">
        <v>45801</v>
      </c>
      <c r="D340" s="6" t="s">
        <v>113</v>
      </c>
      <c r="E340" s="6" t="s">
        <v>114</v>
      </c>
      <c r="F340" s="6" t="s">
        <v>97</v>
      </c>
      <c r="G340" s="6" t="s">
        <v>98</v>
      </c>
      <c r="H340" s="6" t="s">
        <v>99</v>
      </c>
      <c r="I340" s="6" t="s">
        <v>130</v>
      </c>
      <c r="J340" s="25">
        <v>1</v>
      </c>
      <c r="K340" s="21">
        <v>255.49</v>
      </c>
      <c r="L340" s="63">
        <v>0.08</v>
      </c>
      <c r="M340" s="21">
        <v>122.35</v>
      </c>
      <c r="N340" s="6" t="s">
        <v>94</v>
      </c>
      <c r="O340" s="60">
        <f>Vendas2025[[#This Row],[Quantidade]]*Vendas2025[[#This Row],[Preço_Unitário_R$]]</f>
        <v>255.49</v>
      </c>
      <c r="P340" s="60">
        <f>Vendas2025[[#This Row],[Receita_Bruta_R$]]*Vendas2025[[#This Row],[Desconto_pct]]</f>
        <v>20.4392</v>
      </c>
      <c r="Q340" s="60">
        <f t="shared" si="25"/>
        <v>235.05080000000001</v>
      </c>
      <c r="R340" s="60">
        <f t="shared" si="26"/>
        <v>122.35</v>
      </c>
      <c r="S340" s="60">
        <f t="shared" si="27"/>
        <v>112.70080000000002</v>
      </c>
      <c r="T340" s="65">
        <f t="shared" si="28"/>
        <v>0.47947422429534386</v>
      </c>
    </row>
    <row r="341" spans="1:20">
      <c r="A341" s="41">
        <f t="shared" si="29"/>
        <v>5</v>
      </c>
      <c r="B341" s="6" t="s">
        <v>482</v>
      </c>
      <c r="C341" s="20">
        <v>45802</v>
      </c>
      <c r="D341" s="6" t="s">
        <v>132</v>
      </c>
      <c r="E341" s="6" t="s">
        <v>89</v>
      </c>
      <c r="F341" s="6" t="s">
        <v>122</v>
      </c>
      <c r="G341" s="6" t="s">
        <v>98</v>
      </c>
      <c r="H341" s="6" t="s">
        <v>106</v>
      </c>
      <c r="I341" s="6" t="s">
        <v>111</v>
      </c>
      <c r="J341" s="25">
        <v>1</v>
      </c>
      <c r="K341" s="21">
        <v>292.43</v>
      </c>
      <c r="L341" s="63">
        <v>0.1</v>
      </c>
      <c r="M341" s="21">
        <v>127</v>
      </c>
      <c r="N341" s="6" t="s">
        <v>94</v>
      </c>
      <c r="O341" s="60">
        <f>Vendas2025[[#This Row],[Quantidade]]*Vendas2025[[#This Row],[Preço_Unitário_R$]]</f>
        <v>292.43</v>
      </c>
      <c r="P341" s="60">
        <f>Vendas2025[[#This Row],[Receita_Bruta_R$]]*Vendas2025[[#This Row],[Desconto_pct]]</f>
        <v>29.243000000000002</v>
      </c>
      <c r="Q341" s="60">
        <f t="shared" si="25"/>
        <v>263.18700000000001</v>
      </c>
      <c r="R341" s="60">
        <f t="shared" si="26"/>
        <v>127</v>
      </c>
      <c r="S341" s="60">
        <f t="shared" si="27"/>
        <v>136.18700000000001</v>
      </c>
      <c r="T341" s="65">
        <f t="shared" si="28"/>
        <v>0.51745336965731592</v>
      </c>
    </row>
    <row r="342" spans="1:20">
      <c r="A342" s="41">
        <f t="shared" si="29"/>
        <v>5</v>
      </c>
      <c r="B342" s="6" t="s">
        <v>483</v>
      </c>
      <c r="C342" s="20">
        <v>45802</v>
      </c>
      <c r="D342" s="6" t="s">
        <v>88</v>
      </c>
      <c r="E342" s="6" t="s">
        <v>89</v>
      </c>
      <c r="F342" s="6" t="s">
        <v>104</v>
      </c>
      <c r="G342" s="6" t="s">
        <v>127</v>
      </c>
      <c r="H342" s="6" t="s">
        <v>99</v>
      </c>
      <c r="I342" s="6" t="s">
        <v>163</v>
      </c>
      <c r="J342" s="25">
        <v>2</v>
      </c>
      <c r="K342" s="21">
        <v>1300.18</v>
      </c>
      <c r="L342" s="63">
        <v>0.05</v>
      </c>
      <c r="M342" s="21">
        <v>894.55</v>
      </c>
      <c r="N342" s="6" t="s">
        <v>94</v>
      </c>
      <c r="O342" s="60">
        <f>Vendas2025[[#This Row],[Quantidade]]*Vendas2025[[#This Row],[Preço_Unitário_R$]]</f>
        <v>2600.36</v>
      </c>
      <c r="P342" s="60">
        <f>Vendas2025[[#This Row],[Receita_Bruta_R$]]*Vendas2025[[#This Row],[Desconto_pct]]</f>
        <v>130.018</v>
      </c>
      <c r="Q342" s="60">
        <f t="shared" si="25"/>
        <v>2470.3420000000001</v>
      </c>
      <c r="R342" s="60">
        <f t="shared" si="26"/>
        <v>1789.1</v>
      </c>
      <c r="S342" s="60">
        <f t="shared" si="27"/>
        <v>681.24200000000019</v>
      </c>
      <c r="T342" s="65">
        <f t="shared" si="28"/>
        <v>0.27576829443048784</v>
      </c>
    </row>
    <row r="343" spans="1:20">
      <c r="A343" s="41">
        <f t="shared" si="29"/>
        <v>5</v>
      </c>
      <c r="B343" s="6" t="s">
        <v>484</v>
      </c>
      <c r="C343" s="20">
        <v>45802</v>
      </c>
      <c r="D343" s="6" t="s">
        <v>96</v>
      </c>
      <c r="E343" s="6" t="s">
        <v>89</v>
      </c>
      <c r="F343" s="6" t="s">
        <v>122</v>
      </c>
      <c r="G343" s="6" t="s">
        <v>123</v>
      </c>
      <c r="H343" s="6" t="s">
        <v>124</v>
      </c>
      <c r="I343" s="6" t="s">
        <v>193</v>
      </c>
      <c r="J343" s="25">
        <v>1</v>
      </c>
      <c r="K343" s="21">
        <v>376.54</v>
      </c>
      <c r="L343" s="63">
        <v>0.2</v>
      </c>
      <c r="M343" s="21">
        <v>164.76</v>
      </c>
      <c r="N343" s="6" t="s">
        <v>94</v>
      </c>
      <c r="O343" s="60">
        <f>Vendas2025[[#This Row],[Quantidade]]*Vendas2025[[#This Row],[Preço_Unitário_R$]]</f>
        <v>376.54</v>
      </c>
      <c r="P343" s="60">
        <f>Vendas2025[[#This Row],[Receita_Bruta_R$]]*Vendas2025[[#This Row],[Desconto_pct]]</f>
        <v>75.308000000000007</v>
      </c>
      <c r="Q343" s="60">
        <f t="shared" si="25"/>
        <v>301.23200000000003</v>
      </c>
      <c r="R343" s="60">
        <f t="shared" si="26"/>
        <v>164.76</v>
      </c>
      <c r="S343" s="60">
        <f t="shared" si="27"/>
        <v>136.47200000000004</v>
      </c>
      <c r="T343" s="65">
        <f t="shared" si="28"/>
        <v>0.45304615711478202</v>
      </c>
    </row>
    <row r="344" spans="1:20">
      <c r="A344" s="41">
        <f t="shared" si="29"/>
        <v>5</v>
      </c>
      <c r="B344" s="6" t="s">
        <v>485</v>
      </c>
      <c r="C344" s="20">
        <v>45803</v>
      </c>
      <c r="D344" s="6" t="s">
        <v>102</v>
      </c>
      <c r="E344" s="6" t="s">
        <v>103</v>
      </c>
      <c r="F344" s="6" t="s">
        <v>122</v>
      </c>
      <c r="G344" s="6" t="s">
        <v>105</v>
      </c>
      <c r="H344" s="6" t="s">
        <v>124</v>
      </c>
      <c r="I344" s="6" t="s">
        <v>125</v>
      </c>
      <c r="J344" s="25">
        <v>1</v>
      </c>
      <c r="K344" s="21">
        <v>739.38</v>
      </c>
      <c r="L344" s="63">
        <v>0.15</v>
      </c>
      <c r="M344" s="21">
        <v>351.38</v>
      </c>
      <c r="N344" s="6" t="s">
        <v>94</v>
      </c>
      <c r="O344" s="60">
        <f>Vendas2025[[#This Row],[Quantidade]]*Vendas2025[[#This Row],[Preço_Unitário_R$]]</f>
        <v>739.38</v>
      </c>
      <c r="P344" s="60">
        <f>Vendas2025[[#This Row],[Receita_Bruta_R$]]*Vendas2025[[#This Row],[Desconto_pct]]</f>
        <v>110.907</v>
      </c>
      <c r="Q344" s="60">
        <f t="shared" si="25"/>
        <v>628.47299999999996</v>
      </c>
      <c r="R344" s="60">
        <f t="shared" si="26"/>
        <v>351.38</v>
      </c>
      <c r="S344" s="60">
        <f t="shared" si="27"/>
        <v>277.09299999999996</v>
      </c>
      <c r="T344" s="65">
        <f t="shared" si="28"/>
        <v>0.44089881347329157</v>
      </c>
    </row>
    <row r="345" spans="1:20">
      <c r="A345" s="41">
        <f t="shared" si="29"/>
        <v>5</v>
      </c>
      <c r="B345" s="6" t="s">
        <v>486</v>
      </c>
      <c r="C345" s="20">
        <v>45803</v>
      </c>
      <c r="D345" s="6" t="s">
        <v>129</v>
      </c>
      <c r="E345" s="6" t="s">
        <v>103</v>
      </c>
      <c r="F345" s="6" t="s">
        <v>122</v>
      </c>
      <c r="G345" s="6" t="s">
        <v>140</v>
      </c>
      <c r="H345" s="6" t="s">
        <v>124</v>
      </c>
      <c r="I345" s="6" t="s">
        <v>125</v>
      </c>
      <c r="J345" s="25">
        <v>2</v>
      </c>
      <c r="K345" s="21">
        <v>708.07</v>
      </c>
      <c r="L345" s="63">
        <v>0.05</v>
      </c>
      <c r="M345" s="21">
        <v>344.34</v>
      </c>
      <c r="N345" s="6" t="s">
        <v>94</v>
      </c>
      <c r="O345" s="60">
        <f>Vendas2025[[#This Row],[Quantidade]]*Vendas2025[[#This Row],[Preço_Unitário_R$]]</f>
        <v>1416.14</v>
      </c>
      <c r="P345" s="60">
        <f>Vendas2025[[#This Row],[Receita_Bruta_R$]]*Vendas2025[[#This Row],[Desconto_pct]]</f>
        <v>70.807000000000002</v>
      </c>
      <c r="Q345" s="60">
        <f t="shared" si="25"/>
        <v>1345.3330000000001</v>
      </c>
      <c r="R345" s="60">
        <f t="shared" si="26"/>
        <v>688.68</v>
      </c>
      <c r="S345" s="60">
        <f t="shared" si="27"/>
        <v>656.65300000000013</v>
      </c>
      <c r="T345" s="65">
        <f t="shared" si="28"/>
        <v>0.48809699903295323</v>
      </c>
    </row>
    <row r="346" spans="1:20">
      <c r="A346" s="41">
        <f t="shared" si="29"/>
        <v>5</v>
      </c>
      <c r="B346" s="6" t="s">
        <v>487</v>
      </c>
      <c r="C346" s="20">
        <v>45804</v>
      </c>
      <c r="D346" s="6" t="s">
        <v>96</v>
      </c>
      <c r="E346" s="6" t="s">
        <v>89</v>
      </c>
      <c r="F346" s="6" t="s">
        <v>122</v>
      </c>
      <c r="G346" s="6" t="s">
        <v>127</v>
      </c>
      <c r="H346" s="6" t="s">
        <v>92</v>
      </c>
      <c r="I346" s="6" t="s">
        <v>144</v>
      </c>
      <c r="J346" s="25">
        <v>1</v>
      </c>
      <c r="K346" s="21">
        <v>139.11000000000001</v>
      </c>
      <c r="L346" s="63">
        <v>0.05</v>
      </c>
      <c r="M346" s="21">
        <v>48.68</v>
      </c>
      <c r="N346" s="6" t="s">
        <v>94</v>
      </c>
      <c r="O346" s="60">
        <f>Vendas2025[[#This Row],[Quantidade]]*Vendas2025[[#This Row],[Preço_Unitário_R$]]</f>
        <v>139.11000000000001</v>
      </c>
      <c r="P346" s="60">
        <f>Vendas2025[[#This Row],[Receita_Bruta_R$]]*Vendas2025[[#This Row],[Desconto_pct]]</f>
        <v>6.9555000000000007</v>
      </c>
      <c r="Q346" s="60">
        <f t="shared" si="25"/>
        <v>132.15450000000001</v>
      </c>
      <c r="R346" s="60">
        <f t="shared" si="26"/>
        <v>48.68</v>
      </c>
      <c r="S346" s="60">
        <f t="shared" si="27"/>
        <v>83.474500000000006</v>
      </c>
      <c r="T346" s="65">
        <f t="shared" si="28"/>
        <v>0.63164326602575016</v>
      </c>
    </row>
    <row r="347" spans="1:20">
      <c r="A347" s="41">
        <f t="shared" si="29"/>
        <v>5</v>
      </c>
      <c r="B347" s="6" t="s">
        <v>488</v>
      </c>
      <c r="C347" s="20">
        <v>45805</v>
      </c>
      <c r="D347" s="6" t="s">
        <v>136</v>
      </c>
      <c r="E347" s="6" t="s">
        <v>137</v>
      </c>
      <c r="F347" s="6" t="s">
        <v>104</v>
      </c>
      <c r="G347" s="6" t="s">
        <v>110</v>
      </c>
      <c r="H347" s="6" t="s">
        <v>106</v>
      </c>
      <c r="I347" s="6" t="s">
        <v>116</v>
      </c>
      <c r="J347" s="25">
        <v>1</v>
      </c>
      <c r="K347" s="21">
        <v>459.77</v>
      </c>
      <c r="L347" s="63">
        <v>0.1</v>
      </c>
      <c r="M347" s="21">
        <v>262.02</v>
      </c>
      <c r="N347" s="6" t="s">
        <v>108</v>
      </c>
      <c r="O347" s="60">
        <f>Vendas2025[[#This Row],[Quantidade]]*Vendas2025[[#This Row],[Preço_Unitário_R$]]</f>
        <v>459.77</v>
      </c>
      <c r="P347" s="60">
        <f>Vendas2025[[#This Row],[Receita_Bruta_R$]]*Vendas2025[[#This Row],[Desconto_pct]]</f>
        <v>45.977000000000004</v>
      </c>
      <c r="Q347" s="60">
        <f t="shared" si="25"/>
        <v>0</v>
      </c>
      <c r="R347" s="60">
        <f t="shared" si="26"/>
        <v>0</v>
      </c>
      <c r="S347" s="60">
        <f t="shared" si="27"/>
        <v>0</v>
      </c>
      <c r="T347" s="65" t="str">
        <f t="shared" si="28"/>
        <v/>
      </c>
    </row>
    <row r="348" spans="1:20">
      <c r="A348" s="41">
        <f t="shared" si="29"/>
        <v>5</v>
      </c>
      <c r="B348" s="6" t="s">
        <v>489</v>
      </c>
      <c r="C348" s="20">
        <v>45805</v>
      </c>
      <c r="D348" s="6" t="s">
        <v>136</v>
      </c>
      <c r="E348" s="6" t="s">
        <v>137</v>
      </c>
      <c r="F348" s="6" t="s">
        <v>104</v>
      </c>
      <c r="G348" s="6" t="s">
        <v>140</v>
      </c>
      <c r="H348" s="6" t="s">
        <v>106</v>
      </c>
      <c r="I348" s="6" t="s">
        <v>170</v>
      </c>
      <c r="J348" s="25">
        <v>1</v>
      </c>
      <c r="K348" s="21">
        <v>542.41999999999996</v>
      </c>
      <c r="L348" s="63">
        <v>0.03</v>
      </c>
      <c r="M348" s="21">
        <v>277.60000000000002</v>
      </c>
      <c r="N348" s="6" t="s">
        <v>94</v>
      </c>
      <c r="O348" s="60">
        <f>Vendas2025[[#This Row],[Quantidade]]*Vendas2025[[#This Row],[Preço_Unitário_R$]]</f>
        <v>542.41999999999996</v>
      </c>
      <c r="P348" s="60">
        <f>Vendas2025[[#This Row],[Receita_Bruta_R$]]*Vendas2025[[#This Row],[Desconto_pct]]</f>
        <v>16.272599999999997</v>
      </c>
      <c r="Q348" s="60">
        <f t="shared" si="25"/>
        <v>526.14739999999995</v>
      </c>
      <c r="R348" s="60">
        <f t="shared" si="26"/>
        <v>277.60000000000002</v>
      </c>
      <c r="S348" s="60">
        <f t="shared" si="27"/>
        <v>248.54739999999993</v>
      </c>
      <c r="T348" s="65">
        <f t="shared" si="28"/>
        <v>0.47239119683951675</v>
      </c>
    </row>
    <row r="349" spans="1:20">
      <c r="A349" s="41">
        <f t="shared" si="29"/>
        <v>6</v>
      </c>
      <c r="B349" s="6" t="s">
        <v>490</v>
      </c>
      <c r="C349" s="20">
        <v>45809</v>
      </c>
      <c r="D349" s="6" t="s">
        <v>96</v>
      </c>
      <c r="E349" s="6" t="s">
        <v>89</v>
      </c>
      <c r="F349" s="6" t="s">
        <v>90</v>
      </c>
      <c r="G349" s="6" t="s">
        <v>160</v>
      </c>
      <c r="H349" s="6" t="s">
        <v>106</v>
      </c>
      <c r="I349" s="6" t="s">
        <v>116</v>
      </c>
      <c r="J349" s="25">
        <v>1</v>
      </c>
      <c r="K349" s="21">
        <v>417.98</v>
      </c>
      <c r="L349" s="63">
        <v>0.2</v>
      </c>
      <c r="M349" s="21">
        <v>230.18</v>
      </c>
      <c r="N349" s="6" t="s">
        <v>94</v>
      </c>
      <c r="O349" s="60">
        <f>Vendas2025[[#This Row],[Quantidade]]*Vendas2025[[#This Row],[Preço_Unitário_R$]]</f>
        <v>417.98</v>
      </c>
      <c r="P349" s="60">
        <f>Vendas2025[[#This Row],[Receita_Bruta_R$]]*Vendas2025[[#This Row],[Desconto_pct]]</f>
        <v>83.596000000000004</v>
      </c>
      <c r="Q349" s="60">
        <f t="shared" si="25"/>
        <v>334.38400000000001</v>
      </c>
      <c r="R349" s="60">
        <f t="shared" si="26"/>
        <v>230.18</v>
      </c>
      <c r="S349" s="60">
        <f t="shared" si="27"/>
        <v>104.20400000000001</v>
      </c>
      <c r="T349" s="65">
        <f t="shared" si="28"/>
        <v>0.3116297430499067</v>
      </c>
    </row>
    <row r="350" spans="1:20">
      <c r="A350" s="41">
        <f t="shared" si="29"/>
        <v>6</v>
      </c>
      <c r="B350" s="6" t="s">
        <v>491</v>
      </c>
      <c r="C350" s="20">
        <v>45809</v>
      </c>
      <c r="D350" s="6" t="s">
        <v>136</v>
      </c>
      <c r="E350" s="6" t="s">
        <v>137</v>
      </c>
      <c r="F350" s="6" t="s">
        <v>122</v>
      </c>
      <c r="G350" s="6" t="s">
        <v>105</v>
      </c>
      <c r="H350" s="6" t="s">
        <v>92</v>
      </c>
      <c r="I350" s="6" t="s">
        <v>144</v>
      </c>
      <c r="J350" s="25">
        <v>1</v>
      </c>
      <c r="K350" s="21">
        <v>155.6</v>
      </c>
      <c r="L350" s="63">
        <v>0.03</v>
      </c>
      <c r="M350" s="21">
        <v>54.5</v>
      </c>
      <c r="N350" s="6" t="s">
        <v>94</v>
      </c>
      <c r="O350" s="60">
        <f>Vendas2025[[#This Row],[Quantidade]]*Vendas2025[[#This Row],[Preço_Unitário_R$]]</f>
        <v>155.6</v>
      </c>
      <c r="P350" s="60">
        <f>Vendas2025[[#This Row],[Receita_Bruta_R$]]*Vendas2025[[#This Row],[Desconto_pct]]</f>
        <v>4.6679999999999993</v>
      </c>
      <c r="Q350" s="60">
        <f t="shared" si="25"/>
        <v>150.93199999999999</v>
      </c>
      <c r="R350" s="60">
        <f t="shared" si="26"/>
        <v>54.5</v>
      </c>
      <c r="S350" s="60">
        <f t="shared" si="27"/>
        <v>96.431999999999988</v>
      </c>
      <c r="T350" s="65">
        <f t="shared" si="28"/>
        <v>0.63891023772294808</v>
      </c>
    </row>
    <row r="351" spans="1:20">
      <c r="A351" s="41">
        <f t="shared" si="29"/>
        <v>6</v>
      </c>
      <c r="B351" s="6" t="s">
        <v>492</v>
      </c>
      <c r="C351" s="20">
        <v>45809</v>
      </c>
      <c r="D351" s="6" t="s">
        <v>129</v>
      </c>
      <c r="E351" s="6" t="s">
        <v>103</v>
      </c>
      <c r="F351" s="6" t="s">
        <v>122</v>
      </c>
      <c r="G351" s="6" t="s">
        <v>140</v>
      </c>
      <c r="H351" s="6" t="s">
        <v>99</v>
      </c>
      <c r="I351" s="6" t="s">
        <v>100</v>
      </c>
      <c r="J351" s="25">
        <v>1</v>
      </c>
      <c r="K351" s="21">
        <v>416.8</v>
      </c>
      <c r="L351" s="63">
        <v>0.15</v>
      </c>
      <c r="M351" s="21">
        <v>242.15</v>
      </c>
      <c r="N351" s="6" t="s">
        <v>94</v>
      </c>
      <c r="O351" s="60">
        <f>Vendas2025[[#This Row],[Quantidade]]*Vendas2025[[#This Row],[Preço_Unitário_R$]]</f>
        <v>416.8</v>
      </c>
      <c r="P351" s="60">
        <f>Vendas2025[[#This Row],[Receita_Bruta_R$]]*Vendas2025[[#This Row],[Desconto_pct]]</f>
        <v>62.519999999999996</v>
      </c>
      <c r="Q351" s="60">
        <f t="shared" si="25"/>
        <v>354.28000000000003</v>
      </c>
      <c r="R351" s="60">
        <f t="shared" si="26"/>
        <v>242.15</v>
      </c>
      <c r="S351" s="60">
        <f t="shared" si="27"/>
        <v>112.13000000000002</v>
      </c>
      <c r="T351" s="65">
        <f t="shared" si="28"/>
        <v>0.31650107259794519</v>
      </c>
    </row>
    <row r="352" spans="1:20">
      <c r="A352" s="41">
        <f t="shared" si="29"/>
        <v>6</v>
      </c>
      <c r="B352" s="6" t="s">
        <v>493</v>
      </c>
      <c r="C352" s="20">
        <v>45809</v>
      </c>
      <c r="D352" s="6" t="s">
        <v>129</v>
      </c>
      <c r="E352" s="6" t="s">
        <v>103</v>
      </c>
      <c r="F352" s="6" t="s">
        <v>90</v>
      </c>
      <c r="G352" s="6" t="s">
        <v>151</v>
      </c>
      <c r="H352" s="6" t="s">
        <v>119</v>
      </c>
      <c r="I352" s="6" t="s">
        <v>141</v>
      </c>
      <c r="J352" s="25">
        <v>1</v>
      </c>
      <c r="K352" s="21">
        <v>2627.18</v>
      </c>
      <c r="L352" s="63">
        <v>0.2</v>
      </c>
      <c r="M352" s="21">
        <v>1908</v>
      </c>
      <c r="N352" s="6" t="s">
        <v>94</v>
      </c>
      <c r="O352" s="60">
        <f>Vendas2025[[#This Row],[Quantidade]]*Vendas2025[[#This Row],[Preço_Unitário_R$]]</f>
        <v>2627.18</v>
      </c>
      <c r="P352" s="60">
        <f>Vendas2025[[#This Row],[Receita_Bruta_R$]]*Vendas2025[[#This Row],[Desconto_pct]]</f>
        <v>525.43600000000004</v>
      </c>
      <c r="Q352" s="60">
        <f t="shared" si="25"/>
        <v>2101.7439999999997</v>
      </c>
      <c r="R352" s="60">
        <f t="shared" si="26"/>
        <v>1908</v>
      </c>
      <c r="S352" s="60">
        <f t="shared" si="27"/>
        <v>193.74399999999969</v>
      </c>
      <c r="T352" s="65">
        <f t="shared" si="28"/>
        <v>9.2182492254051743E-2</v>
      </c>
    </row>
    <row r="353" spans="1:20">
      <c r="A353" s="41">
        <f t="shared" si="29"/>
        <v>6</v>
      </c>
      <c r="B353" s="6" t="s">
        <v>494</v>
      </c>
      <c r="C353" s="20">
        <v>45809</v>
      </c>
      <c r="D353" s="6" t="s">
        <v>118</v>
      </c>
      <c r="E353" s="6" t="s">
        <v>114</v>
      </c>
      <c r="F353" s="6" t="s">
        <v>122</v>
      </c>
      <c r="G353" s="6" t="s">
        <v>154</v>
      </c>
      <c r="H353" s="6" t="s">
        <v>99</v>
      </c>
      <c r="I353" s="6" t="s">
        <v>163</v>
      </c>
      <c r="J353" s="25">
        <v>1</v>
      </c>
      <c r="K353" s="21">
        <v>1308.97</v>
      </c>
      <c r="L353" s="63">
        <v>0.03</v>
      </c>
      <c r="M353" s="21">
        <v>906.24</v>
      </c>
      <c r="N353" s="6" t="s">
        <v>94</v>
      </c>
      <c r="O353" s="60">
        <f>Vendas2025[[#This Row],[Quantidade]]*Vendas2025[[#This Row],[Preço_Unitário_R$]]</f>
        <v>1308.97</v>
      </c>
      <c r="P353" s="60">
        <f>Vendas2025[[#This Row],[Receita_Bruta_R$]]*Vendas2025[[#This Row],[Desconto_pct]]</f>
        <v>39.269100000000002</v>
      </c>
      <c r="Q353" s="60">
        <f t="shared" si="25"/>
        <v>1269.7009</v>
      </c>
      <c r="R353" s="60">
        <f t="shared" si="26"/>
        <v>906.24</v>
      </c>
      <c r="S353" s="60">
        <f t="shared" si="27"/>
        <v>363.46090000000004</v>
      </c>
      <c r="T353" s="65">
        <f t="shared" si="28"/>
        <v>0.28625710196787291</v>
      </c>
    </row>
    <row r="354" spans="1:20">
      <c r="A354" s="41">
        <f t="shared" si="29"/>
        <v>6</v>
      </c>
      <c r="B354" s="6" t="s">
        <v>495</v>
      </c>
      <c r="C354" s="20">
        <v>45810</v>
      </c>
      <c r="D354" s="6" t="s">
        <v>129</v>
      </c>
      <c r="E354" s="6" t="s">
        <v>103</v>
      </c>
      <c r="F354" s="6" t="s">
        <v>97</v>
      </c>
      <c r="G354" s="6" t="s">
        <v>98</v>
      </c>
      <c r="H354" s="6" t="s">
        <v>92</v>
      </c>
      <c r="I354" s="6" t="s">
        <v>134</v>
      </c>
      <c r="J354" s="25">
        <v>1</v>
      </c>
      <c r="K354" s="21">
        <v>428.99</v>
      </c>
      <c r="L354" s="63">
        <v>0.1</v>
      </c>
      <c r="M354" s="21">
        <v>230.41</v>
      </c>
      <c r="N354" s="6" t="s">
        <v>94</v>
      </c>
      <c r="O354" s="60">
        <f>Vendas2025[[#This Row],[Quantidade]]*Vendas2025[[#This Row],[Preço_Unitário_R$]]</f>
        <v>428.99</v>
      </c>
      <c r="P354" s="60">
        <f>Vendas2025[[#This Row],[Receita_Bruta_R$]]*Vendas2025[[#This Row],[Desconto_pct]]</f>
        <v>42.899000000000001</v>
      </c>
      <c r="Q354" s="60">
        <f t="shared" si="25"/>
        <v>386.09100000000001</v>
      </c>
      <c r="R354" s="60">
        <f t="shared" si="26"/>
        <v>230.41</v>
      </c>
      <c r="S354" s="60">
        <f t="shared" si="27"/>
        <v>155.68100000000001</v>
      </c>
      <c r="T354" s="65">
        <f t="shared" si="28"/>
        <v>0.4032235923655304</v>
      </c>
    </row>
    <row r="355" spans="1:20">
      <c r="A355" s="41">
        <f t="shared" si="29"/>
        <v>6</v>
      </c>
      <c r="B355" s="6" t="s">
        <v>496</v>
      </c>
      <c r="C355" s="20">
        <v>45810</v>
      </c>
      <c r="D355" s="6" t="s">
        <v>102</v>
      </c>
      <c r="E355" s="6" t="s">
        <v>103</v>
      </c>
      <c r="F355" s="6" t="s">
        <v>97</v>
      </c>
      <c r="G355" s="6" t="s">
        <v>110</v>
      </c>
      <c r="H355" s="6" t="s">
        <v>119</v>
      </c>
      <c r="I355" s="6" t="s">
        <v>141</v>
      </c>
      <c r="J355" s="25">
        <v>1</v>
      </c>
      <c r="K355" s="21">
        <v>2905.28</v>
      </c>
      <c r="L355" s="63">
        <v>0</v>
      </c>
      <c r="M355" s="21">
        <v>2073.2199999999998</v>
      </c>
      <c r="N355" s="6" t="s">
        <v>94</v>
      </c>
      <c r="O355" s="60">
        <f>Vendas2025[[#This Row],[Quantidade]]*Vendas2025[[#This Row],[Preço_Unitário_R$]]</f>
        <v>2905.28</v>
      </c>
      <c r="P355" s="60">
        <f>Vendas2025[[#This Row],[Receita_Bruta_R$]]*Vendas2025[[#This Row],[Desconto_pct]]</f>
        <v>0</v>
      </c>
      <c r="Q355" s="60">
        <f t="shared" si="25"/>
        <v>2905.28</v>
      </c>
      <c r="R355" s="60">
        <f t="shared" si="26"/>
        <v>2073.2199999999998</v>
      </c>
      <c r="S355" s="60">
        <f t="shared" si="27"/>
        <v>832.0600000000004</v>
      </c>
      <c r="T355" s="65">
        <f t="shared" si="28"/>
        <v>0.28639580350258853</v>
      </c>
    </row>
    <row r="356" spans="1:20">
      <c r="A356" s="41">
        <f t="shared" si="29"/>
        <v>6</v>
      </c>
      <c r="B356" s="6" t="s">
        <v>497</v>
      </c>
      <c r="C356" s="20">
        <v>45811</v>
      </c>
      <c r="D356" s="6" t="s">
        <v>88</v>
      </c>
      <c r="E356" s="6" t="s">
        <v>89</v>
      </c>
      <c r="F356" s="6" t="s">
        <v>122</v>
      </c>
      <c r="G356" s="6" t="s">
        <v>123</v>
      </c>
      <c r="H356" s="6" t="s">
        <v>92</v>
      </c>
      <c r="I356" s="6" t="s">
        <v>93</v>
      </c>
      <c r="J356" s="25">
        <v>2</v>
      </c>
      <c r="K356" s="21">
        <v>255.02</v>
      </c>
      <c r="L356" s="63">
        <v>0.05</v>
      </c>
      <c r="M356" s="21">
        <v>109.83</v>
      </c>
      <c r="N356" s="6" t="s">
        <v>94</v>
      </c>
      <c r="O356" s="60">
        <f>Vendas2025[[#This Row],[Quantidade]]*Vendas2025[[#This Row],[Preço_Unitário_R$]]</f>
        <v>510.04</v>
      </c>
      <c r="P356" s="60">
        <f>Vendas2025[[#This Row],[Receita_Bruta_R$]]*Vendas2025[[#This Row],[Desconto_pct]]</f>
        <v>25.502000000000002</v>
      </c>
      <c r="Q356" s="60">
        <f t="shared" si="25"/>
        <v>484.53800000000001</v>
      </c>
      <c r="R356" s="60">
        <f t="shared" si="26"/>
        <v>219.66</v>
      </c>
      <c r="S356" s="60">
        <f t="shared" si="27"/>
        <v>264.87800000000004</v>
      </c>
      <c r="T356" s="65">
        <f t="shared" si="28"/>
        <v>0.54666094300137458</v>
      </c>
    </row>
    <row r="357" spans="1:20">
      <c r="A357" s="41">
        <f t="shared" si="29"/>
        <v>6</v>
      </c>
      <c r="B357" s="6" t="s">
        <v>498</v>
      </c>
      <c r="C357" s="20">
        <v>45812</v>
      </c>
      <c r="D357" s="6" t="s">
        <v>118</v>
      </c>
      <c r="E357" s="6" t="s">
        <v>114</v>
      </c>
      <c r="F357" s="6" t="s">
        <v>122</v>
      </c>
      <c r="G357" s="6" t="s">
        <v>154</v>
      </c>
      <c r="H357" s="6" t="s">
        <v>99</v>
      </c>
      <c r="I357" s="6" t="s">
        <v>130</v>
      </c>
      <c r="J357" s="25">
        <v>2</v>
      </c>
      <c r="K357" s="21">
        <v>252.96</v>
      </c>
      <c r="L357" s="63">
        <v>0.2</v>
      </c>
      <c r="M357" s="21">
        <v>123.01</v>
      </c>
      <c r="N357" s="6" t="s">
        <v>94</v>
      </c>
      <c r="O357" s="60">
        <f>Vendas2025[[#This Row],[Quantidade]]*Vendas2025[[#This Row],[Preço_Unitário_R$]]</f>
        <v>505.92</v>
      </c>
      <c r="P357" s="60">
        <f>Vendas2025[[#This Row],[Receita_Bruta_R$]]*Vendas2025[[#This Row],[Desconto_pct]]</f>
        <v>101.18400000000001</v>
      </c>
      <c r="Q357" s="60">
        <f t="shared" si="25"/>
        <v>404.73599999999999</v>
      </c>
      <c r="R357" s="60">
        <f t="shared" si="26"/>
        <v>246.02</v>
      </c>
      <c r="S357" s="60">
        <f t="shared" si="27"/>
        <v>158.71599999999998</v>
      </c>
      <c r="T357" s="65">
        <f t="shared" si="28"/>
        <v>0.39214697975964574</v>
      </c>
    </row>
    <row r="358" spans="1:20">
      <c r="A358" s="41">
        <f t="shared" si="29"/>
        <v>6</v>
      </c>
      <c r="B358" s="6" t="s">
        <v>499</v>
      </c>
      <c r="C358" s="20">
        <v>45813</v>
      </c>
      <c r="D358" s="6" t="s">
        <v>88</v>
      </c>
      <c r="E358" s="6" t="s">
        <v>89</v>
      </c>
      <c r="F358" s="6" t="s">
        <v>97</v>
      </c>
      <c r="G358" s="6" t="s">
        <v>151</v>
      </c>
      <c r="H358" s="6" t="s">
        <v>124</v>
      </c>
      <c r="I358" s="6" t="s">
        <v>125</v>
      </c>
      <c r="J358" s="25">
        <v>1</v>
      </c>
      <c r="K358" s="21">
        <v>690.29</v>
      </c>
      <c r="L358" s="63">
        <v>0.15</v>
      </c>
      <c r="M358" s="21">
        <v>329.58</v>
      </c>
      <c r="N358" s="6" t="s">
        <v>94</v>
      </c>
      <c r="O358" s="60">
        <f>Vendas2025[[#This Row],[Quantidade]]*Vendas2025[[#This Row],[Preço_Unitário_R$]]</f>
        <v>690.29</v>
      </c>
      <c r="P358" s="60">
        <f>Vendas2025[[#This Row],[Receita_Bruta_R$]]*Vendas2025[[#This Row],[Desconto_pct]]</f>
        <v>103.54349999999999</v>
      </c>
      <c r="Q358" s="60">
        <f t="shared" si="25"/>
        <v>586.74649999999997</v>
      </c>
      <c r="R358" s="60">
        <f t="shared" si="26"/>
        <v>329.58</v>
      </c>
      <c r="S358" s="60">
        <f t="shared" si="27"/>
        <v>257.16649999999998</v>
      </c>
      <c r="T358" s="65">
        <f t="shared" si="28"/>
        <v>0.43829234601314199</v>
      </c>
    </row>
    <row r="359" spans="1:20">
      <c r="A359" s="41">
        <f t="shared" si="29"/>
        <v>6</v>
      </c>
      <c r="B359" s="6" t="s">
        <v>500</v>
      </c>
      <c r="C359" s="20">
        <v>45813</v>
      </c>
      <c r="D359" s="6" t="s">
        <v>88</v>
      </c>
      <c r="E359" s="6" t="s">
        <v>89</v>
      </c>
      <c r="F359" s="6" t="s">
        <v>122</v>
      </c>
      <c r="G359" s="6" t="s">
        <v>105</v>
      </c>
      <c r="H359" s="6" t="s">
        <v>124</v>
      </c>
      <c r="I359" s="6" t="s">
        <v>125</v>
      </c>
      <c r="J359" s="25">
        <v>1</v>
      </c>
      <c r="K359" s="21">
        <v>669.68</v>
      </c>
      <c r="L359" s="63">
        <v>0.05</v>
      </c>
      <c r="M359" s="21">
        <v>328.45</v>
      </c>
      <c r="N359" s="6" t="s">
        <v>94</v>
      </c>
      <c r="O359" s="60">
        <f>Vendas2025[[#This Row],[Quantidade]]*Vendas2025[[#This Row],[Preço_Unitário_R$]]</f>
        <v>669.68</v>
      </c>
      <c r="P359" s="60">
        <f>Vendas2025[[#This Row],[Receita_Bruta_R$]]*Vendas2025[[#This Row],[Desconto_pct]]</f>
        <v>33.484000000000002</v>
      </c>
      <c r="Q359" s="60">
        <f t="shared" si="25"/>
        <v>636.19599999999991</v>
      </c>
      <c r="R359" s="60">
        <f t="shared" si="26"/>
        <v>328.45</v>
      </c>
      <c r="S359" s="60">
        <f t="shared" si="27"/>
        <v>307.74599999999992</v>
      </c>
      <c r="T359" s="65">
        <f t="shared" si="28"/>
        <v>0.48372828499393261</v>
      </c>
    </row>
    <row r="360" spans="1:20">
      <c r="A360" s="41">
        <f t="shared" si="29"/>
        <v>6</v>
      </c>
      <c r="B360" s="6" t="s">
        <v>501</v>
      </c>
      <c r="C360" s="20">
        <v>45813</v>
      </c>
      <c r="D360" s="6" t="s">
        <v>113</v>
      </c>
      <c r="E360" s="6" t="s">
        <v>114</v>
      </c>
      <c r="F360" s="6" t="s">
        <v>104</v>
      </c>
      <c r="G360" s="6" t="s">
        <v>127</v>
      </c>
      <c r="H360" s="6" t="s">
        <v>92</v>
      </c>
      <c r="I360" s="6" t="s">
        <v>144</v>
      </c>
      <c r="J360" s="25">
        <v>1</v>
      </c>
      <c r="K360" s="21">
        <v>153.81</v>
      </c>
      <c r="L360" s="63">
        <v>0.05</v>
      </c>
      <c r="M360" s="21">
        <v>53.83</v>
      </c>
      <c r="N360" s="6" t="s">
        <v>94</v>
      </c>
      <c r="O360" s="60">
        <f>Vendas2025[[#This Row],[Quantidade]]*Vendas2025[[#This Row],[Preço_Unitário_R$]]</f>
        <v>153.81</v>
      </c>
      <c r="P360" s="60">
        <f>Vendas2025[[#This Row],[Receita_Bruta_R$]]*Vendas2025[[#This Row],[Desconto_pct]]</f>
        <v>7.6905000000000001</v>
      </c>
      <c r="Q360" s="60">
        <f t="shared" si="25"/>
        <v>146.11950000000002</v>
      </c>
      <c r="R360" s="60">
        <f t="shared" si="26"/>
        <v>53.83</v>
      </c>
      <c r="S360" s="60">
        <f t="shared" si="27"/>
        <v>92.289500000000018</v>
      </c>
      <c r="T360" s="65">
        <f t="shared" si="28"/>
        <v>0.63160290036579658</v>
      </c>
    </row>
    <row r="361" spans="1:20">
      <c r="A361" s="41">
        <f t="shared" si="29"/>
        <v>6</v>
      </c>
      <c r="B361" s="6" t="s">
        <v>502</v>
      </c>
      <c r="C361" s="20">
        <v>45814</v>
      </c>
      <c r="D361" s="6" t="s">
        <v>118</v>
      </c>
      <c r="E361" s="6" t="s">
        <v>114</v>
      </c>
      <c r="F361" s="6" t="s">
        <v>90</v>
      </c>
      <c r="G361" s="6" t="s">
        <v>140</v>
      </c>
      <c r="H361" s="6" t="s">
        <v>106</v>
      </c>
      <c r="I361" s="6" t="s">
        <v>111</v>
      </c>
      <c r="J361" s="25">
        <v>3</v>
      </c>
      <c r="K361" s="21">
        <v>306.85000000000002</v>
      </c>
      <c r="L361" s="63">
        <v>0.1</v>
      </c>
      <c r="M361" s="21">
        <v>130.99</v>
      </c>
      <c r="N361" s="6" t="s">
        <v>94</v>
      </c>
      <c r="O361" s="60">
        <f>Vendas2025[[#This Row],[Quantidade]]*Vendas2025[[#This Row],[Preço_Unitário_R$]]</f>
        <v>920.55000000000007</v>
      </c>
      <c r="P361" s="60">
        <f>Vendas2025[[#This Row],[Receita_Bruta_R$]]*Vendas2025[[#This Row],[Desconto_pct]]</f>
        <v>92.055000000000007</v>
      </c>
      <c r="Q361" s="60">
        <f t="shared" si="25"/>
        <v>828.49500000000012</v>
      </c>
      <c r="R361" s="60">
        <f t="shared" si="26"/>
        <v>392.97</v>
      </c>
      <c r="S361" s="60">
        <f t="shared" si="27"/>
        <v>435.52500000000009</v>
      </c>
      <c r="T361" s="65">
        <f t="shared" si="28"/>
        <v>0.52568211033259105</v>
      </c>
    </row>
    <row r="362" spans="1:20">
      <c r="A362" s="41">
        <f t="shared" si="29"/>
        <v>6</v>
      </c>
      <c r="B362" s="6" t="s">
        <v>503</v>
      </c>
      <c r="C362" s="20">
        <v>45814</v>
      </c>
      <c r="D362" s="6" t="s">
        <v>96</v>
      </c>
      <c r="E362" s="6" t="s">
        <v>89</v>
      </c>
      <c r="F362" s="6" t="s">
        <v>90</v>
      </c>
      <c r="G362" s="6" t="s">
        <v>127</v>
      </c>
      <c r="H362" s="6" t="s">
        <v>92</v>
      </c>
      <c r="I362" s="6" t="s">
        <v>144</v>
      </c>
      <c r="J362" s="25">
        <v>1</v>
      </c>
      <c r="K362" s="21">
        <v>153.65</v>
      </c>
      <c r="L362" s="63">
        <v>0.1</v>
      </c>
      <c r="M362" s="21">
        <v>53.93</v>
      </c>
      <c r="N362" s="6" t="s">
        <v>94</v>
      </c>
      <c r="O362" s="60">
        <f>Vendas2025[[#This Row],[Quantidade]]*Vendas2025[[#This Row],[Preço_Unitário_R$]]</f>
        <v>153.65</v>
      </c>
      <c r="P362" s="60">
        <f>Vendas2025[[#This Row],[Receita_Bruta_R$]]*Vendas2025[[#This Row],[Desconto_pct]]</f>
        <v>15.365000000000002</v>
      </c>
      <c r="Q362" s="60">
        <f t="shared" si="25"/>
        <v>138.285</v>
      </c>
      <c r="R362" s="60">
        <f t="shared" si="26"/>
        <v>53.93</v>
      </c>
      <c r="S362" s="60">
        <f t="shared" si="27"/>
        <v>84.35499999999999</v>
      </c>
      <c r="T362" s="65">
        <f t="shared" si="28"/>
        <v>0.6100083161586578</v>
      </c>
    </row>
    <row r="363" spans="1:20">
      <c r="A363" s="41">
        <f t="shared" si="29"/>
        <v>6</v>
      </c>
      <c r="B363" s="6" t="s">
        <v>504</v>
      </c>
      <c r="C363" s="20">
        <v>45815</v>
      </c>
      <c r="D363" s="6" t="s">
        <v>88</v>
      </c>
      <c r="E363" s="6" t="s">
        <v>89</v>
      </c>
      <c r="F363" s="6" t="s">
        <v>97</v>
      </c>
      <c r="G363" s="6" t="s">
        <v>160</v>
      </c>
      <c r="H363" s="6" t="s">
        <v>124</v>
      </c>
      <c r="I363" s="6" t="s">
        <v>125</v>
      </c>
      <c r="J363" s="25">
        <v>2</v>
      </c>
      <c r="K363" s="21">
        <v>665.2</v>
      </c>
      <c r="L363" s="63">
        <v>0</v>
      </c>
      <c r="M363" s="21">
        <v>310.64</v>
      </c>
      <c r="N363" s="6" t="s">
        <v>94</v>
      </c>
      <c r="O363" s="60">
        <f>Vendas2025[[#This Row],[Quantidade]]*Vendas2025[[#This Row],[Preço_Unitário_R$]]</f>
        <v>1330.4</v>
      </c>
      <c r="P363" s="60">
        <f>Vendas2025[[#This Row],[Receita_Bruta_R$]]*Vendas2025[[#This Row],[Desconto_pct]]</f>
        <v>0</v>
      </c>
      <c r="Q363" s="60">
        <f t="shared" si="25"/>
        <v>1330.4</v>
      </c>
      <c r="R363" s="60">
        <f t="shared" si="26"/>
        <v>621.28</v>
      </c>
      <c r="S363" s="60">
        <f t="shared" si="27"/>
        <v>709.12000000000012</v>
      </c>
      <c r="T363" s="65">
        <f t="shared" si="28"/>
        <v>0.53301262778111846</v>
      </c>
    </row>
    <row r="364" spans="1:20">
      <c r="A364" s="41">
        <f t="shared" si="29"/>
        <v>6</v>
      </c>
      <c r="B364" s="6" t="s">
        <v>505</v>
      </c>
      <c r="C364" s="20">
        <v>45815</v>
      </c>
      <c r="D364" s="6" t="s">
        <v>129</v>
      </c>
      <c r="E364" s="6" t="s">
        <v>103</v>
      </c>
      <c r="F364" s="6" t="s">
        <v>90</v>
      </c>
      <c r="G364" s="6" t="s">
        <v>123</v>
      </c>
      <c r="H364" s="6" t="s">
        <v>106</v>
      </c>
      <c r="I364" s="6" t="s">
        <v>111</v>
      </c>
      <c r="J364" s="25">
        <v>1</v>
      </c>
      <c r="K364" s="21">
        <v>303.51</v>
      </c>
      <c r="L364" s="63">
        <v>0.05</v>
      </c>
      <c r="M364" s="21">
        <v>138.13</v>
      </c>
      <c r="N364" s="6" t="s">
        <v>94</v>
      </c>
      <c r="O364" s="60">
        <f>Vendas2025[[#This Row],[Quantidade]]*Vendas2025[[#This Row],[Preço_Unitário_R$]]</f>
        <v>303.51</v>
      </c>
      <c r="P364" s="60">
        <f>Vendas2025[[#This Row],[Receita_Bruta_R$]]*Vendas2025[[#This Row],[Desconto_pct]]</f>
        <v>15.1755</v>
      </c>
      <c r="Q364" s="60">
        <f t="shared" si="25"/>
        <v>288.33449999999999</v>
      </c>
      <c r="R364" s="60">
        <f t="shared" si="26"/>
        <v>138.13</v>
      </c>
      <c r="S364" s="60">
        <f t="shared" si="27"/>
        <v>150.2045</v>
      </c>
      <c r="T364" s="65">
        <f t="shared" si="28"/>
        <v>0.5209383545846924</v>
      </c>
    </row>
    <row r="365" spans="1:20">
      <c r="A365" s="41">
        <f t="shared" si="29"/>
        <v>6</v>
      </c>
      <c r="B365" s="6" t="s">
        <v>506</v>
      </c>
      <c r="C365" s="20">
        <v>45816</v>
      </c>
      <c r="D365" s="6" t="s">
        <v>136</v>
      </c>
      <c r="E365" s="6" t="s">
        <v>137</v>
      </c>
      <c r="F365" s="6" t="s">
        <v>122</v>
      </c>
      <c r="G365" s="6" t="s">
        <v>98</v>
      </c>
      <c r="H365" s="6" t="s">
        <v>99</v>
      </c>
      <c r="I365" s="6" t="s">
        <v>173</v>
      </c>
      <c r="J365" s="25">
        <v>2</v>
      </c>
      <c r="K365" s="21">
        <v>3894.08</v>
      </c>
      <c r="L365" s="63">
        <v>0.1</v>
      </c>
      <c r="M365" s="21">
        <v>2922.7</v>
      </c>
      <c r="N365" s="6" t="s">
        <v>94</v>
      </c>
      <c r="O365" s="60">
        <f>Vendas2025[[#This Row],[Quantidade]]*Vendas2025[[#This Row],[Preço_Unitário_R$]]</f>
        <v>7788.16</v>
      </c>
      <c r="P365" s="60">
        <f>Vendas2025[[#This Row],[Receita_Bruta_R$]]*Vendas2025[[#This Row],[Desconto_pct]]</f>
        <v>778.81600000000003</v>
      </c>
      <c r="Q365" s="60">
        <f t="shared" si="25"/>
        <v>7009.3440000000001</v>
      </c>
      <c r="R365" s="60">
        <f t="shared" si="26"/>
        <v>5845.4</v>
      </c>
      <c r="S365" s="60">
        <f t="shared" si="27"/>
        <v>1163.9440000000004</v>
      </c>
      <c r="T365" s="65">
        <f t="shared" si="28"/>
        <v>0.16605605317701633</v>
      </c>
    </row>
    <row r="366" spans="1:20">
      <c r="A366" s="41">
        <f t="shared" si="29"/>
        <v>6</v>
      </c>
      <c r="B366" s="6" t="s">
        <v>507</v>
      </c>
      <c r="C366" s="20">
        <v>45816</v>
      </c>
      <c r="D366" s="6" t="s">
        <v>129</v>
      </c>
      <c r="E366" s="6" t="s">
        <v>103</v>
      </c>
      <c r="F366" s="6" t="s">
        <v>97</v>
      </c>
      <c r="G366" s="6" t="s">
        <v>110</v>
      </c>
      <c r="H366" s="6" t="s">
        <v>124</v>
      </c>
      <c r="I366" s="6" t="s">
        <v>199</v>
      </c>
      <c r="J366" s="25">
        <v>1</v>
      </c>
      <c r="K366" s="21">
        <v>322.92</v>
      </c>
      <c r="L366" s="63">
        <v>0.05</v>
      </c>
      <c r="M366" s="21">
        <v>152.62</v>
      </c>
      <c r="N366" s="6" t="s">
        <v>94</v>
      </c>
      <c r="O366" s="60">
        <f>Vendas2025[[#This Row],[Quantidade]]*Vendas2025[[#This Row],[Preço_Unitário_R$]]</f>
        <v>322.92</v>
      </c>
      <c r="P366" s="60">
        <f>Vendas2025[[#This Row],[Receita_Bruta_R$]]*Vendas2025[[#This Row],[Desconto_pct]]</f>
        <v>16.146000000000001</v>
      </c>
      <c r="Q366" s="60">
        <f t="shared" si="25"/>
        <v>306.774</v>
      </c>
      <c r="R366" s="60">
        <f t="shared" si="26"/>
        <v>152.62</v>
      </c>
      <c r="S366" s="60">
        <f t="shared" si="27"/>
        <v>154.154</v>
      </c>
      <c r="T366" s="65">
        <f t="shared" si="28"/>
        <v>0.50250021188236293</v>
      </c>
    </row>
    <row r="367" spans="1:20">
      <c r="A367" s="41">
        <f t="shared" si="29"/>
        <v>6</v>
      </c>
      <c r="B367" s="6" t="s">
        <v>508</v>
      </c>
      <c r="C367" s="20">
        <v>45817</v>
      </c>
      <c r="D367" s="6" t="s">
        <v>113</v>
      </c>
      <c r="E367" s="6" t="s">
        <v>114</v>
      </c>
      <c r="F367" s="6" t="s">
        <v>97</v>
      </c>
      <c r="G367" s="6" t="s">
        <v>123</v>
      </c>
      <c r="H367" s="6" t="s">
        <v>119</v>
      </c>
      <c r="I367" s="6" t="s">
        <v>155</v>
      </c>
      <c r="J367" s="25">
        <v>1</v>
      </c>
      <c r="K367" s="21">
        <v>356.4</v>
      </c>
      <c r="L367" s="63">
        <v>0.15</v>
      </c>
      <c r="M367" s="21">
        <v>203.21</v>
      </c>
      <c r="N367" s="6" t="s">
        <v>245</v>
      </c>
      <c r="O367" s="60">
        <f>Vendas2025[[#This Row],[Quantidade]]*Vendas2025[[#This Row],[Preço_Unitário_R$]]</f>
        <v>356.4</v>
      </c>
      <c r="P367" s="60">
        <f>Vendas2025[[#This Row],[Receita_Bruta_R$]]*Vendas2025[[#This Row],[Desconto_pct]]</f>
        <v>53.459999999999994</v>
      </c>
      <c r="Q367" s="60">
        <f t="shared" si="25"/>
        <v>0</v>
      </c>
      <c r="R367" s="60">
        <f t="shared" si="26"/>
        <v>0</v>
      </c>
      <c r="S367" s="60">
        <f t="shared" si="27"/>
        <v>0</v>
      </c>
      <c r="T367" s="65" t="str">
        <f t="shared" si="28"/>
        <v/>
      </c>
    </row>
    <row r="368" spans="1:20">
      <c r="A368" s="41">
        <f t="shared" si="29"/>
        <v>6</v>
      </c>
      <c r="B368" s="6" t="s">
        <v>509</v>
      </c>
      <c r="C368" s="20">
        <v>45817</v>
      </c>
      <c r="D368" s="6" t="s">
        <v>96</v>
      </c>
      <c r="E368" s="6" t="s">
        <v>89</v>
      </c>
      <c r="F368" s="6" t="s">
        <v>122</v>
      </c>
      <c r="G368" s="6" t="s">
        <v>123</v>
      </c>
      <c r="H368" s="6" t="s">
        <v>99</v>
      </c>
      <c r="I368" s="6" t="s">
        <v>100</v>
      </c>
      <c r="J368" s="25">
        <v>1</v>
      </c>
      <c r="K368" s="21">
        <v>398.29</v>
      </c>
      <c r="L368" s="63">
        <v>0.1</v>
      </c>
      <c r="M368" s="21">
        <v>232.42</v>
      </c>
      <c r="N368" s="6" t="s">
        <v>94</v>
      </c>
      <c r="O368" s="60">
        <f>Vendas2025[[#This Row],[Quantidade]]*Vendas2025[[#This Row],[Preço_Unitário_R$]]</f>
        <v>398.29</v>
      </c>
      <c r="P368" s="60">
        <f>Vendas2025[[#This Row],[Receita_Bruta_R$]]*Vendas2025[[#This Row],[Desconto_pct]]</f>
        <v>39.829000000000008</v>
      </c>
      <c r="Q368" s="60">
        <f t="shared" si="25"/>
        <v>358.46100000000001</v>
      </c>
      <c r="R368" s="60">
        <f t="shared" si="26"/>
        <v>232.42</v>
      </c>
      <c r="S368" s="60">
        <f t="shared" si="27"/>
        <v>126.04100000000003</v>
      </c>
      <c r="T368" s="65">
        <f t="shared" si="28"/>
        <v>0.35161705178527097</v>
      </c>
    </row>
    <row r="369" spans="1:20">
      <c r="A369" s="41">
        <f t="shared" si="29"/>
        <v>6</v>
      </c>
      <c r="B369" s="6" t="s">
        <v>510</v>
      </c>
      <c r="C369" s="20">
        <v>45817</v>
      </c>
      <c r="D369" s="6" t="s">
        <v>113</v>
      </c>
      <c r="E369" s="6" t="s">
        <v>114</v>
      </c>
      <c r="F369" s="6" t="s">
        <v>90</v>
      </c>
      <c r="G369" s="6" t="s">
        <v>105</v>
      </c>
      <c r="H369" s="6" t="s">
        <v>124</v>
      </c>
      <c r="I369" s="6" t="s">
        <v>125</v>
      </c>
      <c r="J369" s="25">
        <v>1</v>
      </c>
      <c r="K369" s="21">
        <v>750.1</v>
      </c>
      <c r="L369" s="63">
        <v>0.1</v>
      </c>
      <c r="M369" s="21">
        <v>356.46</v>
      </c>
      <c r="N369" s="6" t="s">
        <v>108</v>
      </c>
      <c r="O369" s="60">
        <f>Vendas2025[[#This Row],[Quantidade]]*Vendas2025[[#This Row],[Preço_Unitário_R$]]</f>
        <v>750.1</v>
      </c>
      <c r="P369" s="60">
        <f>Vendas2025[[#This Row],[Receita_Bruta_R$]]*Vendas2025[[#This Row],[Desconto_pct]]</f>
        <v>75.010000000000005</v>
      </c>
      <c r="Q369" s="60">
        <f t="shared" si="25"/>
        <v>0</v>
      </c>
      <c r="R369" s="60">
        <f t="shared" si="26"/>
        <v>0</v>
      </c>
      <c r="S369" s="60">
        <f t="shared" si="27"/>
        <v>0</v>
      </c>
      <c r="T369" s="65" t="str">
        <f t="shared" si="28"/>
        <v/>
      </c>
    </row>
    <row r="370" spans="1:20">
      <c r="A370" s="41">
        <f t="shared" si="29"/>
        <v>6</v>
      </c>
      <c r="B370" s="6" t="s">
        <v>511</v>
      </c>
      <c r="C370" s="20">
        <v>45817</v>
      </c>
      <c r="D370" s="6" t="s">
        <v>96</v>
      </c>
      <c r="E370" s="6" t="s">
        <v>89</v>
      </c>
      <c r="F370" s="6" t="s">
        <v>97</v>
      </c>
      <c r="G370" s="6" t="s">
        <v>91</v>
      </c>
      <c r="H370" s="6" t="s">
        <v>119</v>
      </c>
      <c r="I370" s="6" t="s">
        <v>138</v>
      </c>
      <c r="J370" s="25">
        <v>1</v>
      </c>
      <c r="K370" s="21">
        <v>141.03</v>
      </c>
      <c r="L370" s="63">
        <v>0.05</v>
      </c>
      <c r="M370" s="21">
        <v>58.2</v>
      </c>
      <c r="N370" s="6" t="s">
        <v>94</v>
      </c>
      <c r="O370" s="60">
        <f>Vendas2025[[#This Row],[Quantidade]]*Vendas2025[[#This Row],[Preço_Unitário_R$]]</f>
        <v>141.03</v>
      </c>
      <c r="P370" s="60">
        <f>Vendas2025[[#This Row],[Receita_Bruta_R$]]*Vendas2025[[#This Row],[Desconto_pct]]</f>
        <v>7.0515000000000008</v>
      </c>
      <c r="Q370" s="60">
        <f t="shared" si="25"/>
        <v>133.9785</v>
      </c>
      <c r="R370" s="60">
        <f t="shared" si="26"/>
        <v>58.2</v>
      </c>
      <c r="S370" s="60">
        <f t="shared" si="27"/>
        <v>75.778499999999994</v>
      </c>
      <c r="T370" s="65">
        <f t="shared" si="28"/>
        <v>0.56560194359542759</v>
      </c>
    </row>
    <row r="371" spans="1:20">
      <c r="A371" s="41">
        <f t="shared" si="29"/>
        <v>6</v>
      </c>
      <c r="B371" s="6" t="s">
        <v>512</v>
      </c>
      <c r="C371" s="20">
        <v>45817</v>
      </c>
      <c r="D371" s="6" t="s">
        <v>129</v>
      </c>
      <c r="E371" s="6" t="s">
        <v>103</v>
      </c>
      <c r="F371" s="6" t="s">
        <v>97</v>
      </c>
      <c r="G371" s="6" t="s">
        <v>140</v>
      </c>
      <c r="H371" s="6" t="s">
        <v>92</v>
      </c>
      <c r="I371" s="6" t="s">
        <v>144</v>
      </c>
      <c r="J371" s="25">
        <v>1</v>
      </c>
      <c r="K371" s="21">
        <v>148.76</v>
      </c>
      <c r="L371" s="63">
        <v>0</v>
      </c>
      <c r="M371" s="21">
        <v>50.81</v>
      </c>
      <c r="N371" s="6" t="s">
        <v>94</v>
      </c>
      <c r="O371" s="60">
        <f>Vendas2025[[#This Row],[Quantidade]]*Vendas2025[[#This Row],[Preço_Unitário_R$]]</f>
        <v>148.76</v>
      </c>
      <c r="P371" s="60">
        <f>Vendas2025[[#This Row],[Receita_Bruta_R$]]*Vendas2025[[#This Row],[Desconto_pct]]</f>
        <v>0</v>
      </c>
      <c r="Q371" s="60">
        <f t="shared" si="25"/>
        <v>148.76</v>
      </c>
      <c r="R371" s="60">
        <f t="shared" si="26"/>
        <v>50.81</v>
      </c>
      <c r="S371" s="60">
        <f t="shared" si="27"/>
        <v>97.949999999999989</v>
      </c>
      <c r="T371" s="65">
        <f t="shared" si="28"/>
        <v>0.65844312987362186</v>
      </c>
    </row>
    <row r="372" spans="1:20">
      <c r="A372" s="41">
        <f t="shared" si="29"/>
        <v>6</v>
      </c>
      <c r="B372" s="6" t="s">
        <v>513</v>
      </c>
      <c r="C372" s="20">
        <v>45818</v>
      </c>
      <c r="D372" s="6" t="s">
        <v>132</v>
      </c>
      <c r="E372" s="6" t="s">
        <v>89</v>
      </c>
      <c r="F372" s="6" t="s">
        <v>90</v>
      </c>
      <c r="G372" s="6" t="s">
        <v>140</v>
      </c>
      <c r="H372" s="6" t="s">
        <v>99</v>
      </c>
      <c r="I372" s="6" t="s">
        <v>158</v>
      </c>
      <c r="J372" s="25">
        <v>2</v>
      </c>
      <c r="K372" s="21">
        <v>188.68</v>
      </c>
      <c r="L372" s="63">
        <v>0.25</v>
      </c>
      <c r="M372" s="21">
        <v>83.36</v>
      </c>
      <c r="N372" s="6" t="s">
        <v>94</v>
      </c>
      <c r="O372" s="60">
        <f>Vendas2025[[#This Row],[Quantidade]]*Vendas2025[[#This Row],[Preço_Unitário_R$]]</f>
        <v>377.36</v>
      </c>
      <c r="P372" s="60">
        <f>Vendas2025[[#This Row],[Receita_Bruta_R$]]*Vendas2025[[#This Row],[Desconto_pct]]</f>
        <v>94.34</v>
      </c>
      <c r="Q372" s="60">
        <f t="shared" si="25"/>
        <v>283.02</v>
      </c>
      <c r="R372" s="60">
        <f t="shared" si="26"/>
        <v>166.72</v>
      </c>
      <c r="S372" s="60">
        <f t="shared" si="27"/>
        <v>116.29999999999998</v>
      </c>
      <c r="T372" s="65">
        <f t="shared" si="28"/>
        <v>0.41092502296657479</v>
      </c>
    </row>
    <row r="373" spans="1:20">
      <c r="A373" s="41">
        <f t="shared" si="29"/>
        <v>6</v>
      </c>
      <c r="B373" s="6" t="s">
        <v>514</v>
      </c>
      <c r="C373" s="20">
        <v>45818</v>
      </c>
      <c r="D373" s="6" t="s">
        <v>118</v>
      </c>
      <c r="E373" s="6" t="s">
        <v>114</v>
      </c>
      <c r="F373" s="6" t="s">
        <v>122</v>
      </c>
      <c r="G373" s="6" t="s">
        <v>140</v>
      </c>
      <c r="H373" s="6" t="s">
        <v>92</v>
      </c>
      <c r="I373" s="6" t="s">
        <v>144</v>
      </c>
      <c r="J373" s="25">
        <v>1</v>
      </c>
      <c r="K373" s="21">
        <v>143.72</v>
      </c>
      <c r="L373" s="63">
        <v>0.03</v>
      </c>
      <c r="M373" s="21">
        <v>51.5</v>
      </c>
      <c r="N373" s="6" t="s">
        <v>94</v>
      </c>
      <c r="O373" s="60">
        <f>Vendas2025[[#This Row],[Quantidade]]*Vendas2025[[#This Row],[Preço_Unitário_R$]]</f>
        <v>143.72</v>
      </c>
      <c r="P373" s="60">
        <f>Vendas2025[[#This Row],[Receita_Bruta_R$]]*Vendas2025[[#This Row],[Desconto_pct]]</f>
        <v>4.3115999999999994</v>
      </c>
      <c r="Q373" s="60">
        <f t="shared" si="25"/>
        <v>139.4084</v>
      </c>
      <c r="R373" s="60">
        <f t="shared" si="26"/>
        <v>51.5</v>
      </c>
      <c r="S373" s="60">
        <f t="shared" si="27"/>
        <v>87.9084</v>
      </c>
      <c r="T373" s="65">
        <f t="shared" si="28"/>
        <v>0.63058180138356079</v>
      </c>
    </row>
    <row r="374" spans="1:20">
      <c r="A374" s="41">
        <f t="shared" si="29"/>
        <v>6</v>
      </c>
      <c r="B374" s="6" t="s">
        <v>515</v>
      </c>
      <c r="C374" s="20">
        <v>45819</v>
      </c>
      <c r="D374" s="6" t="s">
        <v>88</v>
      </c>
      <c r="E374" s="6" t="s">
        <v>89</v>
      </c>
      <c r="F374" s="6" t="s">
        <v>122</v>
      </c>
      <c r="G374" s="6" t="s">
        <v>177</v>
      </c>
      <c r="H374" s="6" t="s">
        <v>106</v>
      </c>
      <c r="I374" s="6" t="s">
        <v>111</v>
      </c>
      <c r="J374" s="25">
        <v>2</v>
      </c>
      <c r="K374" s="21">
        <v>287.87</v>
      </c>
      <c r="L374" s="63">
        <v>0.03</v>
      </c>
      <c r="M374" s="21">
        <v>128.53</v>
      </c>
      <c r="N374" s="6" t="s">
        <v>94</v>
      </c>
      <c r="O374" s="60">
        <f>Vendas2025[[#This Row],[Quantidade]]*Vendas2025[[#This Row],[Preço_Unitário_R$]]</f>
        <v>575.74</v>
      </c>
      <c r="P374" s="60">
        <f>Vendas2025[[#This Row],[Receita_Bruta_R$]]*Vendas2025[[#This Row],[Desconto_pct]]</f>
        <v>17.272199999999998</v>
      </c>
      <c r="Q374" s="60">
        <f t="shared" si="25"/>
        <v>558.46780000000001</v>
      </c>
      <c r="R374" s="60">
        <f t="shared" si="26"/>
        <v>257.06</v>
      </c>
      <c r="S374" s="60">
        <f t="shared" si="27"/>
        <v>301.40780000000001</v>
      </c>
      <c r="T374" s="65">
        <f t="shared" si="28"/>
        <v>0.53970488540252459</v>
      </c>
    </row>
    <row r="375" spans="1:20">
      <c r="A375" s="41">
        <f t="shared" si="29"/>
        <v>6</v>
      </c>
      <c r="B375" s="6" t="s">
        <v>516</v>
      </c>
      <c r="C375" s="20">
        <v>45819</v>
      </c>
      <c r="D375" s="6" t="s">
        <v>96</v>
      </c>
      <c r="E375" s="6" t="s">
        <v>89</v>
      </c>
      <c r="F375" s="6" t="s">
        <v>90</v>
      </c>
      <c r="G375" s="6" t="s">
        <v>91</v>
      </c>
      <c r="H375" s="6" t="s">
        <v>99</v>
      </c>
      <c r="I375" s="6" t="s">
        <v>173</v>
      </c>
      <c r="J375" s="25">
        <v>1</v>
      </c>
      <c r="K375" s="21">
        <v>3638.2</v>
      </c>
      <c r="L375" s="63">
        <v>0.2</v>
      </c>
      <c r="M375" s="21">
        <v>2759.07</v>
      </c>
      <c r="N375" s="6" t="s">
        <v>94</v>
      </c>
      <c r="O375" s="60">
        <f>Vendas2025[[#This Row],[Quantidade]]*Vendas2025[[#This Row],[Preço_Unitário_R$]]</f>
        <v>3638.2</v>
      </c>
      <c r="P375" s="60">
        <f>Vendas2025[[#This Row],[Receita_Bruta_R$]]*Vendas2025[[#This Row],[Desconto_pct]]</f>
        <v>727.64</v>
      </c>
      <c r="Q375" s="60">
        <f t="shared" si="25"/>
        <v>2910.56</v>
      </c>
      <c r="R375" s="60">
        <f t="shared" si="26"/>
        <v>2759.07</v>
      </c>
      <c r="S375" s="60">
        <f t="shared" si="27"/>
        <v>151.48999999999978</v>
      </c>
      <c r="T375" s="65">
        <f t="shared" si="28"/>
        <v>5.2048403056456416E-2</v>
      </c>
    </row>
    <row r="376" spans="1:20">
      <c r="A376" s="41">
        <f t="shared" si="29"/>
        <v>6</v>
      </c>
      <c r="B376" s="6" t="s">
        <v>517</v>
      </c>
      <c r="C376" s="20">
        <v>45820</v>
      </c>
      <c r="D376" s="6" t="s">
        <v>129</v>
      </c>
      <c r="E376" s="6" t="s">
        <v>103</v>
      </c>
      <c r="F376" s="6" t="s">
        <v>97</v>
      </c>
      <c r="G376" s="6" t="s">
        <v>123</v>
      </c>
      <c r="H376" s="6" t="s">
        <v>99</v>
      </c>
      <c r="I376" s="6" t="s">
        <v>163</v>
      </c>
      <c r="J376" s="25">
        <v>1</v>
      </c>
      <c r="K376" s="21">
        <v>1241.52</v>
      </c>
      <c r="L376" s="63">
        <v>0.15</v>
      </c>
      <c r="M376" s="21">
        <v>886.23</v>
      </c>
      <c r="N376" s="6" t="s">
        <v>94</v>
      </c>
      <c r="O376" s="60">
        <f>Vendas2025[[#This Row],[Quantidade]]*Vendas2025[[#This Row],[Preço_Unitário_R$]]</f>
        <v>1241.52</v>
      </c>
      <c r="P376" s="60">
        <f>Vendas2025[[#This Row],[Receita_Bruta_R$]]*Vendas2025[[#This Row],[Desconto_pct]]</f>
        <v>186.22799999999998</v>
      </c>
      <c r="Q376" s="60">
        <f t="shared" si="25"/>
        <v>1055.2919999999999</v>
      </c>
      <c r="R376" s="60">
        <f t="shared" si="26"/>
        <v>886.23</v>
      </c>
      <c r="S376" s="60">
        <f t="shared" si="27"/>
        <v>169.0619999999999</v>
      </c>
      <c r="T376" s="65">
        <f t="shared" si="28"/>
        <v>0.16020400040936528</v>
      </c>
    </row>
    <row r="377" spans="1:20">
      <c r="A377" s="41">
        <f t="shared" si="29"/>
        <v>6</v>
      </c>
      <c r="B377" s="6" t="s">
        <v>518</v>
      </c>
      <c r="C377" s="20">
        <v>45820</v>
      </c>
      <c r="D377" s="6" t="s">
        <v>102</v>
      </c>
      <c r="E377" s="6" t="s">
        <v>103</v>
      </c>
      <c r="F377" s="6" t="s">
        <v>122</v>
      </c>
      <c r="G377" s="6" t="s">
        <v>160</v>
      </c>
      <c r="H377" s="6" t="s">
        <v>99</v>
      </c>
      <c r="I377" s="6" t="s">
        <v>130</v>
      </c>
      <c r="J377" s="25">
        <v>1</v>
      </c>
      <c r="K377" s="21">
        <v>237.5</v>
      </c>
      <c r="L377" s="63">
        <v>0.05</v>
      </c>
      <c r="M377" s="21">
        <v>114.83</v>
      </c>
      <c r="N377" s="6" t="s">
        <v>245</v>
      </c>
      <c r="O377" s="60">
        <f>Vendas2025[[#This Row],[Quantidade]]*Vendas2025[[#This Row],[Preço_Unitário_R$]]</f>
        <v>237.5</v>
      </c>
      <c r="P377" s="60">
        <f>Vendas2025[[#This Row],[Receita_Bruta_R$]]*Vendas2025[[#This Row],[Desconto_pct]]</f>
        <v>11.875</v>
      </c>
      <c r="Q377" s="60">
        <f t="shared" si="25"/>
        <v>0</v>
      </c>
      <c r="R377" s="60">
        <f t="shared" si="26"/>
        <v>0</v>
      </c>
      <c r="S377" s="60">
        <f t="shared" si="27"/>
        <v>0</v>
      </c>
      <c r="T377" s="65" t="str">
        <f t="shared" si="28"/>
        <v/>
      </c>
    </row>
    <row r="378" spans="1:20">
      <c r="A378" s="41">
        <f t="shared" si="29"/>
        <v>6</v>
      </c>
      <c r="B378" s="6" t="s">
        <v>519</v>
      </c>
      <c r="C378" s="20">
        <v>45820</v>
      </c>
      <c r="D378" s="6" t="s">
        <v>88</v>
      </c>
      <c r="E378" s="6" t="s">
        <v>89</v>
      </c>
      <c r="F378" s="6" t="s">
        <v>122</v>
      </c>
      <c r="G378" s="6" t="s">
        <v>98</v>
      </c>
      <c r="H378" s="6" t="s">
        <v>106</v>
      </c>
      <c r="I378" s="6" t="s">
        <v>107</v>
      </c>
      <c r="J378" s="25">
        <v>1</v>
      </c>
      <c r="K378" s="21">
        <v>668.21</v>
      </c>
      <c r="L378" s="63">
        <v>0.05</v>
      </c>
      <c r="M378" s="21">
        <v>375.06</v>
      </c>
      <c r="N378" s="6" t="s">
        <v>94</v>
      </c>
      <c r="O378" s="60">
        <f>Vendas2025[[#This Row],[Quantidade]]*Vendas2025[[#This Row],[Preço_Unitário_R$]]</f>
        <v>668.21</v>
      </c>
      <c r="P378" s="60">
        <f>Vendas2025[[#This Row],[Receita_Bruta_R$]]*Vendas2025[[#This Row],[Desconto_pct]]</f>
        <v>33.410500000000006</v>
      </c>
      <c r="Q378" s="60">
        <f t="shared" si="25"/>
        <v>634.79950000000008</v>
      </c>
      <c r="R378" s="60">
        <f t="shared" si="26"/>
        <v>375.06</v>
      </c>
      <c r="S378" s="60">
        <f t="shared" si="27"/>
        <v>259.73950000000008</v>
      </c>
      <c r="T378" s="65">
        <f t="shared" si="28"/>
        <v>0.40916777659717762</v>
      </c>
    </row>
    <row r="379" spans="1:20">
      <c r="A379" s="41">
        <f t="shared" si="29"/>
        <v>6</v>
      </c>
      <c r="B379" s="6" t="s">
        <v>520</v>
      </c>
      <c r="C379" s="20">
        <v>45820</v>
      </c>
      <c r="D379" s="6" t="s">
        <v>136</v>
      </c>
      <c r="E379" s="6" t="s">
        <v>137</v>
      </c>
      <c r="F379" s="6" t="s">
        <v>122</v>
      </c>
      <c r="G379" s="6" t="s">
        <v>105</v>
      </c>
      <c r="H379" s="6" t="s">
        <v>99</v>
      </c>
      <c r="I379" s="6" t="s">
        <v>173</v>
      </c>
      <c r="J379" s="25">
        <v>1</v>
      </c>
      <c r="K379" s="21">
        <v>4133.7</v>
      </c>
      <c r="L379" s="63">
        <v>0.05</v>
      </c>
      <c r="M379" s="21">
        <v>3177.2</v>
      </c>
      <c r="N379" s="6" t="s">
        <v>94</v>
      </c>
      <c r="O379" s="60">
        <f>Vendas2025[[#This Row],[Quantidade]]*Vendas2025[[#This Row],[Preço_Unitário_R$]]</f>
        <v>4133.7</v>
      </c>
      <c r="P379" s="60">
        <f>Vendas2025[[#This Row],[Receita_Bruta_R$]]*Vendas2025[[#This Row],[Desconto_pct]]</f>
        <v>206.685</v>
      </c>
      <c r="Q379" s="60">
        <f t="shared" si="25"/>
        <v>3927.0149999999999</v>
      </c>
      <c r="R379" s="60">
        <f t="shared" si="26"/>
        <v>3177.2</v>
      </c>
      <c r="S379" s="60">
        <f t="shared" si="27"/>
        <v>749.81500000000005</v>
      </c>
      <c r="T379" s="65">
        <f t="shared" si="28"/>
        <v>0.19093764602376107</v>
      </c>
    </row>
    <row r="380" spans="1:20">
      <c r="A380" s="41">
        <f t="shared" si="29"/>
        <v>6</v>
      </c>
      <c r="B380" s="6" t="s">
        <v>521</v>
      </c>
      <c r="C380" s="20">
        <v>45820</v>
      </c>
      <c r="D380" s="6" t="s">
        <v>118</v>
      </c>
      <c r="E380" s="6" t="s">
        <v>114</v>
      </c>
      <c r="F380" s="6" t="s">
        <v>104</v>
      </c>
      <c r="G380" s="6" t="s">
        <v>151</v>
      </c>
      <c r="H380" s="6" t="s">
        <v>124</v>
      </c>
      <c r="I380" s="6" t="s">
        <v>125</v>
      </c>
      <c r="J380" s="25">
        <v>1</v>
      </c>
      <c r="K380" s="21">
        <v>670.66</v>
      </c>
      <c r="L380" s="63">
        <v>0.12</v>
      </c>
      <c r="M380" s="21">
        <v>320.16000000000003</v>
      </c>
      <c r="N380" s="6" t="s">
        <v>94</v>
      </c>
      <c r="O380" s="60">
        <f>Vendas2025[[#This Row],[Quantidade]]*Vendas2025[[#This Row],[Preço_Unitário_R$]]</f>
        <v>670.66</v>
      </c>
      <c r="P380" s="60">
        <f>Vendas2025[[#This Row],[Receita_Bruta_R$]]*Vendas2025[[#This Row],[Desconto_pct]]</f>
        <v>80.479199999999992</v>
      </c>
      <c r="Q380" s="60">
        <f t="shared" si="25"/>
        <v>590.18079999999998</v>
      </c>
      <c r="R380" s="60">
        <f t="shared" si="26"/>
        <v>320.16000000000003</v>
      </c>
      <c r="S380" s="60">
        <f t="shared" si="27"/>
        <v>270.02079999999995</v>
      </c>
      <c r="T380" s="65">
        <f t="shared" si="28"/>
        <v>0.45752216947755664</v>
      </c>
    </row>
    <row r="381" spans="1:20">
      <c r="A381" s="41">
        <f t="shared" si="29"/>
        <v>6</v>
      </c>
      <c r="B381" s="6" t="s">
        <v>522</v>
      </c>
      <c r="C381" s="20">
        <v>45821</v>
      </c>
      <c r="D381" s="6" t="s">
        <v>102</v>
      </c>
      <c r="E381" s="6" t="s">
        <v>103</v>
      </c>
      <c r="F381" s="6" t="s">
        <v>90</v>
      </c>
      <c r="G381" s="6" t="s">
        <v>140</v>
      </c>
      <c r="H381" s="6" t="s">
        <v>92</v>
      </c>
      <c r="I381" s="6" t="s">
        <v>93</v>
      </c>
      <c r="J381" s="25">
        <v>1</v>
      </c>
      <c r="K381" s="21">
        <v>256.49</v>
      </c>
      <c r="L381" s="63">
        <v>0.1</v>
      </c>
      <c r="M381" s="21">
        <v>110.48</v>
      </c>
      <c r="N381" s="6" t="s">
        <v>94</v>
      </c>
      <c r="O381" s="60">
        <f>Vendas2025[[#This Row],[Quantidade]]*Vendas2025[[#This Row],[Preço_Unitário_R$]]</f>
        <v>256.49</v>
      </c>
      <c r="P381" s="60">
        <f>Vendas2025[[#This Row],[Receita_Bruta_R$]]*Vendas2025[[#This Row],[Desconto_pct]]</f>
        <v>25.649000000000001</v>
      </c>
      <c r="Q381" s="60">
        <f t="shared" si="25"/>
        <v>230.84100000000001</v>
      </c>
      <c r="R381" s="60">
        <f t="shared" si="26"/>
        <v>110.48</v>
      </c>
      <c r="S381" s="60">
        <f t="shared" si="27"/>
        <v>120.361</v>
      </c>
      <c r="T381" s="65">
        <f t="shared" si="28"/>
        <v>0.52140217725620663</v>
      </c>
    </row>
    <row r="382" spans="1:20">
      <c r="A382" s="41">
        <f t="shared" si="29"/>
        <v>6</v>
      </c>
      <c r="B382" s="6" t="s">
        <v>523</v>
      </c>
      <c r="C382" s="20">
        <v>45821</v>
      </c>
      <c r="D382" s="6" t="s">
        <v>129</v>
      </c>
      <c r="E382" s="6" t="s">
        <v>103</v>
      </c>
      <c r="F382" s="6" t="s">
        <v>122</v>
      </c>
      <c r="G382" s="6" t="s">
        <v>154</v>
      </c>
      <c r="H382" s="6" t="s">
        <v>92</v>
      </c>
      <c r="I382" s="6" t="s">
        <v>134</v>
      </c>
      <c r="J382" s="25">
        <v>2</v>
      </c>
      <c r="K382" s="21">
        <v>448.87</v>
      </c>
      <c r="L382" s="63">
        <v>0.15</v>
      </c>
      <c r="M382" s="21">
        <v>256.27999999999997</v>
      </c>
      <c r="N382" s="6" t="s">
        <v>94</v>
      </c>
      <c r="O382" s="60">
        <f>Vendas2025[[#This Row],[Quantidade]]*Vendas2025[[#This Row],[Preço_Unitário_R$]]</f>
        <v>897.74</v>
      </c>
      <c r="P382" s="60">
        <f>Vendas2025[[#This Row],[Receita_Bruta_R$]]*Vendas2025[[#This Row],[Desconto_pct]]</f>
        <v>134.661</v>
      </c>
      <c r="Q382" s="60">
        <f t="shared" si="25"/>
        <v>763.07899999999995</v>
      </c>
      <c r="R382" s="60">
        <f t="shared" si="26"/>
        <v>512.55999999999995</v>
      </c>
      <c r="S382" s="60">
        <f t="shared" si="27"/>
        <v>250.51900000000001</v>
      </c>
      <c r="T382" s="65">
        <f t="shared" si="28"/>
        <v>0.328300215311914</v>
      </c>
    </row>
    <row r="383" spans="1:20">
      <c r="A383" s="41">
        <f t="shared" si="29"/>
        <v>6</v>
      </c>
      <c r="B383" s="6" t="s">
        <v>524</v>
      </c>
      <c r="C383" s="20">
        <v>45821</v>
      </c>
      <c r="D383" s="6" t="s">
        <v>132</v>
      </c>
      <c r="E383" s="6" t="s">
        <v>89</v>
      </c>
      <c r="F383" s="6" t="s">
        <v>90</v>
      </c>
      <c r="G383" s="6" t="s">
        <v>98</v>
      </c>
      <c r="H383" s="6" t="s">
        <v>124</v>
      </c>
      <c r="I383" s="6" t="s">
        <v>125</v>
      </c>
      <c r="J383" s="25">
        <v>2</v>
      </c>
      <c r="K383" s="21">
        <v>745.18</v>
      </c>
      <c r="L383" s="63">
        <v>0.05</v>
      </c>
      <c r="M383" s="21">
        <v>348.91</v>
      </c>
      <c r="N383" s="6" t="s">
        <v>94</v>
      </c>
      <c r="O383" s="60">
        <f>Vendas2025[[#This Row],[Quantidade]]*Vendas2025[[#This Row],[Preço_Unitário_R$]]</f>
        <v>1490.36</v>
      </c>
      <c r="P383" s="60">
        <f>Vendas2025[[#This Row],[Receita_Bruta_R$]]*Vendas2025[[#This Row],[Desconto_pct]]</f>
        <v>74.518000000000001</v>
      </c>
      <c r="Q383" s="60">
        <f t="shared" si="25"/>
        <v>1415.8419999999999</v>
      </c>
      <c r="R383" s="60">
        <f t="shared" si="26"/>
        <v>697.82</v>
      </c>
      <c r="S383" s="60">
        <f t="shared" si="27"/>
        <v>718.02199999999982</v>
      </c>
      <c r="T383" s="65">
        <f t="shared" si="28"/>
        <v>0.50713427063189243</v>
      </c>
    </row>
    <row r="384" spans="1:20">
      <c r="A384" s="41">
        <f t="shared" si="29"/>
        <v>6</v>
      </c>
      <c r="B384" s="6" t="s">
        <v>525</v>
      </c>
      <c r="C384" s="20">
        <v>45821</v>
      </c>
      <c r="D384" s="6" t="s">
        <v>118</v>
      </c>
      <c r="E384" s="6" t="s">
        <v>114</v>
      </c>
      <c r="F384" s="6" t="s">
        <v>122</v>
      </c>
      <c r="G384" s="6" t="s">
        <v>127</v>
      </c>
      <c r="H384" s="6" t="s">
        <v>99</v>
      </c>
      <c r="I384" s="6" t="s">
        <v>158</v>
      </c>
      <c r="J384" s="25">
        <v>2</v>
      </c>
      <c r="K384" s="21">
        <v>201.64</v>
      </c>
      <c r="L384" s="63">
        <v>0.15</v>
      </c>
      <c r="M384" s="21">
        <v>91.7</v>
      </c>
      <c r="N384" s="6" t="s">
        <v>94</v>
      </c>
      <c r="O384" s="60">
        <f>Vendas2025[[#This Row],[Quantidade]]*Vendas2025[[#This Row],[Preço_Unitário_R$]]</f>
        <v>403.28</v>
      </c>
      <c r="P384" s="60">
        <f>Vendas2025[[#This Row],[Receita_Bruta_R$]]*Vendas2025[[#This Row],[Desconto_pct]]</f>
        <v>60.49199999999999</v>
      </c>
      <c r="Q384" s="60">
        <f t="shared" si="25"/>
        <v>342.78800000000001</v>
      </c>
      <c r="R384" s="60">
        <f t="shared" si="26"/>
        <v>183.4</v>
      </c>
      <c r="S384" s="60">
        <f t="shared" si="27"/>
        <v>159.38800000000001</v>
      </c>
      <c r="T384" s="65">
        <f t="shared" si="28"/>
        <v>0.46497543671307046</v>
      </c>
    </row>
    <row r="385" spans="1:20">
      <c r="A385" s="41">
        <f t="shared" si="29"/>
        <v>6</v>
      </c>
      <c r="B385" s="6" t="s">
        <v>526</v>
      </c>
      <c r="C385" s="20">
        <v>45822</v>
      </c>
      <c r="D385" s="6" t="s">
        <v>136</v>
      </c>
      <c r="E385" s="6" t="s">
        <v>137</v>
      </c>
      <c r="F385" s="6" t="s">
        <v>90</v>
      </c>
      <c r="G385" s="6" t="s">
        <v>115</v>
      </c>
      <c r="H385" s="6" t="s">
        <v>124</v>
      </c>
      <c r="I385" s="6" t="s">
        <v>193</v>
      </c>
      <c r="J385" s="25">
        <v>1</v>
      </c>
      <c r="K385" s="21">
        <v>383.74</v>
      </c>
      <c r="L385" s="63">
        <v>0.2</v>
      </c>
      <c r="M385" s="21">
        <v>172.1</v>
      </c>
      <c r="N385" s="6" t="s">
        <v>94</v>
      </c>
      <c r="O385" s="60">
        <f>Vendas2025[[#This Row],[Quantidade]]*Vendas2025[[#This Row],[Preço_Unitário_R$]]</f>
        <v>383.74</v>
      </c>
      <c r="P385" s="60">
        <f>Vendas2025[[#This Row],[Receita_Bruta_R$]]*Vendas2025[[#This Row],[Desconto_pct]]</f>
        <v>76.748000000000005</v>
      </c>
      <c r="Q385" s="60">
        <f t="shared" si="25"/>
        <v>306.99200000000002</v>
      </c>
      <c r="R385" s="60">
        <f t="shared" si="26"/>
        <v>172.1</v>
      </c>
      <c r="S385" s="60">
        <f t="shared" si="27"/>
        <v>134.89200000000002</v>
      </c>
      <c r="T385" s="65">
        <f t="shared" si="28"/>
        <v>0.43939907228852876</v>
      </c>
    </row>
    <row r="386" spans="1:20">
      <c r="A386" s="41">
        <f t="shared" si="29"/>
        <v>6</v>
      </c>
      <c r="B386" s="6" t="s">
        <v>527</v>
      </c>
      <c r="C386" s="20">
        <v>45822</v>
      </c>
      <c r="D386" s="6" t="s">
        <v>132</v>
      </c>
      <c r="E386" s="6" t="s">
        <v>89</v>
      </c>
      <c r="F386" s="6" t="s">
        <v>122</v>
      </c>
      <c r="G386" s="6" t="s">
        <v>154</v>
      </c>
      <c r="H386" s="6" t="s">
        <v>92</v>
      </c>
      <c r="I386" s="6" t="s">
        <v>93</v>
      </c>
      <c r="J386" s="25">
        <v>1</v>
      </c>
      <c r="K386" s="21">
        <v>243</v>
      </c>
      <c r="L386" s="63">
        <v>0.1</v>
      </c>
      <c r="M386" s="21">
        <v>106.42</v>
      </c>
      <c r="N386" s="6" t="s">
        <v>94</v>
      </c>
      <c r="O386" s="60">
        <f>Vendas2025[[#This Row],[Quantidade]]*Vendas2025[[#This Row],[Preço_Unitário_R$]]</f>
        <v>243</v>
      </c>
      <c r="P386" s="60">
        <f>Vendas2025[[#This Row],[Receita_Bruta_R$]]*Vendas2025[[#This Row],[Desconto_pct]]</f>
        <v>24.3</v>
      </c>
      <c r="Q386" s="60">
        <f t="shared" ref="Q386:Q449" si="30">IF(N386="Concluída",O386-P386,0)</f>
        <v>218.7</v>
      </c>
      <c r="R386" s="60">
        <f t="shared" ref="R386:R449" si="31">IF(N386="Concluída",J386*M386,0)</f>
        <v>106.42</v>
      </c>
      <c r="S386" s="60">
        <f t="shared" ref="S386:S449" si="32">Q386-R386</f>
        <v>112.27999999999999</v>
      </c>
      <c r="T386" s="65">
        <f t="shared" ref="T386:T449" si="33">IF(Q386=0,"",S386/Q386)</f>
        <v>0.51339734796524916</v>
      </c>
    </row>
    <row r="387" spans="1:20">
      <c r="A387" s="41">
        <f t="shared" ref="A387:A450" si="34">MONTH(C387)</f>
        <v>6</v>
      </c>
      <c r="B387" s="6" t="s">
        <v>528</v>
      </c>
      <c r="C387" s="20">
        <v>45823</v>
      </c>
      <c r="D387" s="6" t="s">
        <v>102</v>
      </c>
      <c r="E387" s="6" t="s">
        <v>103</v>
      </c>
      <c r="F387" s="6" t="s">
        <v>104</v>
      </c>
      <c r="G387" s="6" t="s">
        <v>123</v>
      </c>
      <c r="H387" s="6" t="s">
        <v>124</v>
      </c>
      <c r="I387" s="6" t="s">
        <v>193</v>
      </c>
      <c r="J387" s="25">
        <v>1</v>
      </c>
      <c r="K387" s="21">
        <v>374.13</v>
      </c>
      <c r="L387" s="63">
        <v>0.12</v>
      </c>
      <c r="M387" s="21">
        <v>161.49</v>
      </c>
      <c r="N387" s="6" t="s">
        <v>94</v>
      </c>
      <c r="O387" s="60">
        <f>Vendas2025[[#This Row],[Quantidade]]*Vendas2025[[#This Row],[Preço_Unitário_R$]]</f>
        <v>374.13</v>
      </c>
      <c r="P387" s="60">
        <f>Vendas2025[[#This Row],[Receita_Bruta_R$]]*Vendas2025[[#This Row],[Desconto_pct]]</f>
        <v>44.895599999999995</v>
      </c>
      <c r="Q387" s="60">
        <f t="shared" si="30"/>
        <v>329.23439999999999</v>
      </c>
      <c r="R387" s="60">
        <f t="shared" si="31"/>
        <v>161.49</v>
      </c>
      <c r="S387" s="60">
        <f t="shared" si="32"/>
        <v>167.74439999999998</v>
      </c>
      <c r="T387" s="65">
        <f t="shared" si="33"/>
        <v>0.50949839992418766</v>
      </c>
    </row>
    <row r="388" spans="1:20">
      <c r="A388" s="41">
        <f t="shared" si="34"/>
        <v>6</v>
      </c>
      <c r="B388" s="6" t="s">
        <v>529</v>
      </c>
      <c r="C388" s="20">
        <v>45823</v>
      </c>
      <c r="D388" s="6" t="s">
        <v>102</v>
      </c>
      <c r="E388" s="6" t="s">
        <v>103</v>
      </c>
      <c r="F388" s="6" t="s">
        <v>97</v>
      </c>
      <c r="G388" s="6" t="s">
        <v>123</v>
      </c>
      <c r="H388" s="6" t="s">
        <v>92</v>
      </c>
      <c r="I388" s="6" t="s">
        <v>134</v>
      </c>
      <c r="J388" s="25">
        <v>1</v>
      </c>
      <c r="K388" s="21">
        <v>444.94</v>
      </c>
      <c r="L388" s="63">
        <v>0.05</v>
      </c>
      <c r="M388" s="21">
        <v>241.94</v>
      </c>
      <c r="N388" s="6" t="s">
        <v>94</v>
      </c>
      <c r="O388" s="60">
        <f>Vendas2025[[#This Row],[Quantidade]]*Vendas2025[[#This Row],[Preço_Unitário_R$]]</f>
        <v>444.94</v>
      </c>
      <c r="P388" s="60">
        <f>Vendas2025[[#This Row],[Receita_Bruta_R$]]*Vendas2025[[#This Row],[Desconto_pct]]</f>
        <v>22.247</v>
      </c>
      <c r="Q388" s="60">
        <f t="shared" si="30"/>
        <v>422.69299999999998</v>
      </c>
      <c r="R388" s="60">
        <f t="shared" si="31"/>
        <v>241.94</v>
      </c>
      <c r="S388" s="60">
        <f t="shared" si="32"/>
        <v>180.75299999999999</v>
      </c>
      <c r="T388" s="65">
        <f t="shared" si="33"/>
        <v>0.42762241153745151</v>
      </c>
    </row>
    <row r="389" spans="1:20">
      <c r="A389" s="41">
        <f t="shared" si="34"/>
        <v>6</v>
      </c>
      <c r="B389" s="6" t="s">
        <v>530</v>
      </c>
      <c r="C389" s="20">
        <v>45823</v>
      </c>
      <c r="D389" s="6" t="s">
        <v>113</v>
      </c>
      <c r="E389" s="6" t="s">
        <v>114</v>
      </c>
      <c r="F389" s="6" t="s">
        <v>97</v>
      </c>
      <c r="G389" s="6" t="s">
        <v>123</v>
      </c>
      <c r="H389" s="6" t="s">
        <v>119</v>
      </c>
      <c r="I389" s="6" t="s">
        <v>155</v>
      </c>
      <c r="J389" s="25">
        <v>1</v>
      </c>
      <c r="K389" s="21">
        <v>362.26</v>
      </c>
      <c r="L389" s="63">
        <v>0.1</v>
      </c>
      <c r="M389" s="21">
        <v>196.82</v>
      </c>
      <c r="N389" s="6" t="s">
        <v>94</v>
      </c>
      <c r="O389" s="60">
        <f>Vendas2025[[#This Row],[Quantidade]]*Vendas2025[[#This Row],[Preço_Unitário_R$]]</f>
        <v>362.26</v>
      </c>
      <c r="P389" s="60">
        <f>Vendas2025[[#This Row],[Receita_Bruta_R$]]*Vendas2025[[#This Row],[Desconto_pct]]</f>
        <v>36.225999999999999</v>
      </c>
      <c r="Q389" s="60">
        <f t="shared" si="30"/>
        <v>326.03399999999999</v>
      </c>
      <c r="R389" s="60">
        <f t="shared" si="31"/>
        <v>196.82</v>
      </c>
      <c r="S389" s="60">
        <f t="shared" si="32"/>
        <v>129.214</v>
      </c>
      <c r="T389" s="65">
        <f t="shared" si="33"/>
        <v>0.39632062913683852</v>
      </c>
    </row>
    <row r="390" spans="1:20">
      <c r="A390" s="41">
        <f t="shared" si="34"/>
        <v>6</v>
      </c>
      <c r="B390" s="6" t="s">
        <v>531</v>
      </c>
      <c r="C390" s="20">
        <v>45823</v>
      </c>
      <c r="D390" s="6" t="s">
        <v>88</v>
      </c>
      <c r="E390" s="6" t="s">
        <v>89</v>
      </c>
      <c r="F390" s="6" t="s">
        <v>122</v>
      </c>
      <c r="G390" s="6" t="s">
        <v>110</v>
      </c>
      <c r="H390" s="6" t="s">
        <v>119</v>
      </c>
      <c r="I390" s="6" t="s">
        <v>155</v>
      </c>
      <c r="J390" s="25">
        <v>1</v>
      </c>
      <c r="K390" s="21">
        <v>387.03</v>
      </c>
      <c r="L390" s="63">
        <v>0.1</v>
      </c>
      <c r="M390" s="21">
        <v>219.64</v>
      </c>
      <c r="N390" s="6" t="s">
        <v>94</v>
      </c>
      <c r="O390" s="60">
        <f>Vendas2025[[#This Row],[Quantidade]]*Vendas2025[[#This Row],[Preço_Unitário_R$]]</f>
        <v>387.03</v>
      </c>
      <c r="P390" s="60">
        <f>Vendas2025[[#This Row],[Receita_Bruta_R$]]*Vendas2025[[#This Row],[Desconto_pct]]</f>
        <v>38.703000000000003</v>
      </c>
      <c r="Q390" s="60">
        <f t="shared" si="30"/>
        <v>348.327</v>
      </c>
      <c r="R390" s="60">
        <f t="shared" si="31"/>
        <v>219.64</v>
      </c>
      <c r="S390" s="60">
        <f t="shared" si="32"/>
        <v>128.68700000000001</v>
      </c>
      <c r="T390" s="65">
        <f t="shared" si="33"/>
        <v>0.36944308078328703</v>
      </c>
    </row>
    <row r="391" spans="1:20">
      <c r="A391" s="41">
        <f t="shared" si="34"/>
        <v>6</v>
      </c>
      <c r="B391" s="6" t="s">
        <v>532</v>
      </c>
      <c r="C391" s="20">
        <v>45824</v>
      </c>
      <c r="D391" s="6" t="s">
        <v>113</v>
      </c>
      <c r="E391" s="6" t="s">
        <v>114</v>
      </c>
      <c r="F391" s="6" t="s">
        <v>90</v>
      </c>
      <c r="G391" s="6" t="s">
        <v>151</v>
      </c>
      <c r="H391" s="6" t="s">
        <v>119</v>
      </c>
      <c r="I391" s="6" t="s">
        <v>120</v>
      </c>
      <c r="J391" s="25">
        <v>1</v>
      </c>
      <c r="K391" s="21">
        <v>2146.52</v>
      </c>
      <c r="L391" s="63">
        <v>0.1</v>
      </c>
      <c r="M391" s="21">
        <v>1520.65</v>
      </c>
      <c r="N391" s="6" t="s">
        <v>94</v>
      </c>
      <c r="O391" s="60">
        <f>Vendas2025[[#This Row],[Quantidade]]*Vendas2025[[#This Row],[Preço_Unitário_R$]]</f>
        <v>2146.52</v>
      </c>
      <c r="P391" s="60">
        <f>Vendas2025[[#This Row],[Receita_Bruta_R$]]*Vendas2025[[#This Row],[Desconto_pct]]</f>
        <v>214.65200000000002</v>
      </c>
      <c r="Q391" s="60">
        <f t="shared" si="30"/>
        <v>1931.8679999999999</v>
      </c>
      <c r="R391" s="60">
        <f t="shared" si="31"/>
        <v>1520.65</v>
      </c>
      <c r="S391" s="60">
        <f t="shared" si="32"/>
        <v>411.21799999999985</v>
      </c>
      <c r="T391" s="65">
        <f t="shared" si="33"/>
        <v>0.21286029894382011</v>
      </c>
    </row>
    <row r="392" spans="1:20">
      <c r="A392" s="41">
        <f t="shared" si="34"/>
        <v>6</v>
      </c>
      <c r="B392" s="6" t="s">
        <v>533</v>
      </c>
      <c r="C392" s="20">
        <v>45824</v>
      </c>
      <c r="D392" s="6" t="s">
        <v>88</v>
      </c>
      <c r="E392" s="6" t="s">
        <v>89</v>
      </c>
      <c r="F392" s="6" t="s">
        <v>122</v>
      </c>
      <c r="G392" s="6" t="s">
        <v>110</v>
      </c>
      <c r="H392" s="6" t="s">
        <v>99</v>
      </c>
      <c r="I392" s="6" t="s">
        <v>158</v>
      </c>
      <c r="J392" s="25">
        <v>1</v>
      </c>
      <c r="K392" s="21">
        <v>183.49</v>
      </c>
      <c r="L392" s="63">
        <v>0.2</v>
      </c>
      <c r="M392" s="21">
        <v>82.91</v>
      </c>
      <c r="N392" s="6" t="s">
        <v>94</v>
      </c>
      <c r="O392" s="60">
        <f>Vendas2025[[#This Row],[Quantidade]]*Vendas2025[[#This Row],[Preço_Unitário_R$]]</f>
        <v>183.49</v>
      </c>
      <c r="P392" s="60">
        <f>Vendas2025[[#This Row],[Receita_Bruta_R$]]*Vendas2025[[#This Row],[Desconto_pct]]</f>
        <v>36.698</v>
      </c>
      <c r="Q392" s="60">
        <f t="shared" si="30"/>
        <v>146.792</v>
      </c>
      <c r="R392" s="60">
        <f t="shared" si="31"/>
        <v>82.91</v>
      </c>
      <c r="S392" s="60">
        <f t="shared" si="32"/>
        <v>63.882000000000005</v>
      </c>
      <c r="T392" s="65">
        <f t="shared" si="33"/>
        <v>0.43518720366232494</v>
      </c>
    </row>
    <row r="393" spans="1:20">
      <c r="A393" s="41">
        <f t="shared" si="34"/>
        <v>6</v>
      </c>
      <c r="B393" s="6" t="s">
        <v>534</v>
      </c>
      <c r="C393" s="20">
        <v>45825</v>
      </c>
      <c r="D393" s="6" t="s">
        <v>113</v>
      </c>
      <c r="E393" s="6" t="s">
        <v>114</v>
      </c>
      <c r="F393" s="6" t="s">
        <v>122</v>
      </c>
      <c r="G393" s="6" t="s">
        <v>105</v>
      </c>
      <c r="H393" s="6" t="s">
        <v>124</v>
      </c>
      <c r="I393" s="6" t="s">
        <v>199</v>
      </c>
      <c r="J393" s="25">
        <v>1</v>
      </c>
      <c r="K393" s="21">
        <v>334.03</v>
      </c>
      <c r="L393" s="63">
        <v>0.03</v>
      </c>
      <c r="M393" s="21">
        <v>150.56</v>
      </c>
      <c r="N393" s="6" t="s">
        <v>94</v>
      </c>
      <c r="O393" s="60">
        <f>Vendas2025[[#This Row],[Quantidade]]*Vendas2025[[#This Row],[Preço_Unitário_R$]]</f>
        <v>334.03</v>
      </c>
      <c r="P393" s="60">
        <f>Vendas2025[[#This Row],[Receita_Bruta_R$]]*Vendas2025[[#This Row],[Desconto_pct]]</f>
        <v>10.020899999999999</v>
      </c>
      <c r="Q393" s="60">
        <f t="shared" si="30"/>
        <v>324.00909999999999</v>
      </c>
      <c r="R393" s="60">
        <f t="shared" si="31"/>
        <v>150.56</v>
      </c>
      <c r="S393" s="60">
        <f t="shared" si="32"/>
        <v>173.44909999999999</v>
      </c>
      <c r="T393" s="65">
        <f t="shared" si="33"/>
        <v>0.53532169312528566</v>
      </c>
    </row>
    <row r="394" spans="1:20">
      <c r="A394" s="41">
        <f t="shared" si="34"/>
        <v>6</v>
      </c>
      <c r="B394" s="6" t="s">
        <v>535</v>
      </c>
      <c r="C394" s="20">
        <v>45825</v>
      </c>
      <c r="D394" s="6" t="s">
        <v>88</v>
      </c>
      <c r="E394" s="6" t="s">
        <v>89</v>
      </c>
      <c r="F394" s="6" t="s">
        <v>90</v>
      </c>
      <c r="G394" s="6" t="s">
        <v>154</v>
      </c>
      <c r="H394" s="6" t="s">
        <v>124</v>
      </c>
      <c r="I394" s="6" t="s">
        <v>125</v>
      </c>
      <c r="J394" s="25">
        <v>2</v>
      </c>
      <c r="K394" s="21">
        <v>673.43</v>
      </c>
      <c r="L394" s="63">
        <v>0.15</v>
      </c>
      <c r="M394" s="21">
        <v>333.09</v>
      </c>
      <c r="N394" s="6" t="s">
        <v>94</v>
      </c>
      <c r="O394" s="60">
        <f>Vendas2025[[#This Row],[Quantidade]]*Vendas2025[[#This Row],[Preço_Unitário_R$]]</f>
        <v>1346.86</v>
      </c>
      <c r="P394" s="60">
        <f>Vendas2025[[#This Row],[Receita_Bruta_R$]]*Vendas2025[[#This Row],[Desconto_pct]]</f>
        <v>202.02899999999997</v>
      </c>
      <c r="Q394" s="60">
        <f t="shared" si="30"/>
        <v>1144.8309999999999</v>
      </c>
      <c r="R394" s="60">
        <f t="shared" si="31"/>
        <v>666.18</v>
      </c>
      <c r="S394" s="60">
        <f t="shared" si="32"/>
        <v>478.65099999999995</v>
      </c>
      <c r="T394" s="65">
        <f t="shared" si="33"/>
        <v>0.41809751832366521</v>
      </c>
    </row>
    <row r="395" spans="1:20">
      <c r="A395" s="41">
        <f t="shared" si="34"/>
        <v>6</v>
      </c>
      <c r="B395" s="6" t="s">
        <v>536</v>
      </c>
      <c r="C395" s="20">
        <v>45825</v>
      </c>
      <c r="D395" s="6" t="s">
        <v>88</v>
      </c>
      <c r="E395" s="6" t="s">
        <v>89</v>
      </c>
      <c r="F395" s="6" t="s">
        <v>122</v>
      </c>
      <c r="G395" s="6" t="s">
        <v>98</v>
      </c>
      <c r="H395" s="6" t="s">
        <v>106</v>
      </c>
      <c r="I395" s="6" t="s">
        <v>107</v>
      </c>
      <c r="J395" s="25">
        <v>2</v>
      </c>
      <c r="K395" s="21">
        <v>721.91</v>
      </c>
      <c r="L395" s="63">
        <v>0.05</v>
      </c>
      <c r="M395" s="21">
        <v>400.66</v>
      </c>
      <c r="N395" s="6" t="s">
        <v>94</v>
      </c>
      <c r="O395" s="60">
        <f>Vendas2025[[#This Row],[Quantidade]]*Vendas2025[[#This Row],[Preço_Unitário_R$]]</f>
        <v>1443.82</v>
      </c>
      <c r="P395" s="60">
        <f>Vendas2025[[#This Row],[Receita_Bruta_R$]]*Vendas2025[[#This Row],[Desconto_pct]]</f>
        <v>72.191000000000003</v>
      </c>
      <c r="Q395" s="60">
        <f t="shared" si="30"/>
        <v>1371.6289999999999</v>
      </c>
      <c r="R395" s="60">
        <f t="shared" si="31"/>
        <v>801.32</v>
      </c>
      <c r="S395" s="60">
        <f t="shared" si="32"/>
        <v>570.30899999999986</v>
      </c>
      <c r="T395" s="65">
        <f t="shared" si="33"/>
        <v>0.41578954659022221</v>
      </c>
    </row>
    <row r="396" spans="1:20">
      <c r="A396" s="41">
        <f t="shared" si="34"/>
        <v>6</v>
      </c>
      <c r="B396" s="6" t="s">
        <v>537</v>
      </c>
      <c r="C396" s="20">
        <v>45825</v>
      </c>
      <c r="D396" s="6" t="s">
        <v>96</v>
      </c>
      <c r="E396" s="6" t="s">
        <v>89</v>
      </c>
      <c r="F396" s="6" t="s">
        <v>97</v>
      </c>
      <c r="G396" s="6" t="s">
        <v>105</v>
      </c>
      <c r="H396" s="6" t="s">
        <v>124</v>
      </c>
      <c r="I396" s="6" t="s">
        <v>199</v>
      </c>
      <c r="J396" s="25">
        <v>2</v>
      </c>
      <c r="K396" s="21">
        <v>302.02999999999997</v>
      </c>
      <c r="L396" s="63">
        <v>0.08</v>
      </c>
      <c r="M396" s="21">
        <v>141.19999999999999</v>
      </c>
      <c r="N396" s="6" t="s">
        <v>94</v>
      </c>
      <c r="O396" s="60">
        <f>Vendas2025[[#This Row],[Quantidade]]*Vendas2025[[#This Row],[Preço_Unitário_R$]]</f>
        <v>604.05999999999995</v>
      </c>
      <c r="P396" s="60">
        <f>Vendas2025[[#This Row],[Receita_Bruta_R$]]*Vendas2025[[#This Row],[Desconto_pct]]</f>
        <v>48.324799999999996</v>
      </c>
      <c r="Q396" s="60">
        <f t="shared" si="30"/>
        <v>555.73519999999996</v>
      </c>
      <c r="R396" s="60">
        <f t="shared" si="31"/>
        <v>282.39999999999998</v>
      </c>
      <c r="S396" s="60">
        <f t="shared" si="32"/>
        <v>273.33519999999999</v>
      </c>
      <c r="T396" s="65">
        <f t="shared" si="33"/>
        <v>0.49184431722158323</v>
      </c>
    </row>
    <row r="397" spans="1:20">
      <c r="A397" s="41">
        <f t="shared" si="34"/>
        <v>6</v>
      </c>
      <c r="B397" s="6" t="s">
        <v>538</v>
      </c>
      <c r="C397" s="20">
        <v>45826</v>
      </c>
      <c r="D397" s="6" t="s">
        <v>118</v>
      </c>
      <c r="E397" s="6" t="s">
        <v>114</v>
      </c>
      <c r="F397" s="6" t="s">
        <v>97</v>
      </c>
      <c r="G397" s="6" t="s">
        <v>160</v>
      </c>
      <c r="H397" s="6" t="s">
        <v>119</v>
      </c>
      <c r="I397" s="6" t="s">
        <v>120</v>
      </c>
      <c r="J397" s="25">
        <v>2</v>
      </c>
      <c r="K397" s="21">
        <v>2418.2600000000002</v>
      </c>
      <c r="L397" s="63">
        <v>0.1</v>
      </c>
      <c r="M397" s="21">
        <v>1693.5</v>
      </c>
      <c r="N397" s="6" t="s">
        <v>94</v>
      </c>
      <c r="O397" s="60">
        <f>Vendas2025[[#This Row],[Quantidade]]*Vendas2025[[#This Row],[Preço_Unitário_R$]]</f>
        <v>4836.5200000000004</v>
      </c>
      <c r="P397" s="60">
        <f>Vendas2025[[#This Row],[Receita_Bruta_R$]]*Vendas2025[[#This Row],[Desconto_pct]]</f>
        <v>483.65200000000004</v>
      </c>
      <c r="Q397" s="60">
        <f t="shared" si="30"/>
        <v>4352.8680000000004</v>
      </c>
      <c r="R397" s="60">
        <f t="shared" si="31"/>
        <v>3387</v>
      </c>
      <c r="S397" s="60">
        <f t="shared" si="32"/>
        <v>965.86800000000039</v>
      </c>
      <c r="T397" s="65">
        <f t="shared" si="33"/>
        <v>0.22189232478448698</v>
      </c>
    </row>
    <row r="398" spans="1:20">
      <c r="A398" s="41">
        <f t="shared" si="34"/>
        <v>6</v>
      </c>
      <c r="B398" s="6" t="s">
        <v>539</v>
      </c>
      <c r="C398" s="20">
        <v>45826</v>
      </c>
      <c r="D398" s="6" t="s">
        <v>129</v>
      </c>
      <c r="E398" s="6" t="s">
        <v>103</v>
      </c>
      <c r="F398" s="6" t="s">
        <v>90</v>
      </c>
      <c r="G398" s="6" t="s">
        <v>160</v>
      </c>
      <c r="H398" s="6" t="s">
        <v>99</v>
      </c>
      <c r="I398" s="6" t="s">
        <v>158</v>
      </c>
      <c r="J398" s="25">
        <v>2</v>
      </c>
      <c r="K398" s="21">
        <v>183.58</v>
      </c>
      <c r="L398" s="63">
        <v>0.1</v>
      </c>
      <c r="M398" s="21">
        <v>83.28</v>
      </c>
      <c r="N398" s="6" t="s">
        <v>108</v>
      </c>
      <c r="O398" s="60">
        <f>Vendas2025[[#This Row],[Quantidade]]*Vendas2025[[#This Row],[Preço_Unitário_R$]]</f>
        <v>367.16</v>
      </c>
      <c r="P398" s="60">
        <f>Vendas2025[[#This Row],[Receita_Bruta_R$]]*Vendas2025[[#This Row],[Desconto_pct]]</f>
        <v>36.716000000000001</v>
      </c>
      <c r="Q398" s="60">
        <f t="shared" si="30"/>
        <v>0</v>
      </c>
      <c r="R398" s="60">
        <f t="shared" si="31"/>
        <v>0</v>
      </c>
      <c r="S398" s="60">
        <f t="shared" si="32"/>
        <v>0</v>
      </c>
      <c r="T398" s="65" t="str">
        <f t="shared" si="33"/>
        <v/>
      </c>
    </row>
    <row r="399" spans="1:20">
      <c r="A399" s="41">
        <f t="shared" si="34"/>
        <v>6</v>
      </c>
      <c r="B399" s="6" t="s">
        <v>540</v>
      </c>
      <c r="C399" s="20">
        <v>45826</v>
      </c>
      <c r="D399" s="6" t="s">
        <v>102</v>
      </c>
      <c r="E399" s="6" t="s">
        <v>103</v>
      </c>
      <c r="F399" s="6" t="s">
        <v>90</v>
      </c>
      <c r="G399" s="6" t="s">
        <v>127</v>
      </c>
      <c r="H399" s="6" t="s">
        <v>99</v>
      </c>
      <c r="I399" s="6" t="s">
        <v>130</v>
      </c>
      <c r="J399" s="25">
        <v>2</v>
      </c>
      <c r="K399" s="21">
        <v>231.24</v>
      </c>
      <c r="L399" s="63">
        <v>0.25</v>
      </c>
      <c r="M399" s="21">
        <v>108.06</v>
      </c>
      <c r="N399" s="6" t="s">
        <v>94</v>
      </c>
      <c r="O399" s="60">
        <f>Vendas2025[[#This Row],[Quantidade]]*Vendas2025[[#This Row],[Preço_Unitário_R$]]</f>
        <v>462.48</v>
      </c>
      <c r="P399" s="60">
        <f>Vendas2025[[#This Row],[Receita_Bruta_R$]]*Vendas2025[[#This Row],[Desconto_pct]]</f>
        <v>115.62</v>
      </c>
      <c r="Q399" s="60">
        <f t="shared" si="30"/>
        <v>346.86</v>
      </c>
      <c r="R399" s="60">
        <f t="shared" si="31"/>
        <v>216.12</v>
      </c>
      <c r="S399" s="60">
        <f t="shared" si="32"/>
        <v>130.74</v>
      </c>
      <c r="T399" s="65">
        <f t="shared" si="33"/>
        <v>0.37692440754194778</v>
      </c>
    </row>
    <row r="400" spans="1:20">
      <c r="A400" s="41">
        <f t="shared" si="34"/>
        <v>6</v>
      </c>
      <c r="B400" s="6" t="s">
        <v>541</v>
      </c>
      <c r="C400" s="20">
        <v>45826</v>
      </c>
      <c r="D400" s="6" t="s">
        <v>118</v>
      </c>
      <c r="E400" s="6" t="s">
        <v>114</v>
      </c>
      <c r="F400" s="6" t="s">
        <v>122</v>
      </c>
      <c r="G400" s="6" t="s">
        <v>140</v>
      </c>
      <c r="H400" s="6" t="s">
        <v>124</v>
      </c>
      <c r="I400" s="6" t="s">
        <v>125</v>
      </c>
      <c r="J400" s="25">
        <v>1</v>
      </c>
      <c r="K400" s="21">
        <v>650.47</v>
      </c>
      <c r="L400" s="63">
        <v>0.2</v>
      </c>
      <c r="M400" s="21">
        <v>311.97000000000003</v>
      </c>
      <c r="N400" s="6" t="s">
        <v>94</v>
      </c>
      <c r="O400" s="60">
        <f>Vendas2025[[#This Row],[Quantidade]]*Vendas2025[[#This Row],[Preço_Unitário_R$]]</f>
        <v>650.47</v>
      </c>
      <c r="P400" s="60">
        <f>Vendas2025[[#This Row],[Receita_Bruta_R$]]*Vendas2025[[#This Row],[Desconto_pct]]</f>
        <v>130.09400000000002</v>
      </c>
      <c r="Q400" s="60">
        <f t="shared" si="30"/>
        <v>520.37599999999998</v>
      </c>
      <c r="R400" s="60">
        <f t="shared" si="31"/>
        <v>311.97000000000003</v>
      </c>
      <c r="S400" s="60">
        <f t="shared" si="32"/>
        <v>208.40599999999995</v>
      </c>
      <c r="T400" s="65">
        <f t="shared" si="33"/>
        <v>0.40049118329823041</v>
      </c>
    </row>
    <row r="401" spans="1:20">
      <c r="A401" s="41">
        <f t="shared" si="34"/>
        <v>6</v>
      </c>
      <c r="B401" s="6" t="s">
        <v>542</v>
      </c>
      <c r="C401" s="20">
        <v>45826</v>
      </c>
      <c r="D401" s="6" t="s">
        <v>132</v>
      </c>
      <c r="E401" s="6" t="s">
        <v>89</v>
      </c>
      <c r="F401" s="6" t="s">
        <v>122</v>
      </c>
      <c r="G401" s="6" t="s">
        <v>140</v>
      </c>
      <c r="H401" s="6" t="s">
        <v>99</v>
      </c>
      <c r="I401" s="6" t="s">
        <v>158</v>
      </c>
      <c r="J401" s="25">
        <v>1</v>
      </c>
      <c r="K401" s="21">
        <v>176.64</v>
      </c>
      <c r="L401" s="63">
        <v>0.05</v>
      </c>
      <c r="M401" s="21">
        <v>79.94</v>
      </c>
      <c r="N401" s="6" t="s">
        <v>94</v>
      </c>
      <c r="O401" s="60">
        <f>Vendas2025[[#This Row],[Quantidade]]*Vendas2025[[#This Row],[Preço_Unitário_R$]]</f>
        <v>176.64</v>
      </c>
      <c r="P401" s="60">
        <f>Vendas2025[[#This Row],[Receita_Bruta_R$]]*Vendas2025[[#This Row],[Desconto_pct]]</f>
        <v>8.831999999999999</v>
      </c>
      <c r="Q401" s="60">
        <f t="shared" si="30"/>
        <v>167.80799999999999</v>
      </c>
      <c r="R401" s="60">
        <f t="shared" si="31"/>
        <v>79.94</v>
      </c>
      <c r="S401" s="60">
        <f t="shared" si="32"/>
        <v>87.867999999999995</v>
      </c>
      <c r="T401" s="65">
        <f t="shared" si="33"/>
        <v>0.52362223493516402</v>
      </c>
    </row>
    <row r="402" spans="1:20">
      <c r="A402" s="41">
        <f t="shared" si="34"/>
        <v>6</v>
      </c>
      <c r="B402" s="6" t="s">
        <v>543</v>
      </c>
      <c r="C402" s="20">
        <v>45826</v>
      </c>
      <c r="D402" s="6" t="s">
        <v>88</v>
      </c>
      <c r="E402" s="6" t="s">
        <v>89</v>
      </c>
      <c r="F402" s="6" t="s">
        <v>122</v>
      </c>
      <c r="G402" s="6" t="s">
        <v>98</v>
      </c>
      <c r="H402" s="6" t="s">
        <v>106</v>
      </c>
      <c r="I402" s="6" t="s">
        <v>111</v>
      </c>
      <c r="J402" s="25">
        <v>2</v>
      </c>
      <c r="K402" s="21">
        <v>269.18</v>
      </c>
      <c r="L402" s="63">
        <v>0.15</v>
      </c>
      <c r="M402" s="21">
        <v>114.89</v>
      </c>
      <c r="N402" s="6" t="s">
        <v>94</v>
      </c>
      <c r="O402" s="60">
        <f>Vendas2025[[#This Row],[Quantidade]]*Vendas2025[[#This Row],[Preço_Unitário_R$]]</f>
        <v>538.36</v>
      </c>
      <c r="P402" s="60">
        <f>Vendas2025[[#This Row],[Receita_Bruta_R$]]*Vendas2025[[#This Row],[Desconto_pct]]</f>
        <v>80.754000000000005</v>
      </c>
      <c r="Q402" s="60">
        <f t="shared" si="30"/>
        <v>457.60599999999999</v>
      </c>
      <c r="R402" s="60">
        <f t="shared" si="31"/>
        <v>229.78</v>
      </c>
      <c r="S402" s="60">
        <f t="shared" si="32"/>
        <v>227.82599999999999</v>
      </c>
      <c r="T402" s="65">
        <f t="shared" si="33"/>
        <v>0.49786497554664927</v>
      </c>
    </row>
    <row r="403" spans="1:20">
      <c r="A403" s="41">
        <f t="shared" si="34"/>
        <v>6</v>
      </c>
      <c r="B403" s="6" t="s">
        <v>544</v>
      </c>
      <c r="C403" s="20">
        <v>45827</v>
      </c>
      <c r="D403" s="6" t="s">
        <v>88</v>
      </c>
      <c r="E403" s="6" t="s">
        <v>89</v>
      </c>
      <c r="F403" s="6" t="s">
        <v>97</v>
      </c>
      <c r="G403" s="6" t="s">
        <v>127</v>
      </c>
      <c r="H403" s="6" t="s">
        <v>99</v>
      </c>
      <c r="I403" s="6" t="s">
        <v>173</v>
      </c>
      <c r="J403" s="25">
        <v>2</v>
      </c>
      <c r="K403" s="21">
        <v>4159.1400000000003</v>
      </c>
      <c r="L403" s="63">
        <v>0.08</v>
      </c>
      <c r="M403" s="21">
        <v>3224.69</v>
      </c>
      <c r="N403" s="6" t="s">
        <v>94</v>
      </c>
      <c r="O403" s="60">
        <f>Vendas2025[[#This Row],[Quantidade]]*Vendas2025[[#This Row],[Preço_Unitário_R$]]</f>
        <v>8318.2800000000007</v>
      </c>
      <c r="P403" s="60">
        <f>Vendas2025[[#This Row],[Receita_Bruta_R$]]*Vendas2025[[#This Row],[Desconto_pct]]</f>
        <v>665.46240000000012</v>
      </c>
      <c r="Q403" s="60">
        <f t="shared" si="30"/>
        <v>7652.8176000000003</v>
      </c>
      <c r="R403" s="60">
        <f t="shared" si="31"/>
        <v>6449.38</v>
      </c>
      <c r="S403" s="60">
        <f t="shared" si="32"/>
        <v>1203.4376000000002</v>
      </c>
      <c r="T403" s="65">
        <f t="shared" si="33"/>
        <v>0.15725418570017927</v>
      </c>
    </row>
    <row r="404" spans="1:20">
      <c r="A404" s="41">
        <f t="shared" si="34"/>
        <v>6</v>
      </c>
      <c r="B404" s="6" t="s">
        <v>545</v>
      </c>
      <c r="C404" s="20">
        <v>45827</v>
      </c>
      <c r="D404" s="6" t="s">
        <v>129</v>
      </c>
      <c r="E404" s="6" t="s">
        <v>103</v>
      </c>
      <c r="F404" s="6" t="s">
        <v>122</v>
      </c>
      <c r="G404" s="6" t="s">
        <v>105</v>
      </c>
      <c r="H404" s="6" t="s">
        <v>99</v>
      </c>
      <c r="I404" s="6" t="s">
        <v>100</v>
      </c>
      <c r="J404" s="25">
        <v>1</v>
      </c>
      <c r="K404" s="21">
        <v>427.15</v>
      </c>
      <c r="L404" s="63">
        <v>0.2</v>
      </c>
      <c r="M404" s="21">
        <v>255.15</v>
      </c>
      <c r="N404" s="6" t="s">
        <v>94</v>
      </c>
      <c r="O404" s="60">
        <f>Vendas2025[[#This Row],[Quantidade]]*Vendas2025[[#This Row],[Preço_Unitário_R$]]</f>
        <v>427.15</v>
      </c>
      <c r="P404" s="60">
        <f>Vendas2025[[#This Row],[Receita_Bruta_R$]]*Vendas2025[[#This Row],[Desconto_pct]]</f>
        <v>85.43</v>
      </c>
      <c r="Q404" s="60">
        <f t="shared" si="30"/>
        <v>341.71999999999997</v>
      </c>
      <c r="R404" s="60">
        <f t="shared" si="31"/>
        <v>255.15</v>
      </c>
      <c r="S404" s="60">
        <f t="shared" si="32"/>
        <v>86.569999999999965</v>
      </c>
      <c r="T404" s="65">
        <f t="shared" si="33"/>
        <v>0.25333606461430402</v>
      </c>
    </row>
    <row r="405" spans="1:20">
      <c r="A405" s="41">
        <f t="shared" si="34"/>
        <v>6</v>
      </c>
      <c r="B405" s="6" t="s">
        <v>546</v>
      </c>
      <c r="C405" s="20">
        <v>45828</v>
      </c>
      <c r="D405" s="6" t="s">
        <v>102</v>
      </c>
      <c r="E405" s="6" t="s">
        <v>103</v>
      </c>
      <c r="F405" s="6" t="s">
        <v>122</v>
      </c>
      <c r="G405" s="6" t="s">
        <v>115</v>
      </c>
      <c r="H405" s="6" t="s">
        <v>106</v>
      </c>
      <c r="I405" s="6" t="s">
        <v>184</v>
      </c>
      <c r="J405" s="25">
        <v>1</v>
      </c>
      <c r="K405" s="21">
        <v>1243.8800000000001</v>
      </c>
      <c r="L405" s="63">
        <v>0.1</v>
      </c>
      <c r="M405" s="21">
        <v>921.95</v>
      </c>
      <c r="N405" s="6" t="s">
        <v>94</v>
      </c>
      <c r="O405" s="60">
        <f>Vendas2025[[#This Row],[Quantidade]]*Vendas2025[[#This Row],[Preço_Unitário_R$]]</f>
        <v>1243.8800000000001</v>
      </c>
      <c r="P405" s="60">
        <f>Vendas2025[[#This Row],[Receita_Bruta_R$]]*Vendas2025[[#This Row],[Desconto_pct]]</f>
        <v>124.38800000000002</v>
      </c>
      <c r="Q405" s="60">
        <f t="shared" si="30"/>
        <v>1119.4920000000002</v>
      </c>
      <c r="R405" s="60">
        <f t="shared" si="31"/>
        <v>921.95</v>
      </c>
      <c r="S405" s="60">
        <f t="shared" si="32"/>
        <v>197.54200000000014</v>
      </c>
      <c r="T405" s="65">
        <f t="shared" si="33"/>
        <v>0.17645682148688879</v>
      </c>
    </row>
    <row r="406" spans="1:20">
      <c r="A406" s="41">
        <f t="shared" si="34"/>
        <v>6</v>
      </c>
      <c r="B406" s="6" t="s">
        <v>547</v>
      </c>
      <c r="C406" s="20">
        <v>45829</v>
      </c>
      <c r="D406" s="6" t="s">
        <v>129</v>
      </c>
      <c r="E406" s="6" t="s">
        <v>103</v>
      </c>
      <c r="F406" s="6" t="s">
        <v>122</v>
      </c>
      <c r="G406" s="6" t="s">
        <v>115</v>
      </c>
      <c r="H406" s="6" t="s">
        <v>99</v>
      </c>
      <c r="I406" s="6" t="s">
        <v>100</v>
      </c>
      <c r="J406" s="25">
        <v>1</v>
      </c>
      <c r="K406" s="21">
        <v>434.45</v>
      </c>
      <c r="L406" s="63">
        <v>0.05</v>
      </c>
      <c r="M406" s="21">
        <v>245.54</v>
      </c>
      <c r="N406" s="6" t="s">
        <v>94</v>
      </c>
      <c r="O406" s="60">
        <f>Vendas2025[[#This Row],[Quantidade]]*Vendas2025[[#This Row],[Preço_Unitário_R$]]</f>
        <v>434.45</v>
      </c>
      <c r="P406" s="60">
        <f>Vendas2025[[#This Row],[Receita_Bruta_R$]]*Vendas2025[[#This Row],[Desconto_pct]]</f>
        <v>21.7225</v>
      </c>
      <c r="Q406" s="60">
        <f t="shared" si="30"/>
        <v>412.72749999999996</v>
      </c>
      <c r="R406" s="60">
        <f t="shared" si="31"/>
        <v>245.54</v>
      </c>
      <c r="S406" s="60">
        <f t="shared" si="32"/>
        <v>167.18749999999997</v>
      </c>
      <c r="T406" s="65">
        <f t="shared" si="33"/>
        <v>0.40507962275351167</v>
      </c>
    </row>
    <row r="407" spans="1:20">
      <c r="A407" s="41">
        <f t="shared" si="34"/>
        <v>6</v>
      </c>
      <c r="B407" s="6" t="s">
        <v>548</v>
      </c>
      <c r="C407" s="20">
        <v>45829</v>
      </c>
      <c r="D407" s="6" t="s">
        <v>113</v>
      </c>
      <c r="E407" s="6" t="s">
        <v>114</v>
      </c>
      <c r="F407" s="6" t="s">
        <v>97</v>
      </c>
      <c r="G407" s="6" t="s">
        <v>177</v>
      </c>
      <c r="H407" s="6" t="s">
        <v>92</v>
      </c>
      <c r="I407" s="6" t="s">
        <v>144</v>
      </c>
      <c r="J407" s="25">
        <v>1</v>
      </c>
      <c r="K407" s="21">
        <v>146.44999999999999</v>
      </c>
      <c r="L407" s="63">
        <v>0</v>
      </c>
      <c r="M407" s="21">
        <v>51.12</v>
      </c>
      <c r="N407" s="6" t="s">
        <v>94</v>
      </c>
      <c r="O407" s="60">
        <f>Vendas2025[[#This Row],[Quantidade]]*Vendas2025[[#This Row],[Preço_Unitário_R$]]</f>
        <v>146.44999999999999</v>
      </c>
      <c r="P407" s="60">
        <f>Vendas2025[[#This Row],[Receita_Bruta_R$]]*Vendas2025[[#This Row],[Desconto_pct]]</f>
        <v>0</v>
      </c>
      <c r="Q407" s="60">
        <f t="shared" si="30"/>
        <v>146.44999999999999</v>
      </c>
      <c r="R407" s="60">
        <f t="shared" si="31"/>
        <v>51.12</v>
      </c>
      <c r="S407" s="60">
        <f t="shared" si="32"/>
        <v>95.329999999999984</v>
      </c>
      <c r="T407" s="65">
        <f t="shared" si="33"/>
        <v>0.65093888699214741</v>
      </c>
    </row>
    <row r="408" spans="1:20">
      <c r="A408" s="41">
        <f t="shared" si="34"/>
        <v>6</v>
      </c>
      <c r="B408" s="6" t="s">
        <v>549</v>
      </c>
      <c r="C408" s="20">
        <v>45829</v>
      </c>
      <c r="D408" s="6" t="s">
        <v>129</v>
      </c>
      <c r="E408" s="6" t="s">
        <v>103</v>
      </c>
      <c r="F408" s="6" t="s">
        <v>122</v>
      </c>
      <c r="G408" s="6" t="s">
        <v>151</v>
      </c>
      <c r="H408" s="6" t="s">
        <v>124</v>
      </c>
      <c r="I408" s="6" t="s">
        <v>193</v>
      </c>
      <c r="J408" s="25">
        <v>1</v>
      </c>
      <c r="K408" s="21">
        <v>362.12</v>
      </c>
      <c r="L408" s="63">
        <v>0.05</v>
      </c>
      <c r="M408" s="21">
        <v>160.85</v>
      </c>
      <c r="N408" s="6" t="s">
        <v>94</v>
      </c>
      <c r="O408" s="60">
        <f>Vendas2025[[#This Row],[Quantidade]]*Vendas2025[[#This Row],[Preço_Unitário_R$]]</f>
        <v>362.12</v>
      </c>
      <c r="P408" s="60">
        <f>Vendas2025[[#This Row],[Receita_Bruta_R$]]*Vendas2025[[#This Row],[Desconto_pct]]</f>
        <v>18.106000000000002</v>
      </c>
      <c r="Q408" s="60">
        <f t="shared" si="30"/>
        <v>344.01400000000001</v>
      </c>
      <c r="R408" s="60">
        <f t="shared" si="31"/>
        <v>160.85</v>
      </c>
      <c r="S408" s="60">
        <f t="shared" si="32"/>
        <v>183.16400000000002</v>
      </c>
      <c r="T408" s="65">
        <f t="shared" si="33"/>
        <v>0.53243181963524744</v>
      </c>
    </row>
    <row r="409" spans="1:20">
      <c r="A409" s="41">
        <f t="shared" si="34"/>
        <v>6</v>
      </c>
      <c r="B409" s="6" t="s">
        <v>550</v>
      </c>
      <c r="C409" s="20">
        <v>45830</v>
      </c>
      <c r="D409" s="6" t="s">
        <v>132</v>
      </c>
      <c r="E409" s="6" t="s">
        <v>89</v>
      </c>
      <c r="F409" s="6" t="s">
        <v>104</v>
      </c>
      <c r="G409" s="6" t="s">
        <v>91</v>
      </c>
      <c r="H409" s="6" t="s">
        <v>106</v>
      </c>
      <c r="I409" s="6" t="s">
        <v>116</v>
      </c>
      <c r="J409" s="25">
        <v>1</v>
      </c>
      <c r="K409" s="21">
        <v>447.97</v>
      </c>
      <c r="L409" s="63">
        <v>0</v>
      </c>
      <c r="M409" s="21">
        <v>255.12</v>
      </c>
      <c r="N409" s="6" t="s">
        <v>94</v>
      </c>
      <c r="O409" s="60">
        <f>Vendas2025[[#This Row],[Quantidade]]*Vendas2025[[#This Row],[Preço_Unitário_R$]]</f>
        <v>447.97</v>
      </c>
      <c r="P409" s="60">
        <f>Vendas2025[[#This Row],[Receita_Bruta_R$]]*Vendas2025[[#This Row],[Desconto_pct]]</f>
        <v>0</v>
      </c>
      <c r="Q409" s="60">
        <f t="shared" si="30"/>
        <v>447.97</v>
      </c>
      <c r="R409" s="60">
        <f t="shared" si="31"/>
        <v>255.12</v>
      </c>
      <c r="S409" s="60">
        <f t="shared" si="32"/>
        <v>192.85000000000002</v>
      </c>
      <c r="T409" s="65">
        <f t="shared" si="33"/>
        <v>0.43049757796281002</v>
      </c>
    </row>
    <row r="410" spans="1:20">
      <c r="A410" s="41">
        <f t="shared" si="34"/>
        <v>6</v>
      </c>
      <c r="B410" s="6" t="s">
        <v>551</v>
      </c>
      <c r="C410" s="20">
        <v>45830</v>
      </c>
      <c r="D410" s="6" t="s">
        <v>132</v>
      </c>
      <c r="E410" s="6" t="s">
        <v>89</v>
      </c>
      <c r="F410" s="6" t="s">
        <v>104</v>
      </c>
      <c r="G410" s="6" t="s">
        <v>110</v>
      </c>
      <c r="H410" s="6" t="s">
        <v>124</v>
      </c>
      <c r="I410" s="6" t="s">
        <v>193</v>
      </c>
      <c r="J410" s="25">
        <v>2</v>
      </c>
      <c r="K410" s="21">
        <v>396.83</v>
      </c>
      <c r="L410" s="63">
        <v>0.03</v>
      </c>
      <c r="M410" s="21">
        <v>175.01</v>
      </c>
      <c r="N410" s="6" t="s">
        <v>108</v>
      </c>
      <c r="O410" s="60">
        <f>Vendas2025[[#This Row],[Quantidade]]*Vendas2025[[#This Row],[Preço_Unitário_R$]]</f>
        <v>793.66</v>
      </c>
      <c r="P410" s="60">
        <f>Vendas2025[[#This Row],[Receita_Bruta_R$]]*Vendas2025[[#This Row],[Desconto_pct]]</f>
        <v>23.809799999999999</v>
      </c>
      <c r="Q410" s="60">
        <f t="shared" si="30"/>
        <v>0</v>
      </c>
      <c r="R410" s="60">
        <f t="shared" si="31"/>
        <v>0</v>
      </c>
      <c r="S410" s="60">
        <f t="shared" si="32"/>
        <v>0</v>
      </c>
      <c r="T410" s="65" t="str">
        <f t="shared" si="33"/>
        <v/>
      </c>
    </row>
    <row r="411" spans="1:20">
      <c r="A411" s="41">
        <f t="shared" si="34"/>
        <v>6</v>
      </c>
      <c r="B411" s="6" t="s">
        <v>552</v>
      </c>
      <c r="C411" s="20">
        <v>45831</v>
      </c>
      <c r="D411" s="6" t="s">
        <v>96</v>
      </c>
      <c r="E411" s="6" t="s">
        <v>89</v>
      </c>
      <c r="F411" s="6" t="s">
        <v>90</v>
      </c>
      <c r="G411" s="6" t="s">
        <v>140</v>
      </c>
      <c r="H411" s="6" t="s">
        <v>106</v>
      </c>
      <c r="I411" s="6" t="s">
        <v>184</v>
      </c>
      <c r="J411" s="25">
        <v>3</v>
      </c>
      <c r="K411" s="21">
        <v>1151.1099999999999</v>
      </c>
      <c r="L411" s="63">
        <v>0.1</v>
      </c>
      <c r="M411" s="21">
        <v>818.64</v>
      </c>
      <c r="N411" s="6" t="s">
        <v>94</v>
      </c>
      <c r="O411" s="60">
        <f>Vendas2025[[#This Row],[Quantidade]]*Vendas2025[[#This Row],[Preço_Unitário_R$]]</f>
        <v>3453.33</v>
      </c>
      <c r="P411" s="60">
        <f>Vendas2025[[#This Row],[Receita_Bruta_R$]]*Vendas2025[[#This Row],[Desconto_pct]]</f>
        <v>345.33300000000003</v>
      </c>
      <c r="Q411" s="60">
        <f t="shared" si="30"/>
        <v>3107.9969999999998</v>
      </c>
      <c r="R411" s="60">
        <f t="shared" si="31"/>
        <v>2455.92</v>
      </c>
      <c r="S411" s="60">
        <f t="shared" si="32"/>
        <v>652.07699999999977</v>
      </c>
      <c r="T411" s="65">
        <f t="shared" si="33"/>
        <v>0.20980618707160908</v>
      </c>
    </row>
    <row r="412" spans="1:20">
      <c r="A412" s="41">
        <f t="shared" si="34"/>
        <v>6</v>
      </c>
      <c r="B412" s="6" t="s">
        <v>553</v>
      </c>
      <c r="C412" s="20">
        <v>45831</v>
      </c>
      <c r="D412" s="6" t="s">
        <v>129</v>
      </c>
      <c r="E412" s="6" t="s">
        <v>103</v>
      </c>
      <c r="F412" s="6" t="s">
        <v>122</v>
      </c>
      <c r="G412" s="6" t="s">
        <v>115</v>
      </c>
      <c r="H412" s="6" t="s">
        <v>106</v>
      </c>
      <c r="I412" s="6" t="s">
        <v>184</v>
      </c>
      <c r="J412" s="25">
        <v>2</v>
      </c>
      <c r="K412" s="21">
        <v>1118.4000000000001</v>
      </c>
      <c r="L412" s="63">
        <v>0.15</v>
      </c>
      <c r="M412" s="21">
        <v>822.72</v>
      </c>
      <c r="N412" s="6" t="s">
        <v>94</v>
      </c>
      <c r="O412" s="60">
        <f>Vendas2025[[#This Row],[Quantidade]]*Vendas2025[[#This Row],[Preço_Unitário_R$]]</f>
        <v>2236.8000000000002</v>
      </c>
      <c r="P412" s="60">
        <f>Vendas2025[[#This Row],[Receita_Bruta_R$]]*Vendas2025[[#This Row],[Desconto_pct]]</f>
        <v>335.52000000000004</v>
      </c>
      <c r="Q412" s="60">
        <f t="shared" si="30"/>
        <v>1901.2800000000002</v>
      </c>
      <c r="R412" s="60">
        <f t="shared" si="31"/>
        <v>1645.44</v>
      </c>
      <c r="S412" s="60">
        <f t="shared" si="32"/>
        <v>255.84000000000015</v>
      </c>
      <c r="T412" s="65">
        <f t="shared" si="33"/>
        <v>0.13456197929815708</v>
      </c>
    </row>
    <row r="413" spans="1:20">
      <c r="A413" s="41">
        <f t="shared" si="34"/>
        <v>6</v>
      </c>
      <c r="B413" s="6" t="s">
        <v>554</v>
      </c>
      <c r="C413" s="20">
        <v>45831</v>
      </c>
      <c r="D413" s="6" t="s">
        <v>96</v>
      </c>
      <c r="E413" s="6" t="s">
        <v>89</v>
      </c>
      <c r="F413" s="6" t="s">
        <v>97</v>
      </c>
      <c r="G413" s="6" t="s">
        <v>127</v>
      </c>
      <c r="H413" s="6" t="s">
        <v>92</v>
      </c>
      <c r="I413" s="6" t="s">
        <v>144</v>
      </c>
      <c r="J413" s="25">
        <v>1</v>
      </c>
      <c r="K413" s="21">
        <v>155.94999999999999</v>
      </c>
      <c r="L413" s="63">
        <v>0.08</v>
      </c>
      <c r="M413" s="21">
        <v>55.02</v>
      </c>
      <c r="N413" s="6" t="s">
        <v>94</v>
      </c>
      <c r="O413" s="60">
        <f>Vendas2025[[#This Row],[Quantidade]]*Vendas2025[[#This Row],[Preço_Unitário_R$]]</f>
        <v>155.94999999999999</v>
      </c>
      <c r="P413" s="60">
        <f>Vendas2025[[#This Row],[Receita_Bruta_R$]]*Vendas2025[[#This Row],[Desconto_pct]]</f>
        <v>12.475999999999999</v>
      </c>
      <c r="Q413" s="60">
        <f t="shared" si="30"/>
        <v>143.47399999999999</v>
      </c>
      <c r="R413" s="60">
        <f t="shared" si="31"/>
        <v>55.02</v>
      </c>
      <c r="S413" s="60">
        <f t="shared" si="32"/>
        <v>88.453999999999979</v>
      </c>
      <c r="T413" s="65">
        <f t="shared" si="33"/>
        <v>0.61651588441111271</v>
      </c>
    </row>
    <row r="414" spans="1:20">
      <c r="A414" s="41">
        <f t="shared" si="34"/>
        <v>6</v>
      </c>
      <c r="B414" s="6" t="s">
        <v>555</v>
      </c>
      <c r="C414" s="20">
        <v>45831</v>
      </c>
      <c r="D414" s="6" t="s">
        <v>113</v>
      </c>
      <c r="E414" s="6" t="s">
        <v>114</v>
      </c>
      <c r="F414" s="6" t="s">
        <v>122</v>
      </c>
      <c r="G414" s="6" t="s">
        <v>160</v>
      </c>
      <c r="H414" s="6" t="s">
        <v>99</v>
      </c>
      <c r="I414" s="6" t="s">
        <v>163</v>
      </c>
      <c r="J414" s="25">
        <v>1</v>
      </c>
      <c r="K414" s="21">
        <v>1237.33</v>
      </c>
      <c r="L414" s="63">
        <v>0.2</v>
      </c>
      <c r="M414" s="21">
        <v>897.65</v>
      </c>
      <c r="N414" s="6" t="s">
        <v>94</v>
      </c>
      <c r="O414" s="60">
        <f>Vendas2025[[#This Row],[Quantidade]]*Vendas2025[[#This Row],[Preço_Unitário_R$]]</f>
        <v>1237.33</v>
      </c>
      <c r="P414" s="60">
        <f>Vendas2025[[#This Row],[Receita_Bruta_R$]]*Vendas2025[[#This Row],[Desconto_pct]]</f>
        <v>247.46600000000001</v>
      </c>
      <c r="Q414" s="60">
        <f t="shared" si="30"/>
        <v>989.86399999999992</v>
      </c>
      <c r="R414" s="60">
        <f t="shared" si="31"/>
        <v>897.65</v>
      </c>
      <c r="S414" s="60">
        <f t="shared" si="32"/>
        <v>92.213999999999942</v>
      </c>
      <c r="T414" s="65">
        <f t="shared" si="33"/>
        <v>9.3158252042704809E-2</v>
      </c>
    </row>
    <row r="415" spans="1:20">
      <c r="A415" s="41">
        <f t="shared" si="34"/>
        <v>6</v>
      </c>
      <c r="B415" s="6" t="s">
        <v>556</v>
      </c>
      <c r="C415" s="20">
        <v>45832</v>
      </c>
      <c r="D415" s="6" t="s">
        <v>96</v>
      </c>
      <c r="E415" s="6" t="s">
        <v>89</v>
      </c>
      <c r="F415" s="6" t="s">
        <v>122</v>
      </c>
      <c r="G415" s="6" t="s">
        <v>140</v>
      </c>
      <c r="H415" s="6" t="s">
        <v>124</v>
      </c>
      <c r="I415" s="6" t="s">
        <v>125</v>
      </c>
      <c r="J415" s="25">
        <v>1</v>
      </c>
      <c r="K415" s="21">
        <v>710.83</v>
      </c>
      <c r="L415" s="63">
        <v>0.2</v>
      </c>
      <c r="M415" s="21">
        <v>329.9</v>
      </c>
      <c r="N415" s="6" t="s">
        <v>94</v>
      </c>
      <c r="O415" s="60">
        <f>Vendas2025[[#This Row],[Quantidade]]*Vendas2025[[#This Row],[Preço_Unitário_R$]]</f>
        <v>710.83</v>
      </c>
      <c r="P415" s="60">
        <f>Vendas2025[[#This Row],[Receita_Bruta_R$]]*Vendas2025[[#This Row],[Desconto_pct]]</f>
        <v>142.16600000000003</v>
      </c>
      <c r="Q415" s="60">
        <f t="shared" si="30"/>
        <v>568.66399999999999</v>
      </c>
      <c r="R415" s="60">
        <f t="shared" si="31"/>
        <v>329.9</v>
      </c>
      <c r="S415" s="60">
        <f t="shared" si="32"/>
        <v>238.76400000000001</v>
      </c>
      <c r="T415" s="65">
        <f t="shared" si="33"/>
        <v>0.4198683229464148</v>
      </c>
    </row>
    <row r="416" spans="1:20">
      <c r="A416" s="41">
        <f t="shared" si="34"/>
        <v>6</v>
      </c>
      <c r="B416" s="6" t="s">
        <v>557</v>
      </c>
      <c r="C416" s="20">
        <v>45832</v>
      </c>
      <c r="D416" s="6" t="s">
        <v>113</v>
      </c>
      <c r="E416" s="6" t="s">
        <v>114</v>
      </c>
      <c r="F416" s="6" t="s">
        <v>122</v>
      </c>
      <c r="G416" s="6" t="s">
        <v>91</v>
      </c>
      <c r="H416" s="6" t="s">
        <v>92</v>
      </c>
      <c r="I416" s="6" t="s">
        <v>144</v>
      </c>
      <c r="J416" s="25">
        <v>1</v>
      </c>
      <c r="K416" s="21">
        <v>148.12</v>
      </c>
      <c r="L416" s="63">
        <v>0.2</v>
      </c>
      <c r="M416" s="21">
        <v>53.14</v>
      </c>
      <c r="N416" s="6" t="s">
        <v>94</v>
      </c>
      <c r="O416" s="60">
        <f>Vendas2025[[#This Row],[Quantidade]]*Vendas2025[[#This Row],[Preço_Unitário_R$]]</f>
        <v>148.12</v>
      </c>
      <c r="P416" s="60">
        <f>Vendas2025[[#This Row],[Receita_Bruta_R$]]*Vendas2025[[#This Row],[Desconto_pct]]</f>
        <v>29.624000000000002</v>
      </c>
      <c r="Q416" s="60">
        <f t="shared" si="30"/>
        <v>118.49600000000001</v>
      </c>
      <c r="R416" s="60">
        <f t="shared" si="31"/>
        <v>53.14</v>
      </c>
      <c r="S416" s="60">
        <f t="shared" si="32"/>
        <v>65.356000000000009</v>
      </c>
      <c r="T416" s="65">
        <f t="shared" si="33"/>
        <v>0.55154604374831218</v>
      </c>
    </row>
    <row r="417" spans="1:20">
      <c r="A417" s="41">
        <f t="shared" si="34"/>
        <v>6</v>
      </c>
      <c r="B417" s="6" t="s">
        <v>558</v>
      </c>
      <c r="C417" s="20">
        <v>45832</v>
      </c>
      <c r="D417" s="6" t="s">
        <v>96</v>
      </c>
      <c r="E417" s="6" t="s">
        <v>89</v>
      </c>
      <c r="F417" s="6" t="s">
        <v>90</v>
      </c>
      <c r="G417" s="6" t="s">
        <v>123</v>
      </c>
      <c r="H417" s="6" t="s">
        <v>119</v>
      </c>
      <c r="I417" s="6" t="s">
        <v>155</v>
      </c>
      <c r="J417" s="25">
        <v>1</v>
      </c>
      <c r="K417" s="21">
        <v>385.98</v>
      </c>
      <c r="L417" s="63">
        <v>0.05</v>
      </c>
      <c r="M417" s="21">
        <v>210.27</v>
      </c>
      <c r="N417" s="6" t="s">
        <v>94</v>
      </c>
      <c r="O417" s="60">
        <f>Vendas2025[[#This Row],[Quantidade]]*Vendas2025[[#This Row],[Preço_Unitário_R$]]</f>
        <v>385.98</v>
      </c>
      <c r="P417" s="60">
        <f>Vendas2025[[#This Row],[Receita_Bruta_R$]]*Vendas2025[[#This Row],[Desconto_pct]]</f>
        <v>19.299000000000003</v>
      </c>
      <c r="Q417" s="60">
        <f t="shared" si="30"/>
        <v>366.68100000000004</v>
      </c>
      <c r="R417" s="60">
        <f t="shared" si="31"/>
        <v>210.27</v>
      </c>
      <c r="S417" s="60">
        <f t="shared" si="32"/>
        <v>156.41100000000003</v>
      </c>
      <c r="T417" s="65">
        <f t="shared" si="33"/>
        <v>0.42655877997496466</v>
      </c>
    </row>
    <row r="418" spans="1:20">
      <c r="A418" s="41">
        <f t="shared" si="34"/>
        <v>6</v>
      </c>
      <c r="B418" s="6" t="s">
        <v>559</v>
      </c>
      <c r="C418" s="20">
        <v>45833</v>
      </c>
      <c r="D418" s="6" t="s">
        <v>96</v>
      </c>
      <c r="E418" s="6" t="s">
        <v>89</v>
      </c>
      <c r="F418" s="6" t="s">
        <v>122</v>
      </c>
      <c r="G418" s="6" t="s">
        <v>123</v>
      </c>
      <c r="H418" s="6" t="s">
        <v>92</v>
      </c>
      <c r="I418" s="6" t="s">
        <v>144</v>
      </c>
      <c r="J418" s="25">
        <v>2</v>
      </c>
      <c r="K418" s="21">
        <v>150.5</v>
      </c>
      <c r="L418" s="63">
        <v>0.1</v>
      </c>
      <c r="M418" s="21">
        <v>52.61</v>
      </c>
      <c r="N418" s="6" t="s">
        <v>94</v>
      </c>
      <c r="O418" s="60">
        <f>Vendas2025[[#This Row],[Quantidade]]*Vendas2025[[#This Row],[Preço_Unitário_R$]]</f>
        <v>301</v>
      </c>
      <c r="P418" s="60">
        <f>Vendas2025[[#This Row],[Receita_Bruta_R$]]*Vendas2025[[#This Row],[Desconto_pct]]</f>
        <v>30.1</v>
      </c>
      <c r="Q418" s="60">
        <f t="shared" si="30"/>
        <v>270.89999999999998</v>
      </c>
      <c r="R418" s="60">
        <f t="shared" si="31"/>
        <v>105.22</v>
      </c>
      <c r="S418" s="60">
        <f t="shared" si="32"/>
        <v>165.67999999999998</v>
      </c>
      <c r="T418" s="65">
        <f t="shared" si="33"/>
        <v>0.61159099298634179</v>
      </c>
    </row>
    <row r="419" spans="1:20">
      <c r="A419" s="41">
        <f t="shared" si="34"/>
        <v>6</v>
      </c>
      <c r="B419" s="6" t="s">
        <v>560</v>
      </c>
      <c r="C419" s="20">
        <v>45833</v>
      </c>
      <c r="D419" s="6" t="s">
        <v>102</v>
      </c>
      <c r="E419" s="6" t="s">
        <v>103</v>
      </c>
      <c r="F419" s="6" t="s">
        <v>122</v>
      </c>
      <c r="G419" s="6" t="s">
        <v>91</v>
      </c>
      <c r="H419" s="6" t="s">
        <v>106</v>
      </c>
      <c r="I419" s="6" t="s">
        <v>184</v>
      </c>
      <c r="J419" s="25">
        <v>1</v>
      </c>
      <c r="K419" s="21">
        <v>1283.3399999999999</v>
      </c>
      <c r="L419" s="63">
        <v>0.03</v>
      </c>
      <c r="M419" s="21">
        <v>959.44</v>
      </c>
      <c r="N419" s="6" t="s">
        <v>94</v>
      </c>
      <c r="O419" s="60">
        <f>Vendas2025[[#This Row],[Quantidade]]*Vendas2025[[#This Row],[Preço_Unitário_R$]]</f>
        <v>1283.3399999999999</v>
      </c>
      <c r="P419" s="60">
        <f>Vendas2025[[#This Row],[Receita_Bruta_R$]]*Vendas2025[[#This Row],[Desconto_pct]]</f>
        <v>38.5002</v>
      </c>
      <c r="Q419" s="60">
        <f t="shared" si="30"/>
        <v>1244.8398</v>
      </c>
      <c r="R419" s="60">
        <f t="shared" si="31"/>
        <v>959.44</v>
      </c>
      <c r="S419" s="60">
        <f t="shared" si="32"/>
        <v>285.39979999999991</v>
      </c>
      <c r="T419" s="65">
        <f t="shared" si="33"/>
        <v>0.2292662879191362</v>
      </c>
    </row>
    <row r="420" spans="1:20">
      <c r="A420" s="41">
        <f t="shared" si="34"/>
        <v>6</v>
      </c>
      <c r="B420" s="6" t="s">
        <v>561</v>
      </c>
      <c r="C420" s="20">
        <v>45833</v>
      </c>
      <c r="D420" s="6" t="s">
        <v>102</v>
      </c>
      <c r="E420" s="6" t="s">
        <v>103</v>
      </c>
      <c r="F420" s="6" t="s">
        <v>97</v>
      </c>
      <c r="G420" s="6" t="s">
        <v>110</v>
      </c>
      <c r="H420" s="6" t="s">
        <v>99</v>
      </c>
      <c r="I420" s="6" t="s">
        <v>158</v>
      </c>
      <c r="J420" s="25">
        <v>1</v>
      </c>
      <c r="K420" s="21">
        <v>188.72</v>
      </c>
      <c r="L420" s="63">
        <v>0.1</v>
      </c>
      <c r="M420" s="21">
        <v>84.08</v>
      </c>
      <c r="N420" s="6" t="s">
        <v>94</v>
      </c>
      <c r="O420" s="60">
        <f>Vendas2025[[#This Row],[Quantidade]]*Vendas2025[[#This Row],[Preço_Unitário_R$]]</f>
        <v>188.72</v>
      </c>
      <c r="P420" s="60">
        <f>Vendas2025[[#This Row],[Receita_Bruta_R$]]*Vendas2025[[#This Row],[Desconto_pct]]</f>
        <v>18.872</v>
      </c>
      <c r="Q420" s="60">
        <f t="shared" si="30"/>
        <v>169.84800000000001</v>
      </c>
      <c r="R420" s="60">
        <f t="shared" si="31"/>
        <v>84.08</v>
      </c>
      <c r="S420" s="60">
        <f t="shared" si="32"/>
        <v>85.768000000000015</v>
      </c>
      <c r="T420" s="65">
        <f t="shared" si="33"/>
        <v>0.50496914888606292</v>
      </c>
    </row>
    <row r="421" spans="1:20">
      <c r="A421" s="41">
        <f t="shared" si="34"/>
        <v>6</v>
      </c>
      <c r="B421" s="6" t="s">
        <v>562</v>
      </c>
      <c r="C421" s="20">
        <v>45833</v>
      </c>
      <c r="D421" s="6" t="s">
        <v>113</v>
      </c>
      <c r="E421" s="6" t="s">
        <v>114</v>
      </c>
      <c r="F421" s="6" t="s">
        <v>97</v>
      </c>
      <c r="G421" s="6" t="s">
        <v>110</v>
      </c>
      <c r="H421" s="6" t="s">
        <v>106</v>
      </c>
      <c r="I421" s="6" t="s">
        <v>116</v>
      </c>
      <c r="J421" s="25">
        <v>1</v>
      </c>
      <c r="K421" s="21">
        <v>453.14</v>
      </c>
      <c r="L421" s="63">
        <v>0</v>
      </c>
      <c r="M421" s="21">
        <v>242.48</v>
      </c>
      <c r="N421" s="6" t="s">
        <v>94</v>
      </c>
      <c r="O421" s="60">
        <f>Vendas2025[[#This Row],[Quantidade]]*Vendas2025[[#This Row],[Preço_Unitário_R$]]</f>
        <v>453.14</v>
      </c>
      <c r="P421" s="60">
        <f>Vendas2025[[#This Row],[Receita_Bruta_R$]]*Vendas2025[[#This Row],[Desconto_pct]]</f>
        <v>0</v>
      </c>
      <c r="Q421" s="60">
        <f t="shared" si="30"/>
        <v>453.14</v>
      </c>
      <c r="R421" s="60">
        <f t="shared" si="31"/>
        <v>242.48</v>
      </c>
      <c r="S421" s="60">
        <f t="shared" si="32"/>
        <v>210.66</v>
      </c>
      <c r="T421" s="65">
        <f t="shared" si="33"/>
        <v>0.46488943814273737</v>
      </c>
    </row>
    <row r="422" spans="1:20">
      <c r="A422" s="41">
        <f t="shared" si="34"/>
        <v>6</v>
      </c>
      <c r="B422" s="6" t="s">
        <v>563</v>
      </c>
      <c r="C422" s="20">
        <v>45834</v>
      </c>
      <c r="D422" s="6" t="s">
        <v>136</v>
      </c>
      <c r="E422" s="6" t="s">
        <v>137</v>
      </c>
      <c r="F422" s="6" t="s">
        <v>90</v>
      </c>
      <c r="G422" s="6" t="s">
        <v>127</v>
      </c>
      <c r="H422" s="6" t="s">
        <v>119</v>
      </c>
      <c r="I422" s="6" t="s">
        <v>141</v>
      </c>
      <c r="J422" s="25">
        <v>1</v>
      </c>
      <c r="K422" s="21">
        <v>2987.86</v>
      </c>
      <c r="L422" s="63">
        <v>0.2</v>
      </c>
      <c r="M422" s="21">
        <v>2100.4499999999998</v>
      </c>
      <c r="N422" s="6" t="s">
        <v>94</v>
      </c>
      <c r="O422" s="60">
        <f>Vendas2025[[#This Row],[Quantidade]]*Vendas2025[[#This Row],[Preço_Unitário_R$]]</f>
        <v>2987.86</v>
      </c>
      <c r="P422" s="60">
        <f>Vendas2025[[#This Row],[Receita_Bruta_R$]]*Vendas2025[[#This Row],[Desconto_pct]]</f>
        <v>597.572</v>
      </c>
      <c r="Q422" s="60">
        <f t="shared" si="30"/>
        <v>2390.288</v>
      </c>
      <c r="R422" s="60">
        <f t="shared" si="31"/>
        <v>2100.4499999999998</v>
      </c>
      <c r="S422" s="60">
        <f t="shared" si="32"/>
        <v>289.83800000000019</v>
      </c>
      <c r="T422" s="65">
        <f t="shared" si="33"/>
        <v>0.12125651804301414</v>
      </c>
    </row>
    <row r="423" spans="1:20">
      <c r="A423" s="41">
        <f t="shared" si="34"/>
        <v>6</v>
      </c>
      <c r="B423" s="6" t="s">
        <v>564</v>
      </c>
      <c r="C423" s="20">
        <v>45836</v>
      </c>
      <c r="D423" s="6" t="s">
        <v>88</v>
      </c>
      <c r="E423" s="6" t="s">
        <v>89</v>
      </c>
      <c r="F423" s="6" t="s">
        <v>90</v>
      </c>
      <c r="G423" s="6" t="s">
        <v>151</v>
      </c>
      <c r="H423" s="6" t="s">
        <v>106</v>
      </c>
      <c r="I423" s="6" t="s">
        <v>107</v>
      </c>
      <c r="J423" s="25">
        <v>1</v>
      </c>
      <c r="K423" s="21">
        <v>673.96</v>
      </c>
      <c r="L423" s="63">
        <v>0.2</v>
      </c>
      <c r="M423" s="21">
        <v>375.23</v>
      </c>
      <c r="N423" s="6" t="s">
        <v>108</v>
      </c>
      <c r="O423" s="60">
        <f>Vendas2025[[#This Row],[Quantidade]]*Vendas2025[[#This Row],[Preço_Unitário_R$]]</f>
        <v>673.96</v>
      </c>
      <c r="P423" s="60">
        <f>Vendas2025[[#This Row],[Receita_Bruta_R$]]*Vendas2025[[#This Row],[Desconto_pct]]</f>
        <v>134.792</v>
      </c>
      <c r="Q423" s="60">
        <f t="shared" si="30"/>
        <v>0</v>
      </c>
      <c r="R423" s="60">
        <f t="shared" si="31"/>
        <v>0</v>
      </c>
      <c r="S423" s="60">
        <f t="shared" si="32"/>
        <v>0</v>
      </c>
      <c r="T423" s="65" t="str">
        <f t="shared" si="33"/>
        <v/>
      </c>
    </row>
    <row r="424" spans="1:20">
      <c r="A424" s="41">
        <f t="shared" si="34"/>
        <v>6</v>
      </c>
      <c r="B424" s="6" t="s">
        <v>565</v>
      </c>
      <c r="C424" s="20">
        <v>45836</v>
      </c>
      <c r="D424" s="6" t="s">
        <v>129</v>
      </c>
      <c r="E424" s="6" t="s">
        <v>103</v>
      </c>
      <c r="F424" s="6" t="s">
        <v>122</v>
      </c>
      <c r="G424" s="6" t="s">
        <v>105</v>
      </c>
      <c r="H424" s="6" t="s">
        <v>92</v>
      </c>
      <c r="I424" s="6" t="s">
        <v>144</v>
      </c>
      <c r="J424" s="25">
        <v>2</v>
      </c>
      <c r="K424" s="21">
        <v>156.81</v>
      </c>
      <c r="L424" s="63">
        <v>0.05</v>
      </c>
      <c r="M424" s="21">
        <v>56.18</v>
      </c>
      <c r="N424" s="6" t="s">
        <v>94</v>
      </c>
      <c r="O424" s="60">
        <f>Vendas2025[[#This Row],[Quantidade]]*Vendas2025[[#This Row],[Preço_Unitário_R$]]</f>
        <v>313.62</v>
      </c>
      <c r="P424" s="60">
        <f>Vendas2025[[#This Row],[Receita_Bruta_R$]]*Vendas2025[[#This Row],[Desconto_pct]]</f>
        <v>15.681000000000001</v>
      </c>
      <c r="Q424" s="60">
        <f t="shared" si="30"/>
        <v>297.93900000000002</v>
      </c>
      <c r="R424" s="60">
        <f t="shared" si="31"/>
        <v>112.36</v>
      </c>
      <c r="S424" s="60">
        <f t="shared" si="32"/>
        <v>185.57900000000001</v>
      </c>
      <c r="T424" s="65">
        <f t="shared" si="33"/>
        <v>0.62287582357462434</v>
      </c>
    </row>
    <row r="425" spans="1:20">
      <c r="A425" s="41">
        <f t="shared" si="34"/>
        <v>7</v>
      </c>
      <c r="B425" s="6" t="s">
        <v>566</v>
      </c>
      <c r="C425" s="20">
        <v>45839</v>
      </c>
      <c r="D425" s="6" t="s">
        <v>136</v>
      </c>
      <c r="E425" s="6" t="s">
        <v>137</v>
      </c>
      <c r="F425" s="6" t="s">
        <v>97</v>
      </c>
      <c r="G425" s="6" t="s">
        <v>91</v>
      </c>
      <c r="H425" s="6" t="s">
        <v>92</v>
      </c>
      <c r="I425" s="6" t="s">
        <v>144</v>
      </c>
      <c r="J425" s="25">
        <v>3</v>
      </c>
      <c r="K425" s="21">
        <v>155.65</v>
      </c>
      <c r="L425" s="63">
        <v>0.1</v>
      </c>
      <c r="M425" s="21">
        <v>55.9</v>
      </c>
      <c r="N425" s="6" t="s">
        <v>94</v>
      </c>
      <c r="O425" s="60">
        <f>Vendas2025[[#This Row],[Quantidade]]*Vendas2025[[#This Row],[Preço_Unitário_R$]]</f>
        <v>466.95000000000005</v>
      </c>
      <c r="P425" s="60">
        <f>Vendas2025[[#This Row],[Receita_Bruta_R$]]*Vendas2025[[#This Row],[Desconto_pct]]</f>
        <v>46.695000000000007</v>
      </c>
      <c r="Q425" s="60">
        <f t="shared" si="30"/>
        <v>420.25500000000005</v>
      </c>
      <c r="R425" s="60">
        <f t="shared" si="31"/>
        <v>167.7</v>
      </c>
      <c r="S425" s="60">
        <f t="shared" si="32"/>
        <v>252.55500000000006</v>
      </c>
      <c r="T425" s="65">
        <f t="shared" si="33"/>
        <v>0.60095656208730419</v>
      </c>
    </row>
    <row r="426" spans="1:20">
      <c r="A426" s="41">
        <f t="shared" si="34"/>
        <v>7</v>
      </c>
      <c r="B426" s="6" t="s">
        <v>567</v>
      </c>
      <c r="C426" s="20">
        <v>45839</v>
      </c>
      <c r="D426" s="6" t="s">
        <v>96</v>
      </c>
      <c r="E426" s="6" t="s">
        <v>89</v>
      </c>
      <c r="F426" s="6" t="s">
        <v>97</v>
      </c>
      <c r="G426" s="6" t="s">
        <v>177</v>
      </c>
      <c r="H426" s="6" t="s">
        <v>106</v>
      </c>
      <c r="I426" s="6" t="s">
        <v>111</v>
      </c>
      <c r="J426" s="25">
        <v>1</v>
      </c>
      <c r="K426" s="21">
        <v>276.17</v>
      </c>
      <c r="L426" s="63">
        <v>0.05</v>
      </c>
      <c r="M426" s="21">
        <v>119.34</v>
      </c>
      <c r="N426" s="6" t="s">
        <v>108</v>
      </c>
      <c r="O426" s="60">
        <f>Vendas2025[[#This Row],[Quantidade]]*Vendas2025[[#This Row],[Preço_Unitário_R$]]</f>
        <v>276.17</v>
      </c>
      <c r="P426" s="60">
        <f>Vendas2025[[#This Row],[Receita_Bruta_R$]]*Vendas2025[[#This Row],[Desconto_pct]]</f>
        <v>13.808500000000002</v>
      </c>
      <c r="Q426" s="60">
        <f t="shared" si="30"/>
        <v>0</v>
      </c>
      <c r="R426" s="60">
        <f t="shared" si="31"/>
        <v>0</v>
      </c>
      <c r="S426" s="60">
        <f t="shared" si="32"/>
        <v>0</v>
      </c>
      <c r="T426" s="65" t="str">
        <f t="shared" si="33"/>
        <v/>
      </c>
    </row>
    <row r="427" spans="1:20">
      <c r="A427" s="41">
        <f t="shared" si="34"/>
        <v>7</v>
      </c>
      <c r="B427" s="6" t="s">
        <v>568</v>
      </c>
      <c r="C427" s="20">
        <v>45840</v>
      </c>
      <c r="D427" s="6" t="s">
        <v>132</v>
      </c>
      <c r="E427" s="6" t="s">
        <v>89</v>
      </c>
      <c r="F427" s="6" t="s">
        <v>97</v>
      </c>
      <c r="G427" s="6" t="s">
        <v>115</v>
      </c>
      <c r="H427" s="6" t="s">
        <v>119</v>
      </c>
      <c r="I427" s="6" t="s">
        <v>138</v>
      </c>
      <c r="J427" s="25">
        <v>1</v>
      </c>
      <c r="K427" s="21">
        <v>129.41999999999999</v>
      </c>
      <c r="L427" s="63">
        <v>0.08</v>
      </c>
      <c r="M427" s="21">
        <v>52.38</v>
      </c>
      <c r="N427" s="6" t="s">
        <v>94</v>
      </c>
      <c r="O427" s="60">
        <f>Vendas2025[[#This Row],[Quantidade]]*Vendas2025[[#This Row],[Preço_Unitário_R$]]</f>
        <v>129.41999999999999</v>
      </c>
      <c r="P427" s="60">
        <f>Vendas2025[[#This Row],[Receita_Bruta_R$]]*Vendas2025[[#This Row],[Desconto_pct]]</f>
        <v>10.353599999999998</v>
      </c>
      <c r="Q427" s="60">
        <f t="shared" si="30"/>
        <v>119.06639999999999</v>
      </c>
      <c r="R427" s="60">
        <f t="shared" si="31"/>
        <v>52.38</v>
      </c>
      <c r="S427" s="60">
        <f t="shared" si="32"/>
        <v>66.686399999999992</v>
      </c>
      <c r="T427" s="65">
        <f t="shared" si="33"/>
        <v>0.56007740218903068</v>
      </c>
    </row>
    <row r="428" spans="1:20">
      <c r="A428" s="41">
        <f t="shared" si="34"/>
        <v>7</v>
      </c>
      <c r="B428" s="6" t="s">
        <v>569</v>
      </c>
      <c r="C428" s="20">
        <v>45840</v>
      </c>
      <c r="D428" s="6" t="s">
        <v>129</v>
      </c>
      <c r="E428" s="6" t="s">
        <v>103</v>
      </c>
      <c r="F428" s="6" t="s">
        <v>90</v>
      </c>
      <c r="G428" s="6" t="s">
        <v>123</v>
      </c>
      <c r="H428" s="6" t="s">
        <v>99</v>
      </c>
      <c r="I428" s="6" t="s">
        <v>163</v>
      </c>
      <c r="J428" s="25">
        <v>1</v>
      </c>
      <c r="K428" s="21">
        <v>1278.4100000000001</v>
      </c>
      <c r="L428" s="63">
        <v>0.25</v>
      </c>
      <c r="M428" s="21">
        <v>894.85</v>
      </c>
      <c r="N428" s="6" t="s">
        <v>94</v>
      </c>
      <c r="O428" s="60">
        <f>Vendas2025[[#This Row],[Quantidade]]*Vendas2025[[#This Row],[Preço_Unitário_R$]]</f>
        <v>1278.4100000000001</v>
      </c>
      <c r="P428" s="60">
        <f>Vendas2025[[#This Row],[Receita_Bruta_R$]]*Vendas2025[[#This Row],[Desconto_pct]]</f>
        <v>319.60250000000002</v>
      </c>
      <c r="Q428" s="60">
        <f t="shared" si="30"/>
        <v>958.80750000000012</v>
      </c>
      <c r="R428" s="60">
        <f t="shared" si="31"/>
        <v>894.85</v>
      </c>
      <c r="S428" s="60">
        <f t="shared" si="32"/>
        <v>63.957500000000095</v>
      </c>
      <c r="T428" s="65">
        <f t="shared" si="33"/>
        <v>6.6705256268854887E-2</v>
      </c>
    </row>
    <row r="429" spans="1:20">
      <c r="A429" s="41">
        <f t="shared" si="34"/>
        <v>7</v>
      </c>
      <c r="B429" s="6" t="s">
        <v>570</v>
      </c>
      <c r="C429" s="20">
        <v>45841</v>
      </c>
      <c r="D429" s="6" t="s">
        <v>132</v>
      </c>
      <c r="E429" s="6" t="s">
        <v>89</v>
      </c>
      <c r="F429" s="6" t="s">
        <v>90</v>
      </c>
      <c r="G429" s="6" t="s">
        <v>110</v>
      </c>
      <c r="H429" s="6" t="s">
        <v>106</v>
      </c>
      <c r="I429" s="6" t="s">
        <v>107</v>
      </c>
      <c r="J429" s="25">
        <v>1</v>
      </c>
      <c r="K429" s="21">
        <v>663.99</v>
      </c>
      <c r="L429" s="63">
        <v>0.1</v>
      </c>
      <c r="M429" s="21">
        <v>363.67</v>
      </c>
      <c r="N429" s="6" t="s">
        <v>94</v>
      </c>
      <c r="O429" s="60">
        <f>Vendas2025[[#This Row],[Quantidade]]*Vendas2025[[#This Row],[Preço_Unitário_R$]]</f>
        <v>663.99</v>
      </c>
      <c r="P429" s="60">
        <f>Vendas2025[[#This Row],[Receita_Bruta_R$]]*Vendas2025[[#This Row],[Desconto_pct]]</f>
        <v>66.399000000000001</v>
      </c>
      <c r="Q429" s="60">
        <f t="shared" si="30"/>
        <v>597.59100000000001</v>
      </c>
      <c r="R429" s="60">
        <f t="shared" si="31"/>
        <v>363.67</v>
      </c>
      <c r="S429" s="60">
        <f t="shared" si="32"/>
        <v>233.92099999999999</v>
      </c>
      <c r="T429" s="65">
        <f t="shared" si="33"/>
        <v>0.39143996479197307</v>
      </c>
    </row>
    <row r="430" spans="1:20">
      <c r="A430" s="41">
        <f t="shared" si="34"/>
        <v>7</v>
      </c>
      <c r="B430" s="6" t="s">
        <v>571</v>
      </c>
      <c r="C430" s="20">
        <v>45841</v>
      </c>
      <c r="D430" s="6" t="s">
        <v>96</v>
      </c>
      <c r="E430" s="6" t="s">
        <v>89</v>
      </c>
      <c r="F430" s="6" t="s">
        <v>122</v>
      </c>
      <c r="G430" s="6" t="s">
        <v>177</v>
      </c>
      <c r="H430" s="6" t="s">
        <v>92</v>
      </c>
      <c r="I430" s="6" t="s">
        <v>134</v>
      </c>
      <c r="J430" s="25">
        <v>1</v>
      </c>
      <c r="K430" s="21">
        <v>395.17</v>
      </c>
      <c r="L430" s="63">
        <v>0.15</v>
      </c>
      <c r="M430" s="21">
        <v>224.21</v>
      </c>
      <c r="N430" s="6" t="s">
        <v>94</v>
      </c>
      <c r="O430" s="60">
        <f>Vendas2025[[#This Row],[Quantidade]]*Vendas2025[[#This Row],[Preço_Unitário_R$]]</f>
        <v>395.17</v>
      </c>
      <c r="P430" s="60">
        <f>Vendas2025[[#This Row],[Receita_Bruta_R$]]*Vendas2025[[#This Row],[Desconto_pct]]</f>
        <v>59.275500000000001</v>
      </c>
      <c r="Q430" s="60">
        <f t="shared" si="30"/>
        <v>335.89449999999999</v>
      </c>
      <c r="R430" s="60">
        <f t="shared" si="31"/>
        <v>224.21</v>
      </c>
      <c r="S430" s="60">
        <f t="shared" si="32"/>
        <v>111.68449999999999</v>
      </c>
      <c r="T430" s="65">
        <f t="shared" si="33"/>
        <v>0.33249874588598499</v>
      </c>
    </row>
    <row r="431" spans="1:20">
      <c r="A431" s="41">
        <f t="shared" si="34"/>
        <v>7</v>
      </c>
      <c r="B431" s="6" t="s">
        <v>572</v>
      </c>
      <c r="C431" s="20">
        <v>45841</v>
      </c>
      <c r="D431" s="6" t="s">
        <v>132</v>
      </c>
      <c r="E431" s="6" t="s">
        <v>89</v>
      </c>
      <c r="F431" s="6" t="s">
        <v>122</v>
      </c>
      <c r="G431" s="6" t="s">
        <v>140</v>
      </c>
      <c r="H431" s="6" t="s">
        <v>106</v>
      </c>
      <c r="I431" s="6" t="s">
        <v>170</v>
      </c>
      <c r="J431" s="25">
        <v>2</v>
      </c>
      <c r="K431" s="21">
        <v>528.29999999999995</v>
      </c>
      <c r="L431" s="63">
        <v>0.05</v>
      </c>
      <c r="M431" s="21">
        <v>280.12</v>
      </c>
      <c r="N431" s="6" t="s">
        <v>94</v>
      </c>
      <c r="O431" s="60">
        <f>Vendas2025[[#This Row],[Quantidade]]*Vendas2025[[#This Row],[Preço_Unitário_R$]]</f>
        <v>1056.5999999999999</v>
      </c>
      <c r="P431" s="60">
        <f>Vendas2025[[#This Row],[Receita_Bruta_R$]]*Vendas2025[[#This Row],[Desconto_pct]]</f>
        <v>52.83</v>
      </c>
      <c r="Q431" s="60">
        <f t="shared" si="30"/>
        <v>1003.7699999999999</v>
      </c>
      <c r="R431" s="60">
        <f t="shared" si="31"/>
        <v>560.24</v>
      </c>
      <c r="S431" s="60">
        <f t="shared" si="32"/>
        <v>443.52999999999986</v>
      </c>
      <c r="T431" s="65">
        <f t="shared" si="33"/>
        <v>0.44186417207129114</v>
      </c>
    </row>
    <row r="432" spans="1:20">
      <c r="A432" s="41">
        <f t="shared" si="34"/>
        <v>7</v>
      </c>
      <c r="B432" s="6" t="s">
        <v>573</v>
      </c>
      <c r="C432" s="20">
        <v>45841</v>
      </c>
      <c r="D432" s="6" t="s">
        <v>118</v>
      </c>
      <c r="E432" s="6" t="s">
        <v>114</v>
      </c>
      <c r="F432" s="6" t="s">
        <v>97</v>
      </c>
      <c r="G432" s="6" t="s">
        <v>140</v>
      </c>
      <c r="H432" s="6" t="s">
        <v>119</v>
      </c>
      <c r="I432" s="6" t="s">
        <v>138</v>
      </c>
      <c r="J432" s="25">
        <v>2</v>
      </c>
      <c r="K432" s="21">
        <v>128.69</v>
      </c>
      <c r="L432" s="63">
        <v>0.15</v>
      </c>
      <c r="M432" s="21">
        <v>53.52</v>
      </c>
      <c r="N432" s="6" t="s">
        <v>94</v>
      </c>
      <c r="O432" s="60">
        <f>Vendas2025[[#This Row],[Quantidade]]*Vendas2025[[#This Row],[Preço_Unitário_R$]]</f>
        <v>257.38</v>
      </c>
      <c r="P432" s="60">
        <f>Vendas2025[[#This Row],[Receita_Bruta_R$]]*Vendas2025[[#This Row],[Desconto_pct]]</f>
        <v>38.606999999999999</v>
      </c>
      <c r="Q432" s="60">
        <f t="shared" si="30"/>
        <v>218.773</v>
      </c>
      <c r="R432" s="60">
        <f t="shared" si="31"/>
        <v>107.04</v>
      </c>
      <c r="S432" s="60">
        <f t="shared" si="32"/>
        <v>111.73299999999999</v>
      </c>
      <c r="T432" s="65">
        <f t="shared" si="33"/>
        <v>0.51072572940902206</v>
      </c>
    </row>
    <row r="433" spans="1:20">
      <c r="A433" s="41">
        <f t="shared" si="34"/>
        <v>7</v>
      </c>
      <c r="B433" s="6" t="s">
        <v>574</v>
      </c>
      <c r="C433" s="20">
        <v>45841</v>
      </c>
      <c r="D433" s="6" t="s">
        <v>136</v>
      </c>
      <c r="E433" s="6" t="s">
        <v>137</v>
      </c>
      <c r="F433" s="6" t="s">
        <v>90</v>
      </c>
      <c r="G433" s="6" t="s">
        <v>91</v>
      </c>
      <c r="H433" s="6" t="s">
        <v>99</v>
      </c>
      <c r="I433" s="6" t="s">
        <v>130</v>
      </c>
      <c r="J433" s="25">
        <v>1</v>
      </c>
      <c r="K433" s="21">
        <v>232.73</v>
      </c>
      <c r="L433" s="63">
        <v>0.25</v>
      </c>
      <c r="M433" s="21">
        <v>116.13</v>
      </c>
      <c r="N433" s="6" t="s">
        <v>94</v>
      </c>
      <c r="O433" s="60">
        <f>Vendas2025[[#This Row],[Quantidade]]*Vendas2025[[#This Row],[Preço_Unitário_R$]]</f>
        <v>232.73</v>
      </c>
      <c r="P433" s="60">
        <f>Vendas2025[[#This Row],[Receita_Bruta_R$]]*Vendas2025[[#This Row],[Desconto_pct]]</f>
        <v>58.182499999999997</v>
      </c>
      <c r="Q433" s="60">
        <f t="shared" si="30"/>
        <v>174.54749999999999</v>
      </c>
      <c r="R433" s="60">
        <f t="shared" si="31"/>
        <v>116.13</v>
      </c>
      <c r="S433" s="60">
        <f t="shared" si="32"/>
        <v>58.41749999999999</v>
      </c>
      <c r="T433" s="65">
        <f t="shared" si="33"/>
        <v>0.33467967172259699</v>
      </c>
    </row>
    <row r="434" spans="1:20">
      <c r="A434" s="41">
        <f t="shared" si="34"/>
        <v>7</v>
      </c>
      <c r="B434" s="6" t="s">
        <v>575</v>
      </c>
      <c r="C434" s="20">
        <v>45841</v>
      </c>
      <c r="D434" s="6" t="s">
        <v>118</v>
      </c>
      <c r="E434" s="6" t="s">
        <v>114</v>
      </c>
      <c r="F434" s="6" t="s">
        <v>97</v>
      </c>
      <c r="G434" s="6" t="s">
        <v>140</v>
      </c>
      <c r="H434" s="6" t="s">
        <v>99</v>
      </c>
      <c r="I434" s="6" t="s">
        <v>158</v>
      </c>
      <c r="J434" s="25">
        <v>2</v>
      </c>
      <c r="K434" s="21">
        <v>189.66</v>
      </c>
      <c r="L434" s="63">
        <v>0.15</v>
      </c>
      <c r="M434" s="21">
        <v>84.42</v>
      </c>
      <c r="N434" s="6" t="s">
        <v>94</v>
      </c>
      <c r="O434" s="60">
        <f>Vendas2025[[#This Row],[Quantidade]]*Vendas2025[[#This Row],[Preço_Unitário_R$]]</f>
        <v>379.32</v>
      </c>
      <c r="P434" s="60">
        <f>Vendas2025[[#This Row],[Receita_Bruta_R$]]*Vendas2025[[#This Row],[Desconto_pct]]</f>
        <v>56.897999999999996</v>
      </c>
      <c r="Q434" s="60">
        <f t="shared" si="30"/>
        <v>322.42200000000003</v>
      </c>
      <c r="R434" s="60">
        <f t="shared" si="31"/>
        <v>168.84</v>
      </c>
      <c r="S434" s="60">
        <f t="shared" si="32"/>
        <v>153.58200000000002</v>
      </c>
      <c r="T434" s="65">
        <f t="shared" si="33"/>
        <v>0.47633846325622947</v>
      </c>
    </row>
    <row r="435" spans="1:20">
      <c r="A435" s="41">
        <f t="shared" si="34"/>
        <v>7</v>
      </c>
      <c r="B435" s="6" t="s">
        <v>576</v>
      </c>
      <c r="C435" s="20">
        <v>45842</v>
      </c>
      <c r="D435" s="6" t="s">
        <v>136</v>
      </c>
      <c r="E435" s="6" t="s">
        <v>137</v>
      </c>
      <c r="F435" s="6" t="s">
        <v>97</v>
      </c>
      <c r="G435" s="6" t="s">
        <v>154</v>
      </c>
      <c r="H435" s="6" t="s">
        <v>92</v>
      </c>
      <c r="I435" s="6" t="s">
        <v>134</v>
      </c>
      <c r="J435" s="25">
        <v>1</v>
      </c>
      <c r="K435" s="21">
        <v>402.77</v>
      </c>
      <c r="L435" s="63">
        <v>0.08</v>
      </c>
      <c r="M435" s="21">
        <v>226.56</v>
      </c>
      <c r="N435" s="6" t="s">
        <v>94</v>
      </c>
      <c r="O435" s="60">
        <f>Vendas2025[[#This Row],[Quantidade]]*Vendas2025[[#This Row],[Preço_Unitário_R$]]</f>
        <v>402.77</v>
      </c>
      <c r="P435" s="60">
        <f>Vendas2025[[#This Row],[Receita_Bruta_R$]]*Vendas2025[[#This Row],[Desconto_pct]]</f>
        <v>32.221600000000002</v>
      </c>
      <c r="Q435" s="60">
        <f t="shared" si="30"/>
        <v>370.54839999999996</v>
      </c>
      <c r="R435" s="60">
        <f t="shared" si="31"/>
        <v>226.56</v>
      </c>
      <c r="S435" s="60">
        <f t="shared" si="32"/>
        <v>143.98839999999996</v>
      </c>
      <c r="T435" s="65">
        <f t="shared" si="33"/>
        <v>0.38858189645401242</v>
      </c>
    </row>
    <row r="436" spans="1:20">
      <c r="A436" s="41">
        <f t="shared" si="34"/>
        <v>7</v>
      </c>
      <c r="B436" s="6" t="s">
        <v>577</v>
      </c>
      <c r="C436" s="20">
        <v>45842</v>
      </c>
      <c r="D436" s="6" t="s">
        <v>129</v>
      </c>
      <c r="E436" s="6" t="s">
        <v>103</v>
      </c>
      <c r="F436" s="6" t="s">
        <v>122</v>
      </c>
      <c r="G436" s="6" t="s">
        <v>127</v>
      </c>
      <c r="H436" s="6" t="s">
        <v>106</v>
      </c>
      <c r="I436" s="6" t="s">
        <v>170</v>
      </c>
      <c r="J436" s="25">
        <v>2</v>
      </c>
      <c r="K436" s="21">
        <v>570.23</v>
      </c>
      <c r="L436" s="63">
        <v>0.2</v>
      </c>
      <c r="M436" s="21">
        <v>284.69</v>
      </c>
      <c r="N436" s="6" t="s">
        <v>108</v>
      </c>
      <c r="O436" s="60">
        <f>Vendas2025[[#This Row],[Quantidade]]*Vendas2025[[#This Row],[Preço_Unitário_R$]]</f>
        <v>1140.46</v>
      </c>
      <c r="P436" s="60">
        <f>Vendas2025[[#This Row],[Receita_Bruta_R$]]*Vendas2025[[#This Row],[Desconto_pct]]</f>
        <v>228.09200000000001</v>
      </c>
      <c r="Q436" s="60">
        <f t="shared" si="30"/>
        <v>0</v>
      </c>
      <c r="R436" s="60">
        <f t="shared" si="31"/>
        <v>0</v>
      </c>
      <c r="S436" s="60">
        <f t="shared" si="32"/>
        <v>0</v>
      </c>
      <c r="T436" s="65" t="str">
        <f t="shared" si="33"/>
        <v/>
      </c>
    </row>
    <row r="437" spans="1:20">
      <c r="A437" s="41">
        <f t="shared" si="34"/>
        <v>7</v>
      </c>
      <c r="B437" s="6" t="s">
        <v>578</v>
      </c>
      <c r="C437" s="20">
        <v>45842</v>
      </c>
      <c r="D437" s="6" t="s">
        <v>132</v>
      </c>
      <c r="E437" s="6" t="s">
        <v>89</v>
      </c>
      <c r="F437" s="6" t="s">
        <v>90</v>
      </c>
      <c r="G437" s="6" t="s">
        <v>98</v>
      </c>
      <c r="H437" s="6" t="s">
        <v>124</v>
      </c>
      <c r="I437" s="6" t="s">
        <v>199</v>
      </c>
      <c r="J437" s="25">
        <v>1</v>
      </c>
      <c r="K437" s="21">
        <v>336.01</v>
      </c>
      <c r="L437" s="63">
        <v>0.05</v>
      </c>
      <c r="M437" s="21">
        <v>153.11000000000001</v>
      </c>
      <c r="N437" s="6" t="s">
        <v>245</v>
      </c>
      <c r="O437" s="60">
        <f>Vendas2025[[#This Row],[Quantidade]]*Vendas2025[[#This Row],[Preço_Unitário_R$]]</f>
        <v>336.01</v>
      </c>
      <c r="P437" s="60">
        <f>Vendas2025[[#This Row],[Receita_Bruta_R$]]*Vendas2025[[#This Row],[Desconto_pct]]</f>
        <v>16.8005</v>
      </c>
      <c r="Q437" s="60">
        <f t="shared" si="30"/>
        <v>0</v>
      </c>
      <c r="R437" s="60">
        <f t="shared" si="31"/>
        <v>0</v>
      </c>
      <c r="S437" s="60">
        <f t="shared" si="32"/>
        <v>0</v>
      </c>
      <c r="T437" s="65" t="str">
        <f t="shared" si="33"/>
        <v/>
      </c>
    </row>
    <row r="438" spans="1:20">
      <c r="A438" s="41">
        <f t="shared" si="34"/>
        <v>7</v>
      </c>
      <c r="B438" s="6" t="s">
        <v>579</v>
      </c>
      <c r="C438" s="20">
        <v>45843</v>
      </c>
      <c r="D438" s="6" t="s">
        <v>102</v>
      </c>
      <c r="E438" s="6" t="s">
        <v>103</v>
      </c>
      <c r="F438" s="6" t="s">
        <v>122</v>
      </c>
      <c r="G438" s="6" t="s">
        <v>91</v>
      </c>
      <c r="H438" s="6" t="s">
        <v>92</v>
      </c>
      <c r="I438" s="6" t="s">
        <v>144</v>
      </c>
      <c r="J438" s="25">
        <v>1</v>
      </c>
      <c r="K438" s="21">
        <v>147.76</v>
      </c>
      <c r="L438" s="63">
        <v>0.15</v>
      </c>
      <c r="M438" s="21">
        <v>51.32</v>
      </c>
      <c r="N438" s="6" t="s">
        <v>94</v>
      </c>
      <c r="O438" s="60">
        <f>Vendas2025[[#This Row],[Quantidade]]*Vendas2025[[#This Row],[Preço_Unitário_R$]]</f>
        <v>147.76</v>
      </c>
      <c r="P438" s="60">
        <f>Vendas2025[[#This Row],[Receita_Bruta_R$]]*Vendas2025[[#This Row],[Desconto_pct]]</f>
        <v>22.163999999999998</v>
      </c>
      <c r="Q438" s="60">
        <f t="shared" si="30"/>
        <v>125.59599999999999</v>
      </c>
      <c r="R438" s="60">
        <f t="shared" si="31"/>
        <v>51.32</v>
      </c>
      <c r="S438" s="60">
        <f t="shared" si="32"/>
        <v>74.275999999999982</v>
      </c>
      <c r="T438" s="65">
        <f t="shared" si="33"/>
        <v>0.59138826077263595</v>
      </c>
    </row>
    <row r="439" spans="1:20">
      <c r="A439" s="41">
        <f t="shared" si="34"/>
        <v>7</v>
      </c>
      <c r="B439" s="6" t="s">
        <v>580</v>
      </c>
      <c r="C439" s="20">
        <v>45843</v>
      </c>
      <c r="D439" s="6" t="s">
        <v>113</v>
      </c>
      <c r="E439" s="6" t="s">
        <v>114</v>
      </c>
      <c r="F439" s="6" t="s">
        <v>97</v>
      </c>
      <c r="G439" s="6" t="s">
        <v>91</v>
      </c>
      <c r="H439" s="6" t="s">
        <v>124</v>
      </c>
      <c r="I439" s="6" t="s">
        <v>193</v>
      </c>
      <c r="J439" s="25">
        <v>1</v>
      </c>
      <c r="K439" s="21">
        <v>393.56</v>
      </c>
      <c r="L439" s="63">
        <v>0</v>
      </c>
      <c r="M439" s="21">
        <v>169.72</v>
      </c>
      <c r="N439" s="6" t="s">
        <v>94</v>
      </c>
      <c r="O439" s="60">
        <f>Vendas2025[[#This Row],[Quantidade]]*Vendas2025[[#This Row],[Preço_Unitário_R$]]</f>
        <v>393.56</v>
      </c>
      <c r="P439" s="60">
        <f>Vendas2025[[#This Row],[Receita_Bruta_R$]]*Vendas2025[[#This Row],[Desconto_pct]]</f>
        <v>0</v>
      </c>
      <c r="Q439" s="60">
        <f t="shared" si="30"/>
        <v>393.56</v>
      </c>
      <c r="R439" s="60">
        <f t="shared" si="31"/>
        <v>169.72</v>
      </c>
      <c r="S439" s="60">
        <f t="shared" si="32"/>
        <v>223.84</v>
      </c>
      <c r="T439" s="65">
        <f t="shared" si="33"/>
        <v>0.5687569874987296</v>
      </c>
    </row>
    <row r="440" spans="1:20">
      <c r="A440" s="41">
        <f t="shared" si="34"/>
        <v>7</v>
      </c>
      <c r="B440" s="6" t="s">
        <v>581</v>
      </c>
      <c r="C440" s="20">
        <v>45844</v>
      </c>
      <c r="D440" s="6" t="s">
        <v>118</v>
      </c>
      <c r="E440" s="6" t="s">
        <v>114</v>
      </c>
      <c r="F440" s="6" t="s">
        <v>122</v>
      </c>
      <c r="G440" s="6" t="s">
        <v>140</v>
      </c>
      <c r="H440" s="6" t="s">
        <v>99</v>
      </c>
      <c r="I440" s="6" t="s">
        <v>158</v>
      </c>
      <c r="J440" s="25">
        <v>1</v>
      </c>
      <c r="K440" s="21">
        <v>176.26</v>
      </c>
      <c r="L440" s="63">
        <v>0.05</v>
      </c>
      <c r="M440" s="21">
        <v>79.459999999999994</v>
      </c>
      <c r="N440" s="6" t="s">
        <v>94</v>
      </c>
      <c r="O440" s="60">
        <f>Vendas2025[[#This Row],[Quantidade]]*Vendas2025[[#This Row],[Preço_Unitário_R$]]</f>
        <v>176.26</v>
      </c>
      <c r="P440" s="60">
        <f>Vendas2025[[#This Row],[Receita_Bruta_R$]]*Vendas2025[[#This Row],[Desconto_pct]]</f>
        <v>8.8130000000000006</v>
      </c>
      <c r="Q440" s="60">
        <f t="shared" si="30"/>
        <v>167.447</v>
      </c>
      <c r="R440" s="60">
        <f t="shared" si="31"/>
        <v>79.459999999999994</v>
      </c>
      <c r="S440" s="60">
        <f t="shared" si="32"/>
        <v>87.987000000000009</v>
      </c>
      <c r="T440" s="65">
        <f t="shared" si="33"/>
        <v>0.5254617879090101</v>
      </c>
    </row>
    <row r="441" spans="1:20">
      <c r="A441" s="41">
        <f t="shared" si="34"/>
        <v>7</v>
      </c>
      <c r="B441" s="6" t="s">
        <v>582</v>
      </c>
      <c r="C441" s="20">
        <v>45844</v>
      </c>
      <c r="D441" s="6" t="s">
        <v>102</v>
      </c>
      <c r="E441" s="6" t="s">
        <v>103</v>
      </c>
      <c r="F441" s="6" t="s">
        <v>90</v>
      </c>
      <c r="G441" s="6" t="s">
        <v>123</v>
      </c>
      <c r="H441" s="6" t="s">
        <v>106</v>
      </c>
      <c r="I441" s="6" t="s">
        <v>107</v>
      </c>
      <c r="J441" s="25">
        <v>1</v>
      </c>
      <c r="K441" s="21">
        <v>655.43</v>
      </c>
      <c r="L441" s="63">
        <v>0.05</v>
      </c>
      <c r="M441" s="21">
        <v>370.85</v>
      </c>
      <c r="N441" s="6" t="s">
        <v>94</v>
      </c>
      <c r="O441" s="60">
        <f>Vendas2025[[#This Row],[Quantidade]]*Vendas2025[[#This Row],[Preço_Unitário_R$]]</f>
        <v>655.43</v>
      </c>
      <c r="P441" s="60">
        <f>Vendas2025[[#This Row],[Receita_Bruta_R$]]*Vendas2025[[#This Row],[Desconto_pct]]</f>
        <v>32.771499999999996</v>
      </c>
      <c r="Q441" s="60">
        <f t="shared" si="30"/>
        <v>622.6585</v>
      </c>
      <c r="R441" s="60">
        <f t="shared" si="31"/>
        <v>370.85</v>
      </c>
      <c r="S441" s="60">
        <f t="shared" si="32"/>
        <v>251.80849999999998</v>
      </c>
      <c r="T441" s="65">
        <f t="shared" si="33"/>
        <v>0.40440867666626246</v>
      </c>
    </row>
    <row r="442" spans="1:20">
      <c r="A442" s="41">
        <f t="shared" si="34"/>
        <v>7</v>
      </c>
      <c r="B442" s="6" t="s">
        <v>583</v>
      </c>
      <c r="C442" s="20">
        <v>45844</v>
      </c>
      <c r="D442" s="6" t="s">
        <v>129</v>
      </c>
      <c r="E442" s="6" t="s">
        <v>103</v>
      </c>
      <c r="F442" s="6" t="s">
        <v>97</v>
      </c>
      <c r="G442" s="6" t="s">
        <v>160</v>
      </c>
      <c r="H442" s="6" t="s">
        <v>124</v>
      </c>
      <c r="I442" s="6" t="s">
        <v>125</v>
      </c>
      <c r="J442" s="25">
        <v>1</v>
      </c>
      <c r="K442" s="21">
        <v>710.42</v>
      </c>
      <c r="L442" s="63">
        <v>0</v>
      </c>
      <c r="M442" s="21">
        <v>347.46</v>
      </c>
      <c r="N442" s="6" t="s">
        <v>94</v>
      </c>
      <c r="O442" s="60">
        <f>Vendas2025[[#This Row],[Quantidade]]*Vendas2025[[#This Row],[Preço_Unitário_R$]]</f>
        <v>710.42</v>
      </c>
      <c r="P442" s="60">
        <f>Vendas2025[[#This Row],[Receita_Bruta_R$]]*Vendas2025[[#This Row],[Desconto_pct]]</f>
        <v>0</v>
      </c>
      <c r="Q442" s="60">
        <f t="shared" si="30"/>
        <v>710.42</v>
      </c>
      <c r="R442" s="60">
        <f t="shared" si="31"/>
        <v>347.46</v>
      </c>
      <c r="S442" s="60">
        <f t="shared" si="32"/>
        <v>362.96</v>
      </c>
      <c r="T442" s="65">
        <f t="shared" si="33"/>
        <v>0.51090903972298074</v>
      </c>
    </row>
    <row r="443" spans="1:20">
      <c r="A443" s="41">
        <f t="shared" si="34"/>
        <v>7</v>
      </c>
      <c r="B443" s="6" t="s">
        <v>584</v>
      </c>
      <c r="C443" s="20">
        <v>45844</v>
      </c>
      <c r="D443" s="6" t="s">
        <v>102</v>
      </c>
      <c r="E443" s="6" t="s">
        <v>103</v>
      </c>
      <c r="F443" s="6" t="s">
        <v>97</v>
      </c>
      <c r="G443" s="6" t="s">
        <v>110</v>
      </c>
      <c r="H443" s="6" t="s">
        <v>99</v>
      </c>
      <c r="I443" s="6" t="s">
        <v>163</v>
      </c>
      <c r="J443" s="25">
        <v>1</v>
      </c>
      <c r="K443" s="21">
        <v>1358.03</v>
      </c>
      <c r="L443" s="63">
        <v>0.1</v>
      </c>
      <c r="M443" s="21">
        <v>913.31</v>
      </c>
      <c r="N443" s="6" t="s">
        <v>94</v>
      </c>
      <c r="O443" s="60">
        <f>Vendas2025[[#This Row],[Quantidade]]*Vendas2025[[#This Row],[Preço_Unitário_R$]]</f>
        <v>1358.03</v>
      </c>
      <c r="P443" s="60">
        <f>Vendas2025[[#This Row],[Receita_Bruta_R$]]*Vendas2025[[#This Row],[Desconto_pct]]</f>
        <v>135.803</v>
      </c>
      <c r="Q443" s="60">
        <f t="shared" si="30"/>
        <v>1222.2269999999999</v>
      </c>
      <c r="R443" s="60">
        <f t="shared" si="31"/>
        <v>913.31</v>
      </c>
      <c r="S443" s="60">
        <f t="shared" si="32"/>
        <v>308.91699999999992</v>
      </c>
      <c r="T443" s="65">
        <f t="shared" si="33"/>
        <v>0.25274928470734154</v>
      </c>
    </row>
    <row r="444" spans="1:20">
      <c r="A444" s="41">
        <f t="shared" si="34"/>
        <v>7</v>
      </c>
      <c r="B444" s="6" t="s">
        <v>585</v>
      </c>
      <c r="C444" s="20">
        <v>45845</v>
      </c>
      <c r="D444" s="6" t="s">
        <v>102</v>
      </c>
      <c r="E444" s="6" t="s">
        <v>103</v>
      </c>
      <c r="F444" s="6" t="s">
        <v>97</v>
      </c>
      <c r="G444" s="6" t="s">
        <v>105</v>
      </c>
      <c r="H444" s="6" t="s">
        <v>124</v>
      </c>
      <c r="I444" s="6" t="s">
        <v>125</v>
      </c>
      <c r="J444" s="25">
        <v>1</v>
      </c>
      <c r="K444" s="21">
        <v>708.67</v>
      </c>
      <c r="L444" s="63">
        <v>0.08</v>
      </c>
      <c r="M444" s="21">
        <v>340.84</v>
      </c>
      <c r="N444" s="6" t="s">
        <v>94</v>
      </c>
      <c r="O444" s="60">
        <f>Vendas2025[[#This Row],[Quantidade]]*Vendas2025[[#This Row],[Preço_Unitário_R$]]</f>
        <v>708.67</v>
      </c>
      <c r="P444" s="60">
        <f>Vendas2025[[#This Row],[Receita_Bruta_R$]]*Vendas2025[[#This Row],[Desconto_pct]]</f>
        <v>56.693599999999996</v>
      </c>
      <c r="Q444" s="60">
        <f t="shared" si="30"/>
        <v>651.97640000000001</v>
      </c>
      <c r="R444" s="60">
        <f t="shared" si="31"/>
        <v>340.84</v>
      </c>
      <c r="S444" s="60">
        <f t="shared" si="32"/>
        <v>311.13640000000004</v>
      </c>
      <c r="T444" s="65">
        <f t="shared" si="33"/>
        <v>0.47722034110437134</v>
      </c>
    </row>
    <row r="445" spans="1:20">
      <c r="A445" s="41">
        <f t="shared" si="34"/>
        <v>7</v>
      </c>
      <c r="B445" s="6" t="s">
        <v>586</v>
      </c>
      <c r="C445" s="20">
        <v>45845</v>
      </c>
      <c r="D445" s="6" t="s">
        <v>129</v>
      </c>
      <c r="E445" s="6" t="s">
        <v>103</v>
      </c>
      <c r="F445" s="6" t="s">
        <v>122</v>
      </c>
      <c r="G445" s="6" t="s">
        <v>151</v>
      </c>
      <c r="H445" s="6" t="s">
        <v>124</v>
      </c>
      <c r="I445" s="6" t="s">
        <v>199</v>
      </c>
      <c r="J445" s="25">
        <v>2</v>
      </c>
      <c r="K445" s="21">
        <v>309.94</v>
      </c>
      <c r="L445" s="63">
        <v>0.05</v>
      </c>
      <c r="M445" s="21">
        <v>143.79</v>
      </c>
      <c r="N445" s="6" t="s">
        <v>94</v>
      </c>
      <c r="O445" s="60">
        <f>Vendas2025[[#This Row],[Quantidade]]*Vendas2025[[#This Row],[Preço_Unitário_R$]]</f>
        <v>619.88</v>
      </c>
      <c r="P445" s="60">
        <f>Vendas2025[[#This Row],[Receita_Bruta_R$]]*Vendas2025[[#This Row],[Desconto_pct]]</f>
        <v>30.994</v>
      </c>
      <c r="Q445" s="60">
        <f t="shared" si="30"/>
        <v>588.88599999999997</v>
      </c>
      <c r="R445" s="60">
        <f t="shared" si="31"/>
        <v>287.58</v>
      </c>
      <c r="S445" s="60">
        <f t="shared" si="32"/>
        <v>301.30599999999998</v>
      </c>
      <c r="T445" s="65">
        <f t="shared" si="33"/>
        <v>0.51165420811498319</v>
      </c>
    </row>
    <row r="446" spans="1:20">
      <c r="A446" s="41">
        <f t="shared" si="34"/>
        <v>7</v>
      </c>
      <c r="B446" s="6" t="s">
        <v>587</v>
      </c>
      <c r="C446" s="20">
        <v>45845</v>
      </c>
      <c r="D446" s="6" t="s">
        <v>129</v>
      </c>
      <c r="E446" s="6" t="s">
        <v>103</v>
      </c>
      <c r="F446" s="6" t="s">
        <v>97</v>
      </c>
      <c r="G446" s="6" t="s">
        <v>115</v>
      </c>
      <c r="H446" s="6" t="s">
        <v>106</v>
      </c>
      <c r="I446" s="6" t="s">
        <v>111</v>
      </c>
      <c r="J446" s="25">
        <v>1</v>
      </c>
      <c r="K446" s="21">
        <v>294.54000000000002</v>
      </c>
      <c r="L446" s="63">
        <v>0.15</v>
      </c>
      <c r="M446" s="21">
        <v>133.28</v>
      </c>
      <c r="N446" s="6" t="s">
        <v>94</v>
      </c>
      <c r="O446" s="60">
        <f>Vendas2025[[#This Row],[Quantidade]]*Vendas2025[[#This Row],[Preço_Unitário_R$]]</f>
        <v>294.54000000000002</v>
      </c>
      <c r="P446" s="60">
        <f>Vendas2025[[#This Row],[Receita_Bruta_R$]]*Vendas2025[[#This Row],[Desconto_pct]]</f>
        <v>44.181000000000004</v>
      </c>
      <c r="Q446" s="60">
        <f t="shared" si="30"/>
        <v>250.35900000000001</v>
      </c>
      <c r="R446" s="60">
        <f t="shared" si="31"/>
        <v>133.28</v>
      </c>
      <c r="S446" s="60">
        <f t="shared" si="32"/>
        <v>117.07900000000001</v>
      </c>
      <c r="T446" s="65">
        <f t="shared" si="33"/>
        <v>0.46764446255177566</v>
      </c>
    </row>
    <row r="447" spans="1:20">
      <c r="A447" s="41">
        <f t="shared" si="34"/>
        <v>7</v>
      </c>
      <c r="B447" s="6" t="s">
        <v>588</v>
      </c>
      <c r="C447" s="20">
        <v>45847</v>
      </c>
      <c r="D447" s="6" t="s">
        <v>96</v>
      </c>
      <c r="E447" s="6" t="s">
        <v>89</v>
      </c>
      <c r="F447" s="6" t="s">
        <v>97</v>
      </c>
      <c r="G447" s="6" t="s">
        <v>98</v>
      </c>
      <c r="H447" s="6" t="s">
        <v>119</v>
      </c>
      <c r="I447" s="6" t="s">
        <v>138</v>
      </c>
      <c r="J447" s="25">
        <v>1</v>
      </c>
      <c r="K447" s="21">
        <v>149.06</v>
      </c>
      <c r="L447" s="63">
        <v>0.05</v>
      </c>
      <c r="M447" s="21">
        <v>59.59</v>
      </c>
      <c r="N447" s="6" t="s">
        <v>94</v>
      </c>
      <c r="O447" s="60">
        <f>Vendas2025[[#This Row],[Quantidade]]*Vendas2025[[#This Row],[Preço_Unitário_R$]]</f>
        <v>149.06</v>
      </c>
      <c r="P447" s="60">
        <f>Vendas2025[[#This Row],[Receita_Bruta_R$]]*Vendas2025[[#This Row],[Desconto_pct]]</f>
        <v>7.4530000000000003</v>
      </c>
      <c r="Q447" s="60">
        <f t="shared" si="30"/>
        <v>141.607</v>
      </c>
      <c r="R447" s="60">
        <f t="shared" si="31"/>
        <v>59.59</v>
      </c>
      <c r="S447" s="60">
        <f t="shared" si="32"/>
        <v>82.016999999999996</v>
      </c>
      <c r="T447" s="65">
        <f t="shared" si="33"/>
        <v>0.57918746954599698</v>
      </c>
    </row>
    <row r="448" spans="1:20">
      <c r="A448" s="41">
        <f t="shared" si="34"/>
        <v>7</v>
      </c>
      <c r="B448" s="6" t="s">
        <v>589</v>
      </c>
      <c r="C448" s="20">
        <v>45847</v>
      </c>
      <c r="D448" s="6" t="s">
        <v>88</v>
      </c>
      <c r="E448" s="6" t="s">
        <v>89</v>
      </c>
      <c r="F448" s="6" t="s">
        <v>90</v>
      </c>
      <c r="G448" s="6" t="s">
        <v>105</v>
      </c>
      <c r="H448" s="6" t="s">
        <v>124</v>
      </c>
      <c r="I448" s="6" t="s">
        <v>193</v>
      </c>
      <c r="J448" s="25">
        <v>1</v>
      </c>
      <c r="K448" s="21">
        <v>403.91</v>
      </c>
      <c r="L448" s="63">
        <v>0.2</v>
      </c>
      <c r="M448" s="21">
        <v>172.67</v>
      </c>
      <c r="N448" s="6" t="s">
        <v>94</v>
      </c>
      <c r="O448" s="60">
        <f>Vendas2025[[#This Row],[Quantidade]]*Vendas2025[[#This Row],[Preço_Unitário_R$]]</f>
        <v>403.91</v>
      </c>
      <c r="P448" s="60">
        <f>Vendas2025[[#This Row],[Receita_Bruta_R$]]*Vendas2025[[#This Row],[Desconto_pct]]</f>
        <v>80.782000000000011</v>
      </c>
      <c r="Q448" s="60">
        <f t="shared" si="30"/>
        <v>323.12800000000004</v>
      </c>
      <c r="R448" s="60">
        <f t="shared" si="31"/>
        <v>172.67</v>
      </c>
      <c r="S448" s="60">
        <f t="shared" si="32"/>
        <v>150.45800000000006</v>
      </c>
      <c r="T448" s="65">
        <f t="shared" si="33"/>
        <v>0.46562971949196613</v>
      </c>
    </row>
    <row r="449" spans="1:20">
      <c r="A449" s="41">
        <f t="shared" si="34"/>
        <v>7</v>
      </c>
      <c r="B449" s="6" t="s">
        <v>590</v>
      </c>
      <c r="C449" s="20">
        <v>45848</v>
      </c>
      <c r="D449" s="6" t="s">
        <v>96</v>
      </c>
      <c r="E449" s="6" t="s">
        <v>89</v>
      </c>
      <c r="F449" s="6" t="s">
        <v>122</v>
      </c>
      <c r="G449" s="6" t="s">
        <v>110</v>
      </c>
      <c r="H449" s="6" t="s">
        <v>99</v>
      </c>
      <c r="I449" s="6" t="s">
        <v>163</v>
      </c>
      <c r="J449" s="25">
        <v>1</v>
      </c>
      <c r="K449" s="21">
        <v>1387.94</v>
      </c>
      <c r="L449" s="63">
        <v>0.05</v>
      </c>
      <c r="M449" s="21">
        <v>958.67</v>
      </c>
      <c r="N449" s="6" t="s">
        <v>245</v>
      </c>
      <c r="O449" s="60">
        <f>Vendas2025[[#This Row],[Quantidade]]*Vendas2025[[#This Row],[Preço_Unitário_R$]]</f>
        <v>1387.94</v>
      </c>
      <c r="P449" s="60">
        <f>Vendas2025[[#This Row],[Receita_Bruta_R$]]*Vendas2025[[#This Row],[Desconto_pct]]</f>
        <v>69.397000000000006</v>
      </c>
      <c r="Q449" s="60">
        <f t="shared" si="30"/>
        <v>0</v>
      </c>
      <c r="R449" s="60">
        <f t="shared" si="31"/>
        <v>0</v>
      </c>
      <c r="S449" s="60">
        <f t="shared" si="32"/>
        <v>0</v>
      </c>
      <c r="T449" s="65" t="str">
        <f t="shared" si="33"/>
        <v/>
      </c>
    </row>
    <row r="450" spans="1:20">
      <c r="A450" s="41">
        <f t="shared" si="34"/>
        <v>7</v>
      </c>
      <c r="B450" s="6" t="s">
        <v>591</v>
      </c>
      <c r="C450" s="20">
        <v>45848</v>
      </c>
      <c r="D450" s="6" t="s">
        <v>102</v>
      </c>
      <c r="E450" s="6" t="s">
        <v>103</v>
      </c>
      <c r="F450" s="6" t="s">
        <v>90</v>
      </c>
      <c r="G450" s="6" t="s">
        <v>105</v>
      </c>
      <c r="H450" s="6" t="s">
        <v>99</v>
      </c>
      <c r="I450" s="6" t="s">
        <v>163</v>
      </c>
      <c r="J450" s="25">
        <v>1</v>
      </c>
      <c r="K450" s="21">
        <v>1381.97</v>
      </c>
      <c r="L450" s="63">
        <v>0.05</v>
      </c>
      <c r="M450" s="21">
        <v>962.43</v>
      </c>
      <c r="N450" s="6" t="s">
        <v>94</v>
      </c>
      <c r="O450" s="60">
        <f>Vendas2025[[#This Row],[Quantidade]]*Vendas2025[[#This Row],[Preço_Unitário_R$]]</f>
        <v>1381.97</v>
      </c>
      <c r="P450" s="60">
        <f>Vendas2025[[#This Row],[Receita_Bruta_R$]]*Vendas2025[[#This Row],[Desconto_pct]]</f>
        <v>69.098500000000001</v>
      </c>
      <c r="Q450" s="60">
        <f t="shared" ref="Q450:Q513" si="35">IF(N450="Concluída",O450-P450,0)</f>
        <v>1312.8715</v>
      </c>
      <c r="R450" s="60">
        <f t="shared" ref="R450:R513" si="36">IF(N450="Concluída",J450*M450,0)</f>
        <v>962.43</v>
      </c>
      <c r="S450" s="60">
        <f t="shared" ref="S450:S513" si="37">Q450-R450</f>
        <v>350.44150000000002</v>
      </c>
      <c r="T450" s="65">
        <f t="shared" ref="T450:T513" si="38">IF(Q450=0,"",S450/Q450)</f>
        <v>0.26692749442729163</v>
      </c>
    </row>
    <row r="451" spans="1:20">
      <c r="A451" s="41">
        <f t="shared" ref="A451:A514" si="39">MONTH(C451)</f>
        <v>7</v>
      </c>
      <c r="B451" s="6" t="s">
        <v>592</v>
      </c>
      <c r="C451" s="20">
        <v>45848</v>
      </c>
      <c r="D451" s="6" t="s">
        <v>118</v>
      </c>
      <c r="E451" s="6" t="s">
        <v>114</v>
      </c>
      <c r="F451" s="6" t="s">
        <v>122</v>
      </c>
      <c r="G451" s="6" t="s">
        <v>154</v>
      </c>
      <c r="H451" s="6" t="s">
        <v>92</v>
      </c>
      <c r="I451" s="6" t="s">
        <v>134</v>
      </c>
      <c r="J451" s="25">
        <v>1</v>
      </c>
      <c r="K451" s="21">
        <v>420.48</v>
      </c>
      <c r="L451" s="63">
        <v>0.05</v>
      </c>
      <c r="M451" s="21">
        <v>223.76</v>
      </c>
      <c r="N451" s="6" t="s">
        <v>94</v>
      </c>
      <c r="O451" s="60">
        <f>Vendas2025[[#This Row],[Quantidade]]*Vendas2025[[#This Row],[Preço_Unitário_R$]]</f>
        <v>420.48</v>
      </c>
      <c r="P451" s="60">
        <f>Vendas2025[[#This Row],[Receita_Bruta_R$]]*Vendas2025[[#This Row],[Desconto_pct]]</f>
        <v>21.024000000000001</v>
      </c>
      <c r="Q451" s="60">
        <f t="shared" si="35"/>
        <v>399.45600000000002</v>
      </c>
      <c r="R451" s="60">
        <f t="shared" si="36"/>
        <v>223.76</v>
      </c>
      <c r="S451" s="60">
        <f t="shared" si="37"/>
        <v>175.69600000000003</v>
      </c>
      <c r="T451" s="65">
        <f t="shared" si="38"/>
        <v>0.43983817992469765</v>
      </c>
    </row>
    <row r="452" spans="1:20">
      <c r="A452" s="41">
        <f t="shared" si="39"/>
        <v>7</v>
      </c>
      <c r="B452" s="6" t="s">
        <v>593</v>
      </c>
      <c r="C452" s="20">
        <v>45848</v>
      </c>
      <c r="D452" s="6" t="s">
        <v>129</v>
      </c>
      <c r="E452" s="6" t="s">
        <v>103</v>
      </c>
      <c r="F452" s="6" t="s">
        <v>122</v>
      </c>
      <c r="G452" s="6" t="s">
        <v>105</v>
      </c>
      <c r="H452" s="6" t="s">
        <v>106</v>
      </c>
      <c r="I452" s="6" t="s">
        <v>107</v>
      </c>
      <c r="J452" s="25">
        <v>2</v>
      </c>
      <c r="K452" s="21">
        <v>651.32000000000005</v>
      </c>
      <c r="L452" s="63">
        <v>0.05</v>
      </c>
      <c r="M452" s="21">
        <v>360.46</v>
      </c>
      <c r="N452" s="6" t="s">
        <v>94</v>
      </c>
      <c r="O452" s="60">
        <f>Vendas2025[[#This Row],[Quantidade]]*Vendas2025[[#This Row],[Preço_Unitário_R$]]</f>
        <v>1302.6400000000001</v>
      </c>
      <c r="P452" s="60">
        <f>Vendas2025[[#This Row],[Receita_Bruta_R$]]*Vendas2025[[#This Row],[Desconto_pct]]</f>
        <v>65.132000000000005</v>
      </c>
      <c r="Q452" s="60">
        <f t="shared" si="35"/>
        <v>1237.508</v>
      </c>
      <c r="R452" s="60">
        <f t="shared" si="36"/>
        <v>720.92</v>
      </c>
      <c r="S452" s="60">
        <f t="shared" si="37"/>
        <v>516.58800000000008</v>
      </c>
      <c r="T452" s="65">
        <f t="shared" si="38"/>
        <v>0.41744214986893019</v>
      </c>
    </row>
    <row r="453" spans="1:20">
      <c r="A453" s="41">
        <f t="shared" si="39"/>
        <v>7</v>
      </c>
      <c r="B453" s="6" t="s">
        <v>594</v>
      </c>
      <c r="C453" s="20">
        <v>45849</v>
      </c>
      <c r="D453" s="6" t="s">
        <v>113</v>
      </c>
      <c r="E453" s="6" t="s">
        <v>114</v>
      </c>
      <c r="F453" s="6" t="s">
        <v>97</v>
      </c>
      <c r="G453" s="6" t="s">
        <v>151</v>
      </c>
      <c r="H453" s="6" t="s">
        <v>106</v>
      </c>
      <c r="I453" s="6" t="s">
        <v>170</v>
      </c>
      <c r="J453" s="25">
        <v>2</v>
      </c>
      <c r="K453" s="21">
        <v>491.99</v>
      </c>
      <c r="L453" s="63">
        <v>0</v>
      </c>
      <c r="M453" s="21">
        <v>254.64</v>
      </c>
      <c r="N453" s="6" t="s">
        <v>94</v>
      </c>
      <c r="O453" s="60">
        <f>Vendas2025[[#This Row],[Quantidade]]*Vendas2025[[#This Row],[Preço_Unitário_R$]]</f>
        <v>983.98</v>
      </c>
      <c r="P453" s="60">
        <f>Vendas2025[[#This Row],[Receita_Bruta_R$]]*Vendas2025[[#This Row],[Desconto_pct]]</f>
        <v>0</v>
      </c>
      <c r="Q453" s="60">
        <f t="shared" si="35"/>
        <v>983.98</v>
      </c>
      <c r="R453" s="60">
        <f t="shared" si="36"/>
        <v>509.28</v>
      </c>
      <c r="S453" s="60">
        <f t="shared" si="37"/>
        <v>474.70000000000005</v>
      </c>
      <c r="T453" s="65">
        <f t="shared" si="38"/>
        <v>0.4824285046444034</v>
      </c>
    </row>
    <row r="454" spans="1:20">
      <c r="A454" s="41">
        <f t="shared" si="39"/>
        <v>7</v>
      </c>
      <c r="B454" s="6" t="s">
        <v>595</v>
      </c>
      <c r="C454" s="20">
        <v>45849</v>
      </c>
      <c r="D454" s="6" t="s">
        <v>136</v>
      </c>
      <c r="E454" s="6" t="s">
        <v>137</v>
      </c>
      <c r="F454" s="6" t="s">
        <v>122</v>
      </c>
      <c r="G454" s="6" t="s">
        <v>115</v>
      </c>
      <c r="H454" s="6" t="s">
        <v>99</v>
      </c>
      <c r="I454" s="6" t="s">
        <v>130</v>
      </c>
      <c r="J454" s="25">
        <v>2</v>
      </c>
      <c r="K454" s="21">
        <v>262.85000000000002</v>
      </c>
      <c r="L454" s="63">
        <v>0.03</v>
      </c>
      <c r="M454" s="21">
        <v>131.16</v>
      </c>
      <c r="N454" s="6" t="s">
        <v>245</v>
      </c>
      <c r="O454" s="60">
        <f>Vendas2025[[#This Row],[Quantidade]]*Vendas2025[[#This Row],[Preço_Unitário_R$]]</f>
        <v>525.70000000000005</v>
      </c>
      <c r="P454" s="60">
        <f>Vendas2025[[#This Row],[Receita_Bruta_R$]]*Vendas2025[[#This Row],[Desconto_pct]]</f>
        <v>15.771000000000001</v>
      </c>
      <c r="Q454" s="60">
        <f t="shared" si="35"/>
        <v>0</v>
      </c>
      <c r="R454" s="60">
        <f t="shared" si="36"/>
        <v>0</v>
      </c>
      <c r="S454" s="60">
        <f t="shared" si="37"/>
        <v>0</v>
      </c>
      <c r="T454" s="65" t="str">
        <f t="shared" si="38"/>
        <v/>
      </c>
    </row>
    <row r="455" spans="1:20">
      <c r="A455" s="41">
        <f t="shared" si="39"/>
        <v>7</v>
      </c>
      <c r="B455" s="6" t="s">
        <v>596</v>
      </c>
      <c r="C455" s="20">
        <v>45849</v>
      </c>
      <c r="D455" s="6" t="s">
        <v>102</v>
      </c>
      <c r="E455" s="6" t="s">
        <v>103</v>
      </c>
      <c r="F455" s="6" t="s">
        <v>97</v>
      </c>
      <c r="G455" s="6" t="s">
        <v>127</v>
      </c>
      <c r="H455" s="6" t="s">
        <v>99</v>
      </c>
      <c r="I455" s="6" t="s">
        <v>158</v>
      </c>
      <c r="J455" s="25">
        <v>1</v>
      </c>
      <c r="K455" s="21">
        <v>179.44</v>
      </c>
      <c r="L455" s="63">
        <v>0.08</v>
      </c>
      <c r="M455" s="21">
        <v>81.819999999999993</v>
      </c>
      <c r="N455" s="6" t="s">
        <v>94</v>
      </c>
      <c r="O455" s="60">
        <f>Vendas2025[[#This Row],[Quantidade]]*Vendas2025[[#This Row],[Preço_Unitário_R$]]</f>
        <v>179.44</v>
      </c>
      <c r="P455" s="60">
        <f>Vendas2025[[#This Row],[Receita_Bruta_R$]]*Vendas2025[[#This Row],[Desconto_pct]]</f>
        <v>14.3552</v>
      </c>
      <c r="Q455" s="60">
        <f t="shared" si="35"/>
        <v>165.0848</v>
      </c>
      <c r="R455" s="60">
        <f t="shared" si="36"/>
        <v>81.819999999999993</v>
      </c>
      <c r="S455" s="60">
        <f t="shared" si="37"/>
        <v>83.264800000000008</v>
      </c>
      <c r="T455" s="65">
        <f t="shared" si="38"/>
        <v>0.50437593285390303</v>
      </c>
    </row>
    <row r="456" spans="1:20">
      <c r="A456" s="41">
        <f t="shared" si="39"/>
        <v>7</v>
      </c>
      <c r="B456" s="6" t="s">
        <v>597</v>
      </c>
      <c r="C456" s="20">
        <v>45850</v>
      </c>
      <c r="D456" s="6" t="s">
        <v>113</v>
      </c>
      <c r="E456" s="6" t="s">
        <v>114</v>
      </c>
      <c r="F456" s="6" t="s">
        <v>97</v>
      </c>
      <c r="G456" s="6" t="s">
        <v>115</v>
      </c>
      <c r="H456" s="6" t="s">
        <v>99</v>
      </c>
      <c r="I456" s="6" t="s">
        <v>130</v>
      </c>
      <c r="J456" s="25">
        <v>2</v>
      </c>
      <c r="K456" s="21">
        <v>234.75</v>
      </c>
      <c r="L456" s="63">
        <v>0.15</v>
      </c>
      <c r="M456" s="21">
        <v>113.55</v>
      </c>
      <c r="N456" s="6" t="s">
        <v>94</v>
      </c>
      <c r="O456" s="60">
        <f>Vendas2025[[#This Row],[Quantidade]]*Vendas2025[[#This Row],[Preço_Unitário_R$]]</f>
        <v>469.5</v>
      </c>
      <c r="P456" s="60">
        <f>Vendas2025[[#This Row],[Receita_Bruta_R$]]*Vendas2025[[#This Row],[Desconto_pct]]</f>
        <v>70.424999999999997</v>
      </c>
      <c r="Q456" s="60">
        <f t="shared" si="35"/>
        <v>399.07499999999999</v>
      </c>
      <c r="R456" s="60">
        <f t="shared" si="36"/>
        <v>227.1</v>
      </c>
      <c r="S456" s="60">
        <f t="shared" si="37"/>
        <v>171.97499999999999</v>
      </c>
      <c r="T456" s="65">
        <f t="shared" si="38"/>
        <v>0.43093403495583538</v>
      </c>
    </row>
    <row r="457" spans="1:20">
      <c r="A457" s="41">
        <f t="shared" si="39"/>
        <v>7</v>
      </c>
      <c r="B457" s="6" t="s">
        <v>598</v>
      </c>
      <c r="C457" s="20">
        <v>45850</v>
      </c>
      <c r="D457" s="6" t="s">
        <v>129</v>
      </c>
      <c r="E457" s="6" t="s">
        <v>103</v>
      </c>
      <c r="F457" s="6" t="s">
        <v>122</v>
      </c>
      <c r="G457" s="6" t="s">
        <v>91</v>
      </c>
      <c r="H457" s="6" t="s">
        <v>119</v>
      </c>
      <c r="I457" s="6" t="s">
        <v>138</v>
      </c>
      <c r="J457" s="25">
        <v>1</v>
      </c>
      <c r="K457" s="21">
        <v>133.16999999999999</v>
      </c>
      <c r="L457" s="63">
        <v>0.1</v>
      </c>
      <c r="M457" s="21">
        <v>52.54</v>
      </c>
      <c r="N457" s="6" t="s">
        <v>94</v>
      </c>
      <c r="O457" s="60">
        <f>Vendas2025[[#This Row],[Quantidade]]*Vendas2025[[#This Row],[Preço_Unitário_R$]]</f>
        <v>133.16999999999999</v>
      </c>
      <c r="P457" s="60">
        <f>Vendas2025[[#This Row],[Receita_Bruta_R$]]*Vendas2025[[#This Row],[Desconto_pct]]</f>
        <v>13.317</v>
      </c>
      <c r="Q457" s="60">
        <f t="shared" si="35"/>
        <v>119.85299999999998</v>
      </c>
      <c r="R457" s="60">
        <f t="shared" si="36"/>
        <v>52.54</v>
      </c>
      <c r="S457" s="60">
        <f t="shared" si="37"/>
        <v>67.312999999999988</v>
      </c>
      <c r="T457" s="65">
        <f t="shared" si="38"/>
        <v>0.56162966300384642</v>
      </c>
    </row>
    <row r="458" spans="1:20">
      <c r="A458" s="41">
        <f t="shared" si="39"/>
        <v>7</v>
      </c>
      <c r="B458" s="6" t="s">
        <v>599</v>
      </c>
      <c r="C458" s="20">
        <v>45850</v>
      </c>
      <c r="D458" s="6" t="s">
        <v>96</v>
      </c>
      <c r="E458" s="6" t="s">
        <v>89</v>
      </c>
      <c r="F458" s="6" t="s">
        <v>90</v>
      </c>
      <c r="G458" s="6" t="s">
        <v>123</v>
      </c>
      <c r="H458" s="6" t="s">
        <v>99</v>
      </c>
      <c r="I458" s="6" t="s">
        <v>130</v>
      </c>
      <c r="J458" s="25">
        <v>1</v>
      </c>
      <c r="K458" s="21">
        <v>230.56</v>
      </c>
      <c r="L458" s="63">
        <v>0.2</v>
      </c>
      <c r="M458" s="21">
        <v>114.99</v>
      </c>
      <c r="N458" s="6" t="s">
        <v>94</v>
      </c>
      <c r="O458" s="60">
        <f>Vendas2025[[#This Row],[Quantidade]]*Vendas2025[[#This Row],[Preço_Unitário_R$]]</f>
        <v>230.56</v>
      </c>
      <c r="P458" s="60">
        <f>Vendas2025[[#This Row],[Receita_Bruta_R$]]*Vendas2025[[#This Row],[Desconto_pct]]</f>
        <v>46.112000000000002</v>
      </c>
      <c r="Q458" s="60">
        <f t="shared" si="35"/>
        <v>184.44800000000001</v>
      </c>
      <c r="R458" s="60">
        <f t="shared" si="36"/>
        <v>114.99</v>
      </c>
      <c r="S458" s="60">
        <f t="shared" si="37"/>
        <v>69.458000000000013</v>
      </c>
      <c r="T458" s="65">
        <f t="shared" si="38"/>
        <v>0.37657225884802226</v>
      </c>
    </row>
    <row r="459" spans="1:20">
      <c r="A459" s="41">
        <f t="shared" si="39"/>
        <v>7</v>
      </c>
      <c r="B459" s="6" t="s">
        <v>600</v>
      </c>
      <c r="C459" s="20">
        <v>45851</v>
      </c>
      <c r="D459" s="6" t="s">
        <v>136</v>
      </c>
      <c r="E459" s="6" t="s">
        <v>137</v>
      </c>
      <c r="F459" s="6" t="s">
        <v>97</v>
      </c>
      <c r="G459" s="6" t="s">
        <v>177</v>
      </c>
      <c r="H459" s="6" t="s">
        <v>99</v>
      </c>
      <c r="I459" s="6" t="s">
        <v>158</v>
      </c>
      <c r="J459" s="25">
        <v>2</v>
      </c>
      <c r="K459" s="21">
        <v>185</v>
      </c>
      <c r="L459" s="63">
        <v>0.15</v>
      </c>
      <c r="M459" s="21">
        <v>83.94</v>
      </c>
      <c r="N459" s="6" t="s">
        <v>94</v>
      </c>
      <c r="O459" s="60">
        <f>Vendas2025[[#This Row],[Quantidade]]*Vendas2025[[#This Row],[Preço_Unitário_R$]]</f>
        <v>370</v>
      </c>
      <c r="P459" s="60">
        <f>Vendas2025[[#This Row],[Receita_Bruta_R$]]*Vendas2025[[#This Row],[Desconto_pct]]</f>
        <v>55.5</v>
      </c>
      <c r="Q459" s="60">
        <f t="shared" si="35"/>
        <v>314.5</v>
      </c>
      <c r="R459" s="60">
        <f t="shared" si="36"/>
        <v>167.88</v>
      </c>
      <c r="S459" s="60">
        <f t="shared" si="37"/>
        <v>146.62</v>
      </c>
      <c r="T459" s="65">
        <f t="shared" si="38"/>
        <v>0.46620031796502387</v>
      </c>
    </row>
    <row r="460" spans="1:20">
      <c r="A460" s="41">
        <f t="shared" si="39"/>
        <v>7</v>
      </c>
      <c r="B460" s="6" t="s">
        <v>601</v>
      </c>
      <c r="C460" s="20">
        <v>45851</v>
      </c>
      <c r="D460" s="6" t="s">
        <v>113</v>
      </c>
      <c r="E460" s="6" t="s">
        <v>114</v>
      </c>
      <c r="F460" s="6" t="s">
        <v>97</v>
      </c>
      <c r="G460" s="6" t="s">
        <v>98</v>
      </c>
      <c r="H460" s="6" t="s">
        <v>106</v>
      </c>
      <c r="I460" s="6" t="s">
        <v>116</v>
      </c>
      <c r="J460" s="25">
        <v>1</v>
      </c>
      <c r="K460" s="21">
        <v>452.25</v>
      </c>
      <c r="L460" s="63">
        <v>0.15</v>
      </c>
      <c r="M460" s="21">
        <v>242.06</v>
      </c>
      <c r="N460" s="6" t="s">
        <v>94</v>
      </c>
      <c r="O460" s="60">
        <f>Vendas2025[[#This Row],[Quantidade]]*Vendas2025[[#This Row],[Preço_Unitário_R$]]</f>
        <v>452.25</v>
      </c>
      <c r="P460" s="60">
        <f>Vendas2025[[#This Row],[Receita_Bruta_R$]]*Vendas2025[[#This Row],[Desconto_pct]]</f>
        <v>67.837499999999991</v>
      </c>
      <c r="Q460" s="60">
        <f t="shared" si="35"/>
        <v>384.41250000000002</v>
      </c>
      <c r="R460" s="60">
        <f t="shared" si="36"/>
        <v>242.06</v>
      </c>
      <c r="S460" s="60">
        <f t="shared" si="37"/>
        <v>142.35250000000002</v>
      </c>
      <c r="T460" s="65">
        <f t="shared" si="38"/>
        <v>0.37031183949533381</v>
      </c>
    </row>
    <row r="461" spans="1:20">
      <c r="A461" s="41">
        <f t="shared" si="39"/>
        <v>7</v>
      </c>
      <c r="B461" s="6" t="s">
        <v>602</v>
      </c>
      <c r="C461" s="20">
        <v>45851</v>
      </c>
      <c r="D461" s="6" t="s">
        <v>118</v>
      </c>
      <c r="E461" s="6" t="s">
        <v>114</v>
      </c>
      <c r="F461" s="6" t="s">
        <v>97</v>
      </c>
      <c r="G461" s="6" t="s">
        <v>127</v>
      </c>
      <c r="H461" s="6" t="s">
        <v>99</v>
      </c>
      <c r="I461" s="6" t="s">
        <v>173</v>
      </c>
      <c r="J461" s="25">
        <v>1</v>
      </c>
      <c r="K461" s="21">
        <v>4066.27</v>
      </c>
      <c r="L461" s="63">
        <v>0</v>
      </c>
      <c r="M461" s="21">
        <v>3154.37</v>
      </c>
      <c r="N461" s="6" t="s">
        <v>94</v>
      </c>
      <c r="O461" s="60">
        <f>Vendas2025[[#This Row],[Quantidade]]*Vendas2025[[#This Row],[Preço_Unitário_R$]]</f>
        <v>4066.27</v>
      </c>
      <c r="P461" s="60">
        <f>Vendas2025[[#This Row],[Receita_Bruta_R$]]*Vendas2025[[#This Row],[Desconto_pct]]</f>
        <v>0</v>
      </c>
      <c r="Q461" s="60">
        <f t="shared" si="35"/>
        <v>4066.27</v>
      </c>
      <c r="R461" s="60">
        <f t="shared" si="36"/>
        <v>3154.37</v>
      </c>
      <c r="S461" s="60">
        <f t="shared" si="37"/>
        <v>911.90000000000009</v>
      </c>
      <c r="T461" s="65">
        <f t="shared" si="38"/>
        <v>0.22425957941799243</v>
      </c>
    </row>
    <row r="462" spans="1:20">
      <c r="A462" s="41">
        <f t="shared" si="39"/>
        <v>7</v>
      </c>
      <c r="B462" s="6" t="s">
        <v>603</v>
      </c>
      <c r="C462" s="20">
        <v>45851</v>
      </c>
      <c r="D462" s="6" t="s">
        <v>132</v>
      </c>
      <c r="E462" s="6" t="s">
        <v>89</v>
      </c>
      <c r="F462" s="6" t="s">
        <v>122</v>
      </c>
      <c r="G462" s="6" t="s">
        <v>140</v>
      </c>
      <c r="H462" s="6" t="s">
        <v>99</v>
      </c>
      <c r="I462" s="6" t="s">
        <v>130</v>
      </c>
      <c r="J462" s="25">
        <v>1</v>
      </c>
      <c r="K462" s="21">
        <v>256.29000000000002</v>
      </c>
      <c r="L462" s="63">
        <v>0.2</v>
      </c>
      <c r="M462" s="21">
        <v>123.84</v>
      </c>
      <c r="N462" s="6" t="s">
        <v>94</v>
      </c>
      <c r="O462" s="60">
        <f>Vendas2025[[#This Row],[Quantidade]]*Vendas2025[[#This Row],[Preço_Unitário_R$]]</f>
        <v>256.29000000000002</v>
      </c>
      <c r="P462" s="60">
        <f>Vendas2025[[#This Row],[Receita_Bruta_R$]]*Vendas2025[[#This Row],[Desconto_pct]]</f>
        <v>51.25800000000001</v>
      </c>
      <c r="Q462" s="60">
        <f t="shared" si="35"/>
        <v>205.03200000000001</v>
      </c>
      <c r="R462" s="60">
        <f t="shared" si="36"/>
        <v>123.84</v>
      </c>
      <c r="S462" s="60">
        <f t="shared" si="37"/>
        <v>81.192000000000007</v>
      </c>
      <c r="T462" s="65">
        <f t="shared" si="38"/>
        <v>0.39599672246283507</v>
      </c>
    </row>
    <row r="463" spans="1:20">
      <c r="A463" s="41">
        <f t="shared" si="39"/>
        <v>7</v>
      </c>
      <c r="B463" s="6" t="s">
        <v>604</v>
      </c>
      <c r="C463" s="20">
        <v>45852</v>
      </c>
      <c r="D463" s="6" t="s">
        <v>118</v>
      </c>
      <c r="E463" s="6" t="s">
        <v>114</v>
      </c>
      <c r="F463" s="6" t="s">
        <v>90</v>
      </c>
      <c r="G463" s="6" t="s">
        <v>177</v>
      </c>
      <c r="H463" s="6" t="s">
        <v>124</v>
      </c>
      <c r="I463" s="6" t="s">
        <v>199</v>
      </c>
      <c r="J463" s="25">
        <v>2</v>
      </c>
      <c r="K463" s="21">
        <v>335.69</v>
      </c>
      <c r="L463" s="63">
        <v>0.2</v>
      </c>
      <c r="M463" s="21">
        <v>158.44999999999999</v>
      </c>
      <c r="N463" s="6" t="s">
        <v>94</v>
      </c>
      <c r="O463" s="60">
        <f>Vendas2025[[#This Row],[Quantidade]]*Vendas2025[[#This Row],[Preço_Unitário_R$]]</f>
        <v>671.38</v>
      </c>
      <c r="P463" s="60">
        <f>Vendas2025[[#This Row],[Receita_Bruta_R$]]*Vendas2025[[#This Row],[Desconto_pct]]</f>
        <v>134.27600000000001</v>
      </c>
      <c r="Q463" s="60">
        <f t="shared" si="35"/>
        <v>537.10400000000004</v>
      </c>
      <c r="R463" s="60">
        <f t="shared" si="36"/>
        <v>316.89999999999998</v>
      </c>
      <c r="S463" s="60">
        <f t="shared" si="37"/>
        <v>220.20400000000006</v>
      </c>
      <c r="T463" s="65">
        <f t="shared" si="38"/>
        <v>0.40998391372992948</v>
      </c>
    </row>
    <row r="464" spans="1:20">
      <c r="A464" s="41">
        <f t="shared" si="39"/>
        <v>7</v>
      </c>
      <c r="B464" s="6" t="s">
        <v>605</v>
      </c>
      <c r="C464" s="20">
        <v>45853</v>
      </c>
      <c r="D464" s="6" t="s">
        <v>88</v>
      </c>
      <c r="E464" s="6" t="s">
        <v>89</v>
      </c>
      <c r="F464" s="6" t="s">
        <v>97</v>
      </c>
      <c r="G464" s="6" t="s">
        <v>110</v>
      </c>
      <c r="H464" s="6" t="s">
        <v>124</v>
      </c>
      <c r="I464" s="6" t="s">
        <v>125</v>
      </c>
      <c r="J464" s="25">
        <v>1</v>
      </c>
      <c r="K464" s="21">
        <v>685.5</v>
      </c>
      <c r="L464" s="63">
        <v>0.08</v>
      </c>
      <c r="M464" s="21">
        <v>331.25</v>
      </c>
      <c r="N464" s="6" t="s">
        <v>94</v>
      </c>
      <c r="O464" s="60">
        <f>Vendas2025[[#This Row],[Quantidade]]*Vendas2025[[#This Row],[Preço_Unitário_R$]]</f>
        <v>685.5</v>
      </c>
      <c r="P464" s="60">
        <f>Vendas2025[[#This Row],[Receita_Bruta_R$]]*Vendas2025[[#This Row],[Desconto_pct]]</f>
        <v>54.84</v>
      </c>
      <c r="Q464" s="60">
        <f t="shared" si="35"/>
        <v>630.66</v>
      </c>
      <c r="R464" s="60">
        <f t="shared" si="36"/>
        <v>331.25</v>
      </c>
      <c r="S464" s="60">
        <f t="shared" si="37"/>
        <v>299.40999999999997</v>
      </c>
      <c r="T464" s="65">
        <f t="shared" si="38"/>
        <v>0.47475660419243332</v>
      </c>
    </row>
    <row r="465" spans="1:20">
      <c r="A465" s="41">
        <f t="shared" si="39"/>
        <v>7</v>
      </c>
      <c r="B465" s="6" t="s">
        <v>606</v>
      </c>
      <c r="C465" s="20">
        <v>45854</v>
      </c>
      <c r="D465" s="6" t="s">
        <v>136</v>
      </c>
      <c r="E465" s="6" t="s">
        <v>137</v>
      </c>
      <c r="F465" s="6" t="s">
        <v>97</v>
      </c>
      <c r="G465" s="6" t="s">
        <v>177</v>
      </c>
      <c r="H465" s="6" t="s">
        <v>124</v>
      </c>
      <c r="I465" s="6" t="s">
        <v>125</v>
      </c>
      <c r="J465" s="25">
        <v>1</v>
      </c>
      <c r="K465" s="21">
        <v>643.5</v>
      </c>
      <c r="L465" s="63">
        <v>0.08</v>
      </c>
      <c r="M465" s="21">
        <v>301.47000000000003</v>
      </c>
      <c r="N465" s="6" t="s">
        <v>94</v>
      </c>
      <c r="O465" s="60">
        <f>Vendas2025[[#This Row],[Quantidade]]*Vendas2025[[#This Row],[Preço_Unitário_R$]]</f>
        <v>643.5</v>
      </c>
      <c r="P465" s="60">
        <f>Vendas2025[[#This Row],[Receita_Bruta_R$]]*Vendas2025[[#This Row],[Desconto_pct]]</f>
        <v>51.480000000000004</v>
      </c>
      <c r="Q465" s="60">
        <f t="shared" si="35"/>
        <v>592.02</v>
      </c>
      <c r="R465" s="60">
        <f t="shared" si="36"/>
        <v>301.47000000000003</v>
      </c>
      <c r="S465" s="60">
        <f t="shared" si="37"/>
        <v>290.54999999999995</v>
      </c>
      <c r="T465" s="65">
        <f t="shared" si="38"/>
        <v>0.49077733860342548</v>
      </c>
    </row>
    <row r="466" spans="1:20">
      <c r="A466" s="41">
        <f t="shared" si="39"/>
        <v>7</v>
      </c>
      <c r="B466" s="6" t="s">
        <v>607</v>
      </c>
      <c r="C466" s="20">
        <v>45854</v>
      </c>
      <c r="D466" s="6" t="s">
        <v>136</v>
      </c>
      <c r="E466" s="6" t="s">
        <v>137</v>
      </c>
      <c r="F466" s="6" t="s">
        <v>90</v>
      </c>
      <c r="G466" s="6" t="s">
        <v>123</v>
      </c>
      <c r="H466" s="6" t="s">
        <v>92</v>
      </c>
      <c r="I466" s="6" t="s">
        <v>144</v>
      </c>
      <c r="J466" s="25">
        <v>2</v>
      </c>
      <c r="K466" s="21">
        <v>137.32</v>
      </c>
      <c r="L466" s="63">
        <v>0.05</v>
      </c>
      <c r="M466" s="21">
        <v>49.26</v>
      </c>
      <c r="N466" s="6" t="s">
        <v>94</v>
      </c>
      <c r="O466" s="60">
        <f>Vendas2025[[#This Row],[Quantidade]]*Vendas2025[[#This Row],[Preço_Unitário_R$]]</f>
        <v>274.64</v>
      </c>
      <c r="P466" s="60">
        <f>Vendas2025[[#This Row],[Receita_Bruta_R$]]*Vendas2025[[#This Row],[Desconto_pct]]</f>
        <v>13.731999999999999</v>
      </c>
      <c r="Q466" s="60">
        <f t="shared" si="35"/>
        <v>260.90800000000002</v>
      </c>
      <c r="R466" s="60">
        <f t="shared" si="36"/>
        <v>98.52</v>
      </c>
      <c r="S466" s="60">
        <f t="shared" si="37"/>
        <v>162.38800000000003</v>
      </c>
      <c r="T466" s="65">
        <f t="shared" si="38"/>
        <v>0.62239563370996687</v>
      </c>
    </row>
    <row r="467" spans="1:20">
      <c r="A467" s="41">
        <f t="shared" si="39"/>
        <v>7</v>
      </c>
      <c r="B467" s="6" t="s">
        <v>608</v>
      </c>
      <c r="C467" s="20">
        <v>45855</v>
      </c>
      <c r="D467" s="6" t="s">
        <v>88</v>
      </c>
      <c r="E467" s="6" t="s">
        <v>89</v>
      </c>
      <c r="F467" s="6" t="s">
        <v>90</v>
      </c>
      <c r="G467" s="6" t="s">
        <v>110</v>
      </c>
      <c r="H467" s="6" t="s">
        <v>99</v>
      </c>
      <c r="I467" s="6" t="s">
        <v>163</v>
      </c>
      <c r="J467" s="25">
        <v>2</v>
      </c>
      <c r="K467" s="21">
        <v>1233.57</v>
      </c>
      <c r="L467" s="63">
        <v>0.25</v>
      </c>
      <c r="M467" s="21">
        <v>884.04</v>
      </c>
      <c r="N467" s="6" t="s">
        <v>94</v>
      </c>
      <c r="O467" s="60">
        <f>Vendas2025[[#This Row],[Quantidade]]*Vendas2025[[#This Row],[Preço_Unitário_R$]]</f>
        <v>2467.14</v>
      </c>
      <c r="P467" s="60">
        <f>Vendas2025[[#This Row],[Receita_Bruta_R$]]*Vendas2025[[#This Row],[Desconto_pct]]</f>
        <v>616.78499999999997</v>
      </c>
      <c r="Q467" s="60">
        <f t="shared" si="35"/>
        <v>1850.355</v>
      </c>
      <c r="R467" s="60">
        <f t="shared" si="36"/>
        <v>1768.08</v>
      </c>
      <c r="S467" s="60">
        <f t="shared" si="37"/>
        <v>82.275000000000091</v>
      </c>
      <c r="T467" s="65">
        <f t="shared" si="38"/>
        <v>4.4464440607342962E-2</v>
      </c>
    </row>
    <row r="468" spans="1:20">
      <c r="A468" s="41">
        <f t="shared" si="39"/>
        <v>7</v>
      </c>
      <c r="B468" s="6" t="s">
        <v>609</v>
      </c>
      <c r="C468" s="20">
        <v>45856</v>
      </c>
      <c r="D468" s="6" t="s">
        <v>132</v>
      </c>
      <c r="E468" s="6" t="s">
        <v>89</v>
      </c>
      <c r="F468" s="6" t="s">
        <v>90</v>
      </c>
      <c r="G468" s="6" t="s">
        <v>154</v>
      </c>
      <c r="H468" s="6" t="s">
        <v>119</v>
      </c>
      <c r="I468" s="6" t="s">
        <v>155</v>
      </c>
      <c r="J468" s="25">
        <v>2</v>
      </c>
      <c r="K468" s="21">
        <v>372.46</v>
      </c>
      <c r="L468" s="63">
        <v>0.15</v>
      </c>
      <c r="M468" s="21">
        <v>202.37</v>
      </c>
      <c r="N468" s="6" t="s">
        <v>94</v>
      </c>
      <c r="O468" s="60">
        <f>Vendas2025[[#This Row],[Quantidade]]*Vendas2025[[#This Row],[Preço_Unitário_R$]]</f>
        <v>744.92</v>
      </c>
      <c r="P468" s="60">
        <f>Vendas2025[[#This Row],[Receita_Bruta_R$]]*Vendas2025[[#This Row],[Desconto_pct]]</f>
        <v>111.73799999999999</v>
      </c>
      <c r="Q468" s="60">
        <f t="shared" si="35"/>
        <v>633.18200000000002</v>
      </c>
      <c r="R468" s="60">
        <f t="shared" si="36"/>
        <v>404.74</v>
      </c>
      <c r="S468" s="60">
        <f t="shared" si="37"/>
        <v>228.44200000000001</v>
      </c>
      <c r="T468" s="65">
        <f t="shared" si="38"/>
        <v>0.36078410314885767</v>
      </c>
    </row>
    <row r="469" spans="1:20">
      <c r="A469" s="41">
        <f t="shared" si="39"/>
        <v>7</v>
      </c>
      <c r="B469" s="6" t="s">
        <v>610</v>
      </c>
      <c r="C469" s="20">
        <v>45856</v>
      </c>
      <c r="D469" s="6" t="s">
        <v>88</v>
      </c>
      <c r="E469" s="6" t="s">
        <v>89</v>
      </c>
      <c r="F469" s="6" t="s">
        <v>90</v>
      </c>
      <c r="G469" s="6" t="s">
        <v>140</v>
      </c>
      <c r="H469" s="6" t="s">
        <v>106</v>
      </c>
      <c r="I469" s="6" t="s">
        <v>107</v>
      </c>
      <c r="J469" s="25">
        <v>1</v>
      </c>
      <c r="K469" s="21">
        <v>724.93</v>
      </c>
      <c r="L469" s="63">
        <v>0.05</v>
      </c>
      <c r="M469" s="21">
        <v>410.18</v>
      </c>
      <c r="N469" s="6" t="s">
        <v>94</v>
      </c>
      <c r="O469" s="60">
        <f>Vendas2025[[#This Row],[Quantidade]]*Vendas2025[[#This Row],[Preço_Unitário_R$]]</f>
        <v>724.93</v>
      </c>
      <c r="P469" s="60">
        <f>Vendas2025[[#This Row],[Receita_Bruta_R$]]*Vendas2025[[#This Row],[Desconto_pct]]</f>
        <v>36.246499999999997</v>
      </c>
      <c r="Q469" s="60">
        <f t="shared" si="35"/>
        <v>688.68349999999998</v>
      </c>
      <c r="R469" s="60">
        <f t="shared" si="36"/>
        <v>410.18</v>
      </c>
      <c r="S469" s="60">
        <f t="shared" si="37"/>
        <v>278.50349999999997</v>
      </c>
      <c r="T469" s="65">
        <f t="shared" si="38"/>
        <v>0.40439984405027851</v>
      </c>
    </row>
    <row r="470" spans="1:20">
      <c r="A470" s="41">
        <f t="shared" si="39"/>
        <v>7</v>
      </c>
      <c r="B470" s="6" t="s">
        <v>611</v>
      </c>
      <c r="C470" s="20">
        <v>45856</v>
      </c>
      <c r="D470" s="6" t="s">
        <v>132</v>
      </c>
      <c r="E470" s="6" t="s">
        <v>89</v>
      </c>
      <c r="F470" s="6" t="s">
        <v>97</v>
      </c>
      <c r="G470" s="6" t="s">
        <v>160</v>
      </c>
      <c r="H470" s="6" t="s">
        <v>106</v>
      </c>
      <c r="I470" s="6" t="s">
        <v>107</v>
      </c>
      <c r="J470" s="25">
        <v>1</v>
      </c>
      <c r="K470" s="21">
        <v>735.81</v>
      </c>
      <c r="L470" s="63">
        <v>0</v>
      </c>
      <c r="M470" s="21">
        <v>412.02</v>
      </c>
      <c r="N470" s="6" t="s">
        <v>94</v>
      </c>
      <c r="O470" s="60">
        <f>Vendas2025[[#This Row],[Quantidade]]*Vendas2025[[#This Row],[Preço_Unitário_R$]]</f>
        <v>735.81</v>
      </c>
      <c r="P470" s="60">
        <f>Vendas2025[[#This Row],[Receita_Bruta_R$]]*Vendas2025[[#This Row],[Desconto_pct]]</f>
        <v>0</v>
      </c>
      <c r="Q470" s="60">
        <f t="shared" si="35"/>
        <v>735.81</v>
      </c>
      <c r="R470" s="60">
        <f t="shared" si="36"/>
        <v>412.02</v>
      </c>
      <c r="S470" s="60">
        <f t="shared" si="37"/>
        <v>323.78999999999996</v>
      </c>
      <c r="T470" s="65">
        <f t="shared" si="38"/>
        <v>0.4400456639621641</v>
      </c>
    </row>
    <row r="471" spans="1:20">
      <c r="A471" s="41">
        <f t="shared" si="39"/>
        <v>7</v>
      </c>
      <c r="B471" s="6" t="s">
        <v>612</v>
      </c>
      <c r="C471" s="20">
        <v>45856</v>
      </c>
      <c r="D471" s="6" t="s">
        <v>129</v>
      </c>
      <c r="E471" s="6" t="s">
        <v>103</v>
      </c>
      <c r="F471" s="6" t="s">
        <v>97</v>
      </c>
      <c r="G471" s="6" t="s">
        <v>177</v>
      </c>
      <c r="H471" s="6" t="s">
        <v>106</v>
      </c>
      <c r="I471" s="6" t="s">
        <v>184</v>
      </c>
      <c r="J471" s="25">
        <v>1</v>
      </c>
      <c r="K471" s="21">
        <v>1272.73</v>
      </c>
      <c r="L471" s="63">
        <v>0.15</v>
      </c>
      <c r="M471" s="21">
        <v>957.99</v>
      </c>
      <c r="N471" s="6" t="s">
        <v>245</v>
      </c>
      <c r="O471" s="60">
        <f>Vendas2025[[#This Row],[Quantidade]]*Vendas2025[[#This Row],[Preço_Unitário_R$]]</f>
        <v>1272.73</v>
      </c>
      <c r="P471" s="60">
        <f>Vendas2025[[#This Row],[Receita_Bruta_R$]]*Vendas2025[[#This Row],[Desconto_pct]]</f>
        <v>190.90950000000001</v>
      </c>
      <c r="Q471" s="60">
        <f t="shared" si="35"/>
        <v>0</v>
      </c>
      <c r="R471" s="60">
        <f t="shared" si="36"/>
        <v>0</v>
      </c>
      <c r="S471" s="60">
        <f t="shared" si="37"/>
        <v>0</v>
      </c>
      <c r="T471" s="65" t="str">
        <f t="shared" si="38"/>
        <v/>
      </c>
    </row>
    <row r="472" spans="1:20">
      <c r="A472" s="41">
        <f t="shared" si="39"/>
        <v>7</v>
      </c>
      <c r="B472" s="6" t="s">
        <v>613</v>
      </c>
      <c r="C472" s="20">
        <v>45856</v>
      </c>
      <c r="D472" s="6" t="s">
        <v>102</v>
      </c>
      <c r="E472" s="6" t="s">
        <v>103</v>
      </c>
      <c r="F472" s="6" t="s">
        <v>97</v>
      </c>
      <c r="G472" s="6" t="s">
        <v>151</v>
      </c>
      <c r="H472" s="6" t="s">
        <v>99</v>
      </c>
      <c r="I472" s="6" t="s">
        <v>163</v>
      </c>
      <c r="J472" s="25">
        <v>1</v>
      </c>
      <c r="K472" s="21">
        <v>1222.3900000000001</v>
      </c>
      <c r="L472" s="63">
        <v>0.08</v>
      </c>
      <c r="M472" s="21">
        <v>857.21</v>
      </c>
      <c r="N472" s="6" t="s">
        <v>94</v>
      </c>
      <c r="O472" s="60">
        <f>Vendas2025[[#This Row],[Quantidade]]*Vendas2025[[#This Row],[Preço_Unitário_R$]]</f>
        <v>1222.3900000000001</v>
      </c>
      <c r="P472" s="60">
        <f>Vendas2025[[#This Row],[Receita_Bruta_R$]]*Vendas2025[[#This Row],[Desconto_pct]]</f>
        <v>97.791200000000003</v>
      </c>
      <c r="Q472" s="60">
        <f t="shared" si="35"/>
        <v>1124.5988000000002</v>
      </c>
      <c r="R472" s="60">
        <f t="shared" si="36"/>
        <v>857.21</v>
      </c>
      <c r="S472" s="60">
        <f t="shared" si="37"/>
        <v>267.38880000000017</v>
      </c>
      <c r="T472" s="65">
        <f t="shared" si="38"/>
        <v>0.23776372516136432</v>
      </c>
    </row>
    <row r="473" spans="1:20">
      <c r="A473" s="41">
        <f t="shared" si="39"/>
        <v>7</v>
      </c>
      <c r="B473" s="6" t="s">
        <v>614</v>
      </c>
      <c r="C473" s="20">
        <v>45857</v>
      </c>
      <c r="D473" s="6" t="s">
        <v>129</v>
      </c>
      <c r="E473" s="6" t="s">
        <v>103</v>
      </c>
      <c r="F473" s="6" t="s">
        <v>97</v>
      </c>
      <c r="G473" s="6" t="s">
        <v>140</v>
      </c>
      <c r="H473" s="6" t="s">
        <v>106</v>
      </c>
      <c r="I473" s="6" t="s">
        <v>111</v>
      </c>
      <c r="J473" s="25">
        <v>1</v>
      </c>
      <c r="K473" s="21">
        <v>267</v>
      </c>
      <c r="L473" s="63">
        <v>0.08</v>
      </c>
      <c r="M473" s="21">
        <v>113.31</v>
      </c>
      <c r="N473" s="6" t="s">
        <v>94</v>
      </c>
      <c r="O473" s="60">
        <f>Vendas2025[[#This Row],[Quantidade]]*Vendas2025[[#This Row],[Preço_Unitário_R$]]</f>
        <v>267</v>
      </c>
      <c r="P473" s="60">
        <f>Vendas2025[[#This Row],[Receita_Bruta_R$]]*Vendas2025[[#This Row],[Desconto_pct]]</f>
        <v>21.36</v>
      </c>
      <c r="Q473" s="60">
        <f t="shared" si="35"/>
        <v>245.64</v>
      </c>
      <c r="R473" s="60">
        <f t="shared" si="36"/>
        <v>113.31</v>
      </c>
      <c r="S473" s="60">
        <f t="shared" si="37"/>
        <v>132.32999999999998</v>
      </c>
      <c r="T473" s="65">
        <f t="shared" si="38"/>
        <v>0.53871519296531512</v>
      </c>
    </row>
    <row r="474" spans="1:20">
      <c r="A474" s="41">
        <f t="shared" si="39"/>
        <v>7</v>
      </c>
      <c r="B474" s="6" t="s">
        <v>615</v>
      </c>
      <c r="C474" s="20">
        <v>45858</v>
      </c>
      <c r="D474" s="6" t="s">
        <v>132</v>
      </c>
      <c r="E474" s="6" t="s">
        <v>89</v>
      </c>
      <c r="F474" s="6" t="s">
        <v>90</v>
      </c>
      <c r="G474" s="6" t="s">
        <v>151</v>
      </c>
      <c r="H474" s="6" t="s">
        <v>119</v>
      </c>
      <c r="I474" s="6" t="s">
        <v>155</v>
      </c>
      <c r="J474" s="25">
        <v>1</v>
      </c>
      <c r="K474" s="21">
        <v>343.45</v>
      </c>
      <c r="L474" s="63">
        <v>0.1</v>
      </c>
      <c r="M474" s="21">
        <v>187.48</v>
      </c>
      <c r="N474" s="6" t="s">
        <v>94</v>
      </c>
      <c r="O474" s="60">
        <f>Vendas2025[[#This Row],[Quantidade]]*Vendas2025[[#This Row],[Preço_Unitário_R$]]</f>
        <v>343.45</v>
      </c>
      <c r="P474" s="60">
        <f>Vendas2025[[#This Row],[Receita_Bruta_R$]]*Vendas2025[[#This Row],[Desconto_pct]]</f>
        <v>34.344999999999999</v>
      </c>
      <c r="Q474" s="60">
        <f t="shared" si="35"/>
        <v>309.10500000000002</v>
      </c>
      <c r="R474" s="60">
        <f t="shared" si="36"/>
        <v>187.48</v>
      </c>
      <c r="S474" s="60">
        <f t="shared" si="37"/>
        <v>121.62500000000003</v>
      </c>
      <c r="T474" s="65">
        <f t="shared" si="38"/>
        <v>0.39347470924119643</v>
      </c>
    </row>
    <row r="475" spans="1:20">
      <c r="A475" s="41">
        <f t="shared" si="39"/>
        <v>7</v>
      </c>
      <c r="B475" s="6" t="s">
        <v>616</v>
      </c>
      <c r="C475" s="20">
        <v>45858</v>
      </c>
      <c r="D475" s="6" t="s">
        <v>136</v>
      </c>
      <c r="E475" s="6" t="s">
        <v>137</v>
      </c>
      <c r="F475" s="6" t="s">
        <v>90</v>
      </c>
      <c r="G475" s="6" t="s">
        <v>105</v>
      </c>
      <c r="H475" s="6" t="s">
        <v>106</v>
      </c>
      <c r="I475" s="6" t="s">
        <v>170</v>
      </c>
      <c r="J475" s="25">
        <v>1</v>
      </c>
      <c r="K475" s="21">
        <v>500.79</v>
      </c>
      <c r="L475" s="63">
        <v>0.25</v>
      </c>
      <c r="M475" s="21">
        <v>255.56</v>
      </c>
      <c r="N475" s="6" t="s">
        <v>94</v>
      </c>
      <c r="O475" s="60">
        <f>Vendas2025[[#This Row],[Quantidade]]*Vendas2025[[#This Row],[Preço_Unitário_R$]]</f>
        <v>500.79</v>
      </c>
      <c r="P475" s="60">
        <f>Vendas2025[[#This Row],[Receita_Bruta_R$]]*Vendas2025[[#This Row],[Desconto_pct]]</f>
        <v>125.19750000000001</v>
      </c>
      <c r="Q475" s="60">
        <f t="shared" si="35"/>
        <v>375.59250000000003</v>
      </c>
      <c r="R475" s="60">
        <f t="shared" si="36"/>
        <v>255.56</v>
      </c>
      <c r="S475" s="60">
        <f t="shared" si="37"/>
        <v>120.03250000000003</v>
      </c>
      <c r="T475" s="65">
        <f t="shared" si="38"/>
        <v>0.31958172753715802</v>
      </c>
    </row>
    <row r="476" spans="1:20">
      <c r="A476" s="41">
        <f t="shared" si="39"/>
        <v>7</v>
      </c>
      <c r="B476" s="6" t="s">
        <v>617</v>
      </c>
      <c r="C476" s="20">
        <v>45858</v>
      </c>
      <c r="D476" s="6" t="s">
        <v>102</v>
      </c>
      <c r="E476" s="6" t="s">
        <v>103</v>
      </c>
      <c r="F476" s="6" t="s">
        <v>97</v>
      </c>
      <c r="G476" s="6" t="s">
        <v>110</v>
      </c>
      <c r="H476" s="6" t="s">
        <v>99</v>
      </c>
      <c r="I476" s="6" t="s">
        <v>130</v>
      </c>
      <c r="J476" s="25">
        <v>1</v>
      </c>
      <c r="K476" s="21">
        <v>245.02</v>
      </c>
      <c r="L476" s="63">
        <v>0</v>
      </c>
      <c r="M476" s="21">
        <v>120.26</v>
      </c>
      <c r="N476" s="6" t="s">
        <v>94</v>
      </c>
      <c r="O476" s="60">
        <f>Vendas2025[[#This Row],[Quantidade]]*Vendas2025[[#This Row],[Preço_Unitário_R$]]</f>
        <v>245.02</v>
      </c>
      <c r="P476" s="60">
        <f>Vendas2025[[#This Row],[Receita_Bruta_R$]]*Vendas2025[[#This Row],[Desconto_pct]]</f>
        <v>0</v>
      </c>
      <c r="Q476" s="60">
        <f t="shared" si="35"/>
        <v>245.02</v>
      </c>
      <c r="R476" s="60">
        <f t="shared" si="36"/>
        <v>120.26</v>
      </c>
      <c r="S476" s="60">
        <f t="shared" si="37"/>
        <v>124.76</v>
      </c>
      <c r="T476" s="65">
        <f t="shared" si="38"/>
        <v>0.50918292384295161</v>
      </c>
    </row>
    <row r="477" spans="1:20">
      <c r="A477" s="41">
        <f t="shared" si="39"/>
        <v>7</v>
      </c>
      <c r="B477" s="6" t="s">
        <v>618</v>
      </c>
      <c r="C477" s="20">
        <v>45859</v>
      </c>
      <c r="D477" s="6" t="s">
        <v>118</v>
      </c>
      <c r="E477" s="6" t="s">
        <v>114</v>
      </c>
      <c r="F477" s="6" t="s">
        <v>122</v>
      </c>
      <c r="G477" s="6" t="s">
        <v>123</v>
      </c>
      <c r="H477" s="6" t="s">
        <v>99</v>
      </c>
      <c r="I477" s="6" t="s">
        <v>158</v>
      </c>
      <c r="J477" s="25">
        <v>2</v>
      </c>
      <c r="K477" s="21">
        <v>188.2</v>
      </c>
      <c r="L477" s="63">
        <v>0.1</v>
      </c>
      <c r="M477" s="21">
        <v>86.86</v>
      </c>
      <c r="N477" s="6" t="s">
        <v>94</v>
      </c>
      <c r="O477" s="60">
        <f>Vendas2025[[#This Row],[Quantidade]]*Vendas2025[[#This Row],[Preço_Unitário_R$]]</f>
        <v>376.4</v>
      </c>
      <c r="P477" s="60">
        <f>Vendas2025[[#This Row],[Receita_Bruta_R$]]*Vendas2025[[#This Row],[Desconto_pct]]</f>
        <v>37.64</v>
      </c>
      <c r="Q477" s="60">
        <f t="shared" si="35"/>
        <v>338.76</v>
      </c>
      <c r="R477" s="60">
        <f t="shared" si="36"/>
        <v>173.72</v>
      </c>
      <c r="S477" s="60">
        <f t="shared" si="37"/>
        <v>165.04</v>
      </c>
      <c r="T477" s="65">
        <f t="shared" si="38"/>
        <v>0.48718857007911204</v>
      </c>
    </row>
    <row r="478" spans="1:20">
      <c r="A478" s="41">
        <f t="shared" si="39"/>
        <v>7</v>
      </c>
      <c r="B478" s="6" t="s">
        <v>619</v>
      </c>
      <c r="C478" s="20">
        <v>45859</v>
      </c>
      <c r="D478" s="6" t="s">
        <v>102</v>
      </c>
      <c r="E478" s="6" t="s">
        <v>103</v>
      </c>
      <c r="F478" s="6" t="s">
        <v>90</v>
      </c>
      <c r="G478" s="6" t="s">
        <v>154</v>
      </c>
      <c r="H478" s="6" t="s">
        <v>92</v>
      </c>
      <c r="I478" s="6" t="s">
        <v>144</v>
      </c>
      <c r="J478" s="25">
        <v>1</v>
      </c>
      <c r="K478" s="21">
        <v>151.5</v>
      </c>
      <c r="L478" s="63">
        <v>0.15</v>
      </c>
      <c r="M478" s="21">
        <v>53.66</v>
      </c>
      <c r="N478" s="6" t="s">
        <v>94</v>
      </c>
      <c r="O478" s="60">
        <f>Vendas2025[[#This Row],[Quantidade]]*Vendas2025[[#This Row],[Preço_Unitário_R$]]</f>
        <v>151.5</v>
      </c>
      <c r="P478" s="60">
        <f>Vendas2025[[#This Row],[Receita_Bruta_R$]]*Vendas2025[[#This Row],[Desconto_pct]]</f>
        <v>22.724999999999998</v>
      </c>
      <c r="Q478" s="60">
        <f t="shared" si="35"/>
        <v>128.77500000000001</v>
      </c>
      <c r="R478" s="60">
        <f t="shared" si="36"/>
        <v>53.66</v>
      </c>
      <c r="S478" s="60">
        <f t="shared" si="37"/>
        <v>75.115000000000009</v>
      </c>
      <c r="T478" s="65">
        <f t="shared" si="38"/>
        <v>0.58330421277421862</v>
      </c>
    </row>
    <row r="479" spans="1:20">
      <c r="A479" s="41">
        <f t="shared" si="39"/>
        <v>7</v>
      </c>
      <c r="B479" s="6" t="s">
        <v>620</v>
      </c>
      <c r="C479" s="20">
        <v>45860</v>
      </c>
      <c r="D479" s="6" t="s">
        <v>118</v>
      </c>
      <c r="E479" s="6" t="s">
        <v>114</v>
      </c>
      <c r="F479" s="6" t="s">
        <v>97</v>
      </c>
      <c r="G479" s="6" t="s">
        <v>160</v>
      </c>
      <c r="H479" s="6" t="s">
        <v>106</v>
      </c>
      <c r="I479" s="6" t="s">
        <v>111</v>
      </c>
      <c r="J479" s="25">
        <v>1</v>
      </c>
      <c r="K479" s="21">
        <v>279.05</v>
      </c>
      <c r="L479" s="63">
        <v>0.05</v>
      </c>
      <c r="M479" s="21">
        <v>121.29</v>
      </c>
      <c r="N479" s="6" t="s">
        <v>94</v>
      </c>
      <c r="O479" s="60">
        <f>Vendas2025[[#This Row],[Quantidade]]*Vendas2025[[#This Row],[Preço_Unitário_R$]]</f>
        <v>279.05</v>
      </c>
      <c r="P479" s="60">
        <f>Vendas2025[[#This Row],[Receita_Bruta_R$]]*Vendas2025[[#This Row],[Desconto_pct]]</f>
        <v>13.952500000000001</v>
      </c>
      <c r="Q479" s="60">
        <f t="shared" si="35"/>
        <v>265.09750000000003</v>
      </c>
      <c r="R479" s="60">
        <f t="shared" si="36"/>
        <v>121.29</v>
      </c>
      <c r="S479" s="60">
        <f t="shared" si="37"/>
        <v>143.8075</v>
      </c>
      <c r="T479" s="65">
        <f t="shared" si="38"/>
        <v>0.54247022321975868</v>
      </c>
    </row>
    <row r="480" spans="1:20">
      <c r="A480" s="41">
        <f t="shared" si="39"/>
        <v>7</v>
      </c>
      <c r="B480" s="6" t="s">
        <v>621</v>
      </c>
      <c r="C480" s="20">
        <v>45861</v>
      </c>
      <c r="D480" s="6" t="s">
        <v>96</v>
      </c>
      <c r="E480" s="6" t="s">
        <v>89</v>
      </c>
      <c r="F480" s="6" t="s">
        <v>104</v>
      </c>
      <c r="G480" s="6" t="s">
        <v>127</v>
      </c>
      <c r="H480" s="6" t="s">
        <v>92</v>
      </c>
      <c r="I480" s="6" t="s">
        <v>134</v>
      </c>
      <c r="J480" s="25">
        <v>2</v>
      </c>
      <c r="K480" s="21">
        <v>414.13</v>
      </c>
      <c r="L480" s="63">
        <v>0.1</v>
      </c>
      <c r="M480" s="21">
        <v>223.61</v>
      </c>
      <c r="N480" s="6" t="s">
        <v>94</v>
      </c>
      <c r="O480" s="60">
        <f>Vendas2025[[#This Row],[Quantidade]]*Vendas2025[[#This Row],[Preço_Unitário_R$]]</f>
        <v>828.26</v>
      </c>
      <c r="P480" s="60">
        <f>Vendas2025[[#This Row],[Receita_Bruta_R$]]*Vendas2025[[#This Row],[Desconto_pct]]</f>
        <v>82.826000000000008</v>
      </c>
      <c r="Q480" s="60">
        <f t="shared" si="35"/>
        <v>745.43399999999997</v>
      </c>
      <c r="R480" s="60">
        <f t="shared" si="36"/>
        <v>447.22</v>
      </c>
      <c r="S480" s="60">
        <f t="shared" si="37"/>
        <v>298.21399999999994</v>
      </c>
      <c r="T480" s="65">
        <f t="shared" si="38"/>
        <v>0.40005419661566277</v>
      </c>
    </row>
    <row r="481" spans="1:20">
      <c r="A481" s="41">
        <f t="shared" si="39"/>
        <v>7</v>
      </c>
      <c r="B481" s="6" t="s">
        <v>622</v>
      </c>
      <c r="C481" s="20">
        <v>45861</v>
      </c>
      <c r="D481" s="6" t="s">
        <v>132</v>
      </c>
      <c r="E481" s="6" t="s">
        <v>89</v>
      </c>
      <c r="F481" s="6" t="s">
        <v>122</v>
      </c>
      <c r="G481" s="6" t="s">
        <v>177</v>
      </c>
      <c r="H481" s="6" t="s">
        <v>106</v>
      </c>
      <c r="I481" s="6" t="s">
        <v>111</v>
      </c>
      <c r="J481" s="25">
        <v>1</v>
      </c>
      <c r="K481" s="21">
        <v>293.48</v>
      </c>
      <c r="L481" s="63">
        <v>0.05</v>
      </c>
      <c r="M481" s="21">
        <v>128.59</v>
      </c>
      <c r="N481" s="6" t="s">
        <v>94</v>
      </c>
      <c r="O481" s="60">
        <f>Vendas2025[[#This Row],[Quantidade]]*Vendas2025[[#This Row],[Preço_Unitário_R$]]</f>
        <v>293.48</v>
      </c>
      <c r="P481" s="60">
        <f>Vendas2025[[#This Row],[Receita_Bruta_R$]]*Vendas2025[[#This Row],[Desconto_pct]]</f>
        <v>14.674000000000001</v>
      </c>
      <c r="Q481" s="60">
        <f t="shared" si="35"/>
        <v>278.80600000000004</v>
      </c>
      <c r="R481" s="60">
        <f t="shared" si="36"/>
        <v>128.59</v>
      </c>
      <c r="S481" s="60">
        <f t="shared" si="37"/>
        <v>150.21600000000004</v>
      </c>
      <c r="T481" s="65">
        <f t="shared" si="38"/>
        <v>0.53878323995896793</v>
      </c>
    </row>
    <row r="482" spans="1:20">
      <c r="A482" s="41">
        <f t="shared" si="39"/>
        <v>7</v>
      </c>
      <c r="B482" s="6" t="s">
        <v>623</v>
      </c>
      <c r="C482" s="20">
        <v>45862</v>
      </c>
      <c r="D482" s="6" t="s">
        <v>132</v>
      </c>
      <c r="E482" s="6" t="s">
        <v>89</v>
      </c>
      <c r="F482" s="6" t="s">
        <v>97</v>
      </c>
      <c r="G482" s="6" t="s">
        <v>110</v>
      </c>
      <c r="H482" s="6" t="s">
        <v>119</v>
      </c>
      <c r="I482" s="6" t="s">
        <v>138</v>
      </c>
      <c r="J482" s="25">
        <v>1</v>
      </c>
      <c r="K482" s="21">
        <v>145.76</v>
      </c>
      <c r="L482" s="63">
        <v>0</v>
      </c>
      <c r="M482" s="21">
        <v>60.14</v>
      </c>
      <c r="N482" s="6" t="s">
        <v>94</v>
      </c>
      <c r="O482" s="60">
        <f>Vendas2025[[#This Row],[Quantidade]]*Vendas2025[[#This Row],[Preço_Unitário_R$]]</f>
        <v>145.76</v>
      </c>
      <c r="P482" s="60">
        <f>Vendas2025[[#This Row],[Receita_Bruta_R$]]*Vendas2025[[#This Row],[Desconto_pct]]</f>
        <v>0</v>
      </c>
      <c r="Q482" s="60">
        <f t="shared" si="35"/>
        <v>145.76</v>
      </c>
      <c r="R482" s="60">
        <f t="shared" si="36"/>
        <v>60.14</v>
      </c>
      <c r="S482" s="60">
        <f t="shared" si="37"/>
        <v>85.61999999999999</v>
      </c>
      <c r="T482" s="65">
        <f t="shared" si="38"/>
        <v>0.58740395170142701</v>
      </c>
    </row>
    <row r="483" spans="1:20">
      <c r="A483" s="41">
        <f t="shared" si="39"/>
        <v>7</v>
      </c>
      <c r="B483" s="6" t="s">
        <v>624</v>
      </c>
      <c r="C483" s="20">
        <v>45862</v>
      </c>
      <c r="D483" s="6" t="s">
        <v>113</v>
      </c>
      <c r="E483" s="6" t="s">
        <v>114</v>
      </c>
      <c r="F483" s="6" t="s">
        <v>97</v>
      </c>
      <c r="G483" s="6" t="s">
        <v>105</v>
      </c>
      <c r="H483" s="6" t="s">
        <v>106</v>
      </c>
      <c r="I483" s="6" t="s">
        <v>111</v>
      </c>
      <c r="J483" s="25">
        <v>1</v>
      </c>
      <c r="K483" s="21">
        <v>273.26</v>
      </c>
      <c r="L483" s="63">
        <v>0.15</v>
      </c>
      <c r="M483" s="21">
        <v>117.04</v>
      </c>
      <c r="N483" s="6" t="s">
        <v>108</v>
      </c>
      <c r="O483" s="60">
        <f>Vendas2025[[#This Row],[Quantidade]]*Vendas2025[[#This Row],[Preço_Unitário_R$]]</f>
        <v>273.26</v>
      </c>
      <c r="P483" s="60">
        <f>Vendas2025[[#This Row],[Receita_Bruta_R$]]*Vendas2025[[#This Row],[Desconto_pct]]</f>
        <v>40.988999999999997</v>
      </c>
      <c r="Q483" s="60">
        <f t="shared" si="35"/>
        <v>0</v>
      </c>
      <c r="R483" s="60">
        <f t="shared" si="36"/>
        <v>0</v>
      </c>
      <c r="S483" s="60">
        <f t="shared" si="37"/>
        <v>0</v>
      </c>
      <c r="T483" s="65" t="str">
        <f t="shared" si="38"/>
        <v/>
      </c>
    </row>
    <row r="484" spans="1:20">
      <c r="A484" s="41">
        <f t="shared" si="39"/>
        <v>7</v>
      </c>
      <c r="B484" s="6" t="s">
        <v>625</v>
      </c>
      <c r="C484" s="20">
        <v>45862</v>
      </c>
      <c r="D484" s="6" t="s">
        <v>136</v>
      </c>
      <c r="E484" s="6" t="s">
        <v>137</v>
      </c>
      <c r="F484" s="6" t="s">
        <v>122</v>
      </c>
      <c r="G484" s="6" t="s">
        <v>160</v>
      </c>
      <c r="H484" s="6" t="s">
        <v>119</v>
      </c>
      <c r="I484" s="6" t="s">
        <v>138</v>
      </c>
      <c r="J484" s="25">
        <v>2</v>
      </c>
      <c r="K484" s="21">
        <v>148.47999999999999</v>
      </c>
      <c r="L484" s="63">
        <v>0.03</v>
      </c>
      <c r="M484" s="21">
        <v>58.21</v>
      </c>
      <c r="N484" s="6" t="s">
        <v>94</v>
      </c>
      <c r="O484" s="60">
        <f>Vendas2025[[#This Row],[Quantidade]]*Vendas2025[[#This Row],[Preço_Unitário_R$]]</f>
        <v>296.95999999999998</v>
      </c>
      <c r="P484" s="60">
        <f>Vendas2025[[#This Row],[Receita_Bruta_R$]]*Vendas2025[[#This Row],[Desconto_pct]]</f>
        <v>8.9087999999999994</v>
      </c>
      <c r="Q484" s="60">
        <f t="shared" si="35"/>
        <v>288.05119999999999</v>
      </c>
      <c r="R484" s="60">
        <f t="shared" si="36"/>
        <v>116.42</v>
      </c>
      <c r="S484" s="60">
        <f t="shared" si="37"/>
        <v>171.63119999999998</v>
      </c>
      <c r="T484" s="65">
        <f t="shared" si="38"/>
        <v>0.59583574031283326</v>
      </c>
    </row>
    <row r="485" spans="1:20">
      <c r="A485" s="41">
        <f t="shared" si="39"/>
        <v>7</v>
      </c>
      <c r="B485" s="6" t="s">
        <v>626</v>
      </c>
      <c r="C485" s="20">
        <v>45862</v>
      </c>
      <c r="D485" s="6" t="s">
        <v>129</v>
      </c>
      <c r="E485" s="6" t="s">
        <v>103</v>
      </c>
      <c r="F485" s="6" t="s">
        <v>104</v>
      </c>
      <c r="G485" s="6" t="s">
        <v>140</v>
      </c>
      <c r="H485" s="6" t="s">
        <v>106</v>
      </c>
      <c r="I485" s="6" t="s">
        <v>107</v>
      </c>
      <c r="J485" s="25">
        <v>1</v>
      </c>
      <c r="K485" s="21">
        <v>727.23</v>
      </c>
      <c r="L485" s="63">
        <v>0.03</v>
      </c>
      <c r="M485" s="21">
        <v>403.93</v>
      </c>
      <c r="N485" s="6" t="s">
        <v>94</v>
      </c>
      <c r="O485" s="60">
        <f>Vendas2025[[#This Row],[Quantidade]]*Vendas2025[[#This Row],[Preço_Unitário_R$]]</f>
        <v>727.23</v>
      </c>
      <c r="P485" s="60">
        <f>Vendas2025[[#This Row],[Receita_Bruta_R$]]*Vendas2025[[#This Row],[Desconto_pct]]</f>
        <v>21.8169</v>
      </c>
      <c r="Q485" s="60">
        <f t="shared" si="35"/>
        <v>705.41309999999999</v>
      </c>
      <c r="R485" s="60">
        <f t="shared" si="36"/>
        <v>403.93</v>
      </c>
      <c r="S485" s="60">
        <f t="shared" si="37"/>
        <v>301.48309999999998</v>
      </c>
      <c r="T485" s="65">
        <f t="shared" si="38"/>
        <v>0.42738517331192172</v>
      </c>
    </row>
    <row r="486" spans="1:20">
      <c r="A486" s="41">
        <f t="shared" si="39"/>
        <v>7</v>
      </c>
      <c r="B486" s="6" t="s">
        <v>627</v>
      </c>
      <c r="C486" s="20">
        <v>45862</v>
      </c>
      <c r="D486" s="6" t="s">
        <v>118</v>
      </c>
      <c r="E486" s="6" t="s">
        <v>114</v>
      </c>
      <c r="F486" s="6" t="s">
        <v>122</v>
      </c>
      <c r="G486" s="6" t="s">
        <v>115</v>
      </c>
      <c r="H486" s="6" t="s">
        <v>124</v>
      </c>
      <c r="I486" s="6" t="s">
        <v>193</v>
      </c>
      <c r="J486" s="25">
        <v>1</v>
      </c>
      <c r="K486" s="21">
        <v>361.12</v>
      </c>
      <c r="L486" s="63">
        <v>0.15</v>
      </c>
      <c r="M486" s="21">
        <v>157.57</v>
      </c>
      <c r="N486" s="6" t="s">
        <v>94</v>
      </c>
      <c r="O486" s="60">
        <f>Vendas2025[[#This Row],[Quantidade]]*Vendas2025[[#This Row],[Preço_Unitário_R$]]</f>
        <v>361.12</v>
      </c>
      <c r="P486" s="60">
        <f>Vendas2025[[#This Row],[Receita_Bruta_R$]]*Vendas2025[[#This Row],[Desconto_pct]]</f>
        <v>54.167999999999999</v>
      </c>
      <c r="Q486" s="60">
        <f t="shared" si="35"/>
        <v>306.952</v>
      </c>
      <c r="R486" s="60">
        <f t="shared" si="36"/>
        <v>157.57</v>
      </c>
      <c r="S486" s="60">
        <f t="shared" si="37"/>
        <v>149.38200000000001</v>
      </c>
      <c r="T486" s="65">
        <f t="shared" si="38"/>
        <v>0.48666240975787745</v>
      </c>
    </row>
    <row r="487" spans="1:20">
      <c r="A487" s="41">
        <f t="shared" si="39"/>
        <v>7</v>
      </c>
      <c r="B487" s="6" t="s">
        <v>628</v>
      </c>
      <c r="C487" s="20">
        <v>45862</v>
      </c>
      <c r="D487" s="6" t="s">
        <v>129</v>
      </c>
      <c r="E487" s="6" t="s">
        <v>103</v>
      </c>
      <c r="F487" s="6" t="s">
        <v>97</v>
      </c>
      <c r="G487" s="6" t="s">
        <v>140</v>
      </c>
      <c r="H487" s="6" t="s">
        <v>119</v>
      </c>
      <c r="I487" s="6" t="s">
        <v>120</v>
      </c>
      <c r="J487" s="25">
        <v>1</v>
      </c>
      <c r="K487" s="21">
        <v>2417.59</v>
      </c>
      <c r="L487" s="63">
        <v>0</v>
      </c>
      <c r="M487" s="21">
        <v>1702.25</v>
      </c>
      <c r="N487" s="6" t="s">
        <v>94</v>
      </c>
      <c r="O487" s="60">
        <f>Vendas2025[[#This Row],[Quantidade]]*Vendas2025[[#This Row],[Preço_Unitário_R$]]</f>
        <v>2417.59</v>
      </c>
      <c r="P487" s="60">
        <f>Vendas2025[[#This Row],[Receita_Bruta_R$]]*Vendas2025[[#This Row],[Desconto_pct]]</f>
        <v>0</v>
      </c>
      <c r="Q487" s="60">
        <f t="shared" si="35"/>
        <v>2417.59</v>
      </c>
      <c r="R487" s="60">
        <f t="shared" si="36"/>
        <v>1702.25</v>
      </c>
      <c r="S487" s="60">
        <f t="shared" si="37"/>
        <v>715.34000000000015</v>
      </c>
      <c r="T487" s="65">
        <f t="shared" si="38"/>
        <v>0.29588970834591477</v>
      </c>
    </row>
    <row r="488" spans="1:20">
      <c r="A488" s="41">
        <f t="shared" si="39"/>
        <v>7</v>
      </c>
      <c r="B488" s="6" t="s">
        <v>629</v>
      </c>
      <c r="C488" s="20">
        <v>45863</v>
      </c>
      <c r="D488" s="6" t="s">
        <v>132</v>
      </c>
      <c r="E488" s="6" t="s">
        <v>89</v>
      </c>
      <c r="F488" s="6" t="s">
        <v>122</v>
      </c>
      <c r="G488" s="6" t="s">
        <v>115</v>
      </c>
      <c r="H488" s="6" t="s">
        <v>106</v>
      </c>
      <c r="I488" s="6" t="s">
        <v>107</v>
      </c>
      <c r="J488" s="25">
        <v>1</v>
      </c>
      <c r="K488" s="21">
        <v>697.64</v>
      </c>
      <c r="L488" s="63">
        <v>0.2</v>
      </c>
      <c r="M488" s="21">
        <v>384.37</v>
      </c>
      <c r="N488" s="6" t="s">
        <v>94</v>
      </c>
      <c r="O488" s="60">
        <f>Vendas2025[[#This Row],[Quantidade]]*Vendas2025[[#This Row],[Preço_Unitário_R$]]</f>
        <v>697.64</v>
      </c>
      <c r="P488" s="60">
        <f>Vendas2025[[#This Row],[Receita_Bruta_R$]]*Vendas2025[[#This Row],[Desconto_pct]]</f>
        <v>139.52799999999999</v>
      </c>
      <c r="Q488" s="60">
        <f t="shared" si="35"/>
        <v>558.11199999999997</v>
      </c>
      <c r="R488" s="60">
        <f t="shared" si="36"/>
        <v>384.37</v>
      </c>
      <c r="S488" s="60">
        <f t="shared" si="37"/>
        <v>173.74199999999996</v>
      </c>
      <c r="T488" s="65">
        <f t="shared" si="38"/>
        <v>0.31130310761997587</v>
      </c>
    </row>
    <row r="489" spans="1:20">
      <c r="A489" s="41">
        <f t="shared" si="39"/>
        <v>7</v>
      </c>
      <c r="B489" s="6" t="s">
        <v>630</v>
      </c>
      <c r="C489" s="20">
        <v>45863</v>
      </c>
      <c r="D489" s="6" t="s">
        <v>136</v>
      </c>
      <c r="E489" s="6" t="s">
        <v>137</v>
      </c>
      <c r="F489" s="6" t="s">
        <v>90</v>
      </c>
      <c r="G489" s="6" t="s">
        <v>91</v>
      </c>
      <c r="H489" s="6" t="s">
        <v>99</v>
      </c>
      <c r="I489" s="6" t="s">
        <v>158</v>
      </c>
      <c r="J489" s="25">
        <v>1</v>
      </c>
      <c r="K489" s="21">
        <v>185.88</v>
      </c>
      <c r="L489" s="63">
        <v>0.15</v>
      </c>
      <c r="M489" s="21">
        <v>82.53</v>
      </c>
      <c r="N489" s="6" t="s">
        <v>94</v>
      </c>
      <c r="O489" s="60">
        <f>Vendas2025[[#This Row],[Quantidade]]*Vendas2025[[#This Row],[Preço_Unitário_R$]]</f>
        <v>185.88</v>
      </c>
      <c r="P489" s="60">
        <f>Vendas2025[[#This Row],[Receita_Bruta_R$]]*Vendas2025[[#This Row],[Desconto_pct]]</f>
        <v>27.881999999999998</v>
      </c>
      <c r="Q489" s="60">
        <f t="shared" si="35"/>
        <v>157.99799999999999</v>
      </c>
      <c r="R489" s="60">
        <f t="shared" si="36"/>
        <v>82.53</v>
      </c>
      <c r="S489" s="60">
        <f t="shared" si="37"/>
        <v>75.467999999999989</v>
      </c>
      <c r="T489" s="65">
        <f t="shared" si="38"/>
        <v>0.47765161584323851</v>
      </c>
    </row>
    <row r="490" spans="1:20">
      <c r="A490" s="41">
        <f t="shared" si="39"/>
        <v>7</v>
      </c>
      <c r="B490" s="6" t="s">
        <v>631</v>
      </c>
      <c r="C490" s="20">
        <v>45863</v>
      </c>
      <c r="D490" s="6" t="s">
        <v>136</v>
      </c>
      <c r="E490" s="6" t="s">
        <v>137</v>
      </c>
      <c r="F490" s="6" t="s">
        <v>97</v>
      </c>
      <c r="G490" s="6" t="s">
        <v>177</v>
      </c>
      <c r="H490" s="6" t="s">
        <v>124</v>
      </c>
      <c r="I490" s="6" t="s">
        <v>125</v>
      </c>
      <c r="J490" s="25">
        <v>1</v>
      </c>
      <c r="K490" s="21">
        <v>707.69</v>
      </c>
      <c r="L490" s="63">
        <v>0.08</v>
      </c>
      <c r="M490" s="21">
        <v>353.13</v>
      </c>
      <c r="N490" s="6" t="s">
        <v>94</v>
      </c>
      <c r="O490" s="60">
        <f>Vendas2025[[#This Row],[Quantidade]]*Vendas2025[[#This Row],[Preço_Unitário_R$]]</f>
        <v>707.69</v>
      </c>
      <c r="P490" s="60">
        <f>Vendas2025[[#This Row],[Receita_Bruta_R$]]*Vendas2025[[#This Row],[Desconto_pct]]</f>
        <v>56.615200000000009</v>
      </c>
      <c r="Q490" s="60">
        <f t="shared" si="35"/>
        <v>651.0748000000001</v>
      </c>
      <c r="R490" s="60">
        <f t="shared" si="36"/>
        <v>353.13</v>
      </c>
      <c r="S490" s="60">
        <f t="shared" si="37"/>
        <v>297.9448000000001</v>
      </c>
      <c r="T490" s="65">
        <f t="shared" si="38"/>
        <v>0.45761992324077055</v>
      </c>
    </row>
    <row r="491" spans="1:20">
      <c r="A491" s="41">
        <f t="shared" si="39"/>
        <v>7</v>
      </c>
      <c r="B491" s="6" t="s">
        <v>632</v>
      </c>
      <c r="C491" s="20">
        <v>45863</v>
      </c>
      <c r="D491" s="6" t="s">
        <v>102</v>
      </c>
      <c r="E491" s="6" t="s">
        <v>103</v>
      </c>
      <c r="F491" s="6" t="s">
        <v>104</v>
      </c>
      <c r="G491" s="6" t="s">
        <v>151</v>
      </c>
      <c r="H491" s="6" t="s">
        <v>106</v>
      </c>
      <c r="I491" s="6" t="s">
        <v>116</v>
      </c>
      <c r="J491" s="25">
        <v>1</v>
      </c>
      <c r="K491" s="21">
        <v>482.7</v>
      </c>
      <c r="L491" s="63">
        <v>0.03</v>
      </c>
      <c r="M491" s="21">
        <v>272.12</v>
      </c>
      <c r="N491" s="6" t="s">
        <v>94</v>
      </c>
      <c r="O491" s="60">
        <f>Vendas2025[[#This Row],[Quantidade]]*Vendas2025[[#This Row],[Preço_Unitário_R$]]</f>
        <v>482.7</v>
      </c>
      <c r="P491" s="60">
        <f>Vendas2025[[#This Row],[Receita_Bruta_R$]]*Vendas2025[[#This Row],[Desconto_pct]]</f>
        <v>14.481</v>
      </c>
      <c r="Q491" s="60">
        <f t="shared" si="35"/>
        <v>468.21899999999999</v>
      </c>
      <c r="R491" s="60">
        <f t="shared" si="36"/>
        <v>272.12</v>
      </c>
      <c r="S491" s="60">
        <f t="shared" si="37"/>
        <v>196.09899999999999</v>
      </c>
      <c r="T491" s="65">
        <f t="shared" si="38"/>
        <v>0.41881897146420799</v>
      </c>
    </row>
    <row r="492" spans="1:20">
      <c r="A492" s="41">
        <f t="shared" si="39"/>
        <v>7</v>
      </c>
      <c r="B492" s="6" t="s">
        <v>633</v>
      </c>
      <c r="C492" s="20">
        <v>45863</v>
      </c>
      <c r="D492" s="6" t="s">
        <v>96</v>
      </c>
      <c r="E492" s="6" t="s">
        <v>89</v>
      </c>
      <c r="F492" s="6" t="s">
        <v>97</v>
      </c>
      <c r="G492" s="6" t="s">
        <v>98</v>
      </c>
      <c r="H492" s="6" t="s">
        <v>119</v>
      </c>
      <c r="I492" s="6" t="s">
        <v>155</v>
      </c>
      <c r="J492" s="25">
        <v>2</v>
      </c>
      <c r="K492" s="21">
        <v>379.07</v>
      </c>
      <c r="L492" s="63">
        <v>0.1</v>
      </c>
      <c r="M492" s="21">
        <v>215.94</v>
      </c>
      <c r="N492" s="6" t="s">
        <v>94</v>
      </c>
      <c r="O492" s="60">
        <f>Vendas2025[[#This Row],[Quantidade]]*Vendas2025[[#This Row],[Preço_Unitário_R$]]</f>
        <v>758.14</v>
      </c>
      <c r="P492" s="60">
        <f>Vendas2025[[#This Row],[Receita_Bruta_R$]]*Vendas2025[[#This Row],[Desconto_pct]]</f>
        <v>75.814000000000007</v>
      </c>
      <c r="Q492" s="60">
        <f t="shared" si="35"/>
        <v>682.32600000000002</v>
      </c>
      <c r="R492" s="60">
        <f t="shared" si="36"/>
        <v>431.88</v>
      </c>
      <c r="S492" s="60">
        <f t="shared" si="37"/>
        <v>250.44600000000003</v>
      </c>
      <c r="T492" s="65">
        <f t="shared" si="38"/>
        <v>0.36704742307929056</v>
      </c>
    </row>
    <row r="493" spans="1:20">
      <c r="A493" s="41">
        <f t="shared" si="39"/>
        <v>7</v>
      </c>
      <c r="B493" s="6" t="s">
        <v>634</v>
      </c>
      <c r="C493" s="20">
        <v>45863</v>
      </c>
      <c r="D493" s="6" t="s">
        <v>136</v>
      </c>
      <c r="E493" s="6" t="s">
        <v>137</v>
      </c>
      <c r="F493" s="6" t="s">
        <v>97</v>
      </c>
      <c r="G493" s="6" t="s">
        <v>151</v>
      </c>
      <c r="H493" s="6" t="s">
        <v>119</v>
      </c>
      <c r="I493" s="6" t="s">
        <v>138</v>
      </c>
      <c r="J493" s="25">
        <v>2</v>
      </c>
      <c r="K493" s="21">
        <v>137.9</v>
      </c>
      <c r="L493" s="63">
        <v>0.15</v>
      </c>
      <c r="M493" s="21">
        <v>54.99</v>
      </c>
      <c r="N493" s="6" t="s">
        <v>94</v>
      </c>
      <c r="O493" s="60">
        <f>Vendas2025[[#This Row],[Quantidade]]*Vendas2025[[#This Row],[Preço_Unitário_R$]]</f>
        <v>275.8</v>
      </c>
      <c r="P493" s="60">
        <f>Vendas2025[[#This Row],[Receita_Bruta_R$]]*Vendas2025[[#This Row],[Desconto_pct]]</f>
        <v>41.37</v>
      </c>
      <c r="Q493" s="60">
        <f t="shared" si="35"/>
        <v>234.43</v>
      </c>
      <c r="R493" s="60">
        <f t="shared" si="36"/>
        <v>109.98</v>
      </c>
      <c r="S493" s="60">
        <f t="shared" si="37"/>
        <v>124.45</v>
      </c>
      <c r="T493" s="65">
        <f t="shared" si="38"/>
        <v>0.53086209102930515</v>
      </c>
    </row>
    <row r="494" spans="1:20">
      <c r="A494" s="41">
        <f t="shared" si="39"/>
        <v>7</v>
      </c>
      <c r="B494" s="6" t="s">
        <v>635</v>
      </c>
      <c r="C494" s="20">
        <v>45864</v>
      </c>
      <c r="D494" s="6" t="s">
        <v>102</v>
      </c>
      <c r="E494" s="6" t="s">
        <v>103</v>
      </c>
      <c r="F494" s="6" t="s">
        <v>97</v>
      </c>
      <c r="G494" s="6" t="s">
        <v>110</v>
      </c>
      <c r="H494" s="6" t="s">
        <v>106</v>
      </c>
      <c r="I494" s="6" t="s">
        <v>170</v>
      </c>
      <c r="J494" s="25">
        <v>2</v>
      </c>
      <c r="K494" s="21">
        <v>541.07000000000005</v>
      </c>
      <c r="L494" s="63">
        <v>0</v>
      </c>
      <c r="M494" s="21">
        <v>288.26</v>
      </c>
      <c r="N494" s="6" t="s">
        <v>94</v>
      </c>
      <c r="O494" s="60">
        <f>Vendas2025[[#This Row],[Quantidade]]*Vendas2025[[#This Row],[Preço_Unitário_R$]]</f>
        <v>1082.1400000000001</v>
      </c>
      <c r="P494" s="60">
        <f>Vendas2025[[#This Row],[Receita_Bruta_R$]]*Vendas2025[[#This Row],[Desconto_pct]]</f>
        <v>0</v>
      </c>
      <c r="Q494" s="60">
        <f t="shared" si="35"/>
        <v>1082.1400000000001</v>
      </c>
      <c r="R494" s="60">
        <f t="shared" si="36"/>
        <v>576.52</v>
      </c>
      <c r="S494" s="60">
        <f t="shared" si="37"/>
        <v>505.62000000000012</v>
      </c>
      <c r="T494" s="65">
        <f t="shared" si="38"/>
        <v>0.4672408375995713</v>
      </c>
    </row>
    <row r="495" spans="1:20">
      <c r="A495" s="41">
        <f t="shared" si="39"/>
        <v>7</v>
      </c>
      <c r="B495" s="6" t="s">
        <v>636</v>
      </c>
      <c r="C495" s="20">
        <v>45864</v>
      </c>
      <c r="D495" s="6" t="s">
        <v>102</v>
      </c>
      <c r="E495" s="6" t="s">
        <v>103</v>
      </c>
      <c r="F495" s="6" t="s">
        <v>97</v>
      </c>
      <c r="G495" s="6" t="s">
        <v>105</v>
      </c>
      <c r="H495" s="6" t="s">
        <v>124</v>
      </c>
      <c r="I495" s="6" t="s">
        <v>125</v>
      </c>
      <c r="J495" s="25">
        <v>2</v>
      </c>
      <c r="K495" s="21">
        <v>683.55</v>
      </c>
      <c r="L495" s="63">
        <v>0</v>
      </c>
      <c r="M495" s="21">
        <v>330.63</v>
      </c>
      <c r="N495" s="6" t="s">
        <v>94</v>
      </c>
      <c r="O495" s="60">
        <f>Vendas2025[[#This Row],[Quantidade]]*Vendas2025[[#This Row],[Preço_Unitário_R$]]</f>
        <v>1367.1</v>
      </c>
      <c r="P495" s="60">
        <f>Vendas2025[[#This Row],[Receita_Bruta_R$]]*Vendas2025[[#This Row],[Desconto_pct]]</f>
        <v>0</v>
      </c>
      <c r="Q495" s="60">
        <f t="shared" si="35"/>
        <v>1367.1</v>
      </c>
      <c r="R495" s="60">
        <f t="shared" si="36"/>
        <v>661.26</v>
      </c>
      <c r="S495" s="60">
        <f t="shared" si="37"/>
        <v>705.83999999999992</v>
      </c>
      <c r="T495" s="65">
        <f t="shared" si="38"/>
        <v>0.51630458635066923</v>
      </c>
    </row>
    <row r="496" spans="1:20">
      <c r="A496" s="41">
        <f t="shared" si="39"/>
        <v>7</v>
      </c>
      <c r="B496" s="6" t="s">
        <v>637</v>
      </c>
      <c r="C496" s="20">
        <v>45864</v>
      </c>
      <c r="D496" s="6" t="s">
        <v>88</v>
      </c>
      <c r="E496" s="6" t="s">
        <v>89</v>
      </c>
      <c r="F496" s="6" t="s">
        <v>122</v>
      </c>
      <c r="G496" s="6" t="s">
        <v>115</v>
      </c>
      <c r="H496" s="6" t="s">
        <v>92</v>
      </c>
      <c r="I496" s="6" t="s">
        <v>93</v>
      </c>
      <c r="J496" s="25">
        <v>1</v>
      </c>
      <c r="K496" s="21">
        <v>233.95</v>
      </c>
      <c r="L496" s="63">
        <v>0.05</v>
      </c>
      <c r="M496" s="21">
        <v>101.63</v>
      </c>
      <c r="N496" s="6" t="s">
        <v>94</v>
      </c>
      <c r="O496" s="60">
        <f>Vendas2025[[#This Row],[Quantidade]]*Vendas2025[[#This Row],[Preço_Unitário_R$]]</f>
        <v>233.95</v>
      </c>
      <c r="P496" s="60">
        <f>Vendas2025[[#This Row],[Receita_Bruta_R$]]*Vendas2025[[#This Row],[Desconto_pct]]</f>
        <v>11.6975</v>
      </c>
      <c r="Q496" s="60">
        <f t="shared" si="35"/>
        <v>222.2525</v>
      </c>
      <c r="R496" s="60">
        <f t="shared" si="36"/>
        <v>101.63</v>
      </c>
      <c r="S496" s="60">
        <f t="shared" si="37"/>
        <v>120.6225</v>
      </c>
      <c r="T496" s="65">
        <f t="shared" si="38"/>
        <v>0.54272730340491104</v>
      </c>
    </row>
    <row r="497" spans="1:20">
      <c r="A497" s="41">
        <f t="shared" si="39"/>
        <v>7</v>
      </c>
      <c r="B497" s="6" t="s">
        <v>638</v>
      </c>
      <c r="C497" s="20">
        <v>45864</v>
      </c>
      <c r="D497" s="6" t="s">
        <v>132</v>
      </c>
      <c r="E497" s="6" t="s">
        <v>89</v>
      </c>
      <c r="F497" s="6" t="s">
        <v>122</v>
      </c>
      <c r="G497" s="6" t="s">
        <v>105</v>
      </c>
      <c r="H497" s="6" t="s">
        <v>124</v>
      </c>
      <c r="I497" s="6" t="s">
        <v>199</v>
      </c>
      <c r="J497" s="25">
        <v>1</v>
      </c>
      <c r="K497" s="21">
        <v>298.33</v>
      </c>
      <c r="L497" s="63">
        <v>0.03</v>
      </c>
      <c r="M497" s="21">
        <v>138.55000000000001</v>
      </c>
      <c r="N497" s="6" t="s">
        <v>94</v>
      </c>
      <c r="O497" s="60">
        <f>Vendas2025[[#This Row],[Quantidade]]*Vendas2025[[#This Row],[Preço_Unitário_R$]]</f>
        <v>298.33</v>
      </c>
      <c r="P497" s="60">
        <f>Vendas2025[[#This Row],[Receita_Bruta_R$]]*Vendas2025[[#This Row],[Desconto_pct]]</f>
        <v>8.9498999999999995</v>
      </c>
      <c r="Q497" s="60">
        <f t="shared" si="35"/>
        <v>289.38009999999997</v>
      </c>
      <c r="R497" s="60">
        <f t="shared" si="36"/>
        <v>138.55000000000001</v>
      </c>
      <c r="S497" s="60">
        <f t="shared" si="37"/>
        <v>150.83009999999996</v>
      </c>
      <c r="T497" s="65">
        <f t="shared" si="38"/>
        <v>0.5212179413857414</v>
      </c>
    </row>
    <row r="498" spans="1:20">
      <c r="A498" s="41">
        <f t="shared" si="39"/>
        <v>7</v>
      </c>
      <c r="B498" s="6" t="s">
        <v>639</v>
      </c>
      <c r="C498" s="20">
        <v>45864</v>
      </c>
      <c r="D498" s="6" t="s">
        <v>102</v>
      </c>
      <c r="E498" s="6" t="s">
        <v>103</v>
      </c>
      <c r="F498" s="6" t="s">
        <v>97</v>
      </c>
      <c r="G498" s="6" t="s">
        <v>154</v>
      </c>
      <c r="H498" s="6" t="s">
        <v>119</v>
      </c>
      <c r="I498" s="6" t="s">
        <v>120</v>
      </c>
      <c r="J498" s="25">
        <v>1</v>
      </c>
      <c r="K498" s="21">
        <v>2347.34</v>
      </c>
      <c r="L498" s="63">
        <v>0.1</v>
      </c>
      <c r="M498" s="21">
        <v>1674.44</v>
      </c>
      <c r="N498" s="6" t="s">
        <v>94</v>
      </c>
      <c r="O498" s="60">
        <f>Vendas2025[[#This Row],[Quantidade]]*Vendas2025[[#This Row],[Preço_Unitário_R$]]</f>
        <v>2347.34</v>
      </c>
      <c r="P498" s="60">
        <f>Vendas2025[[#This Row],[Receita_Bruta_R$]]*Vendas2025[[#This Row],[Desconto_pct]]</f>
        <v>234.73400000000004</v>
      </c>
      <c r="Q498" s="60">
        <f t="shared" si="35"/>
        <v>2112.6060000000002</v>
      </c>
      <c r="R498" s="60">
        <f t="shared" si="36"/>
        <v>1674.44</v>
      </c>
      <c r="S498" s="60">
        <f t="shared" si="37"/>
        <v>438.16600000000017</v>
      </c>
      <c r="T498" s="65">
        <f t="shared" si="38"/>
        <v>0.20740545089808518</v>
      </c>
    </row>
    <row r="499" spans="1:20">
      <c r="A499" s="41">
        <f t="shared" si="39"/>
        <v>7</v>
      </c>
      <c r="B499" s="6" t="s">
        <v>640</v>
      </c>
      <c r="C499" s="20">
        <v>45865</v>
      </c>
      <c r="D499" s="6" t="s">
        <v>129</v>
      </c>
      <c r="E499" s="6" t="s">
        <v>103</v>
      </c>
      <c r="F499" s="6" t="s">
        <v>97</v>
      </c>
      <c r="G499" s="6" t="s">
        <v>98</v>
      </c>
      <c r="H499" s="6" t="s">
        <v>106</v>
      </c>
      <c r="I499" s="6" t="s">
        <v>111</v>
      </c>
      <c r="J499" s="25">
        <v>1</v>
      </c>
      <c r="K499" s="21">
        <v>311.06</v>
      </c>
      <c r="L499" s="63">
        <v>0.08</v>
      </c>
      <c r="M499" s="21">
        <v>136.29</v>
      </c>
      <c r="N499" s="6" t="s">
        <v>94</v>
      </c>
      <c r="O499" s="60">
        <f>Vendas2025[[#This Row],[Quantidade]]*Vendas2025[[#This Row],[Preço_Unitário_R$]]</f>
        <v>311.06</v>
      </c>
      <c r="P499" s="60">
        <f>Vendas2025[[#This Row],[Receita_Bruta_R$]]*Vendas2025[[#This Row],[Desconto_pct]]</f>
        <v>24.884800000000002</v>
      </c>
      <c r="Q499" s="60">
        <f t="shared" si="35"/>
        <v>286.17520000000002</v>
      </c>
      <c r="R499" s="60">
        <f t="shared" si="36"/>
        <v>136.29</v>
      </c>
      <c r="S499" s="60">
        <f t="shared" si="37"/>
        <v>149.88520000000003</v>
      </c>
      <c r="T499" s="65">
        <f t="shared" si="38"/>
        <v>0.52375328120675735</v>
      </c>
    </row>
    <row r="500" spans="1:20">
      <c r="A500" s="41">
        <f t="shared" si="39"/>
        <v>7</v>
      </c>
      <c r="B500" s="6" t="s">
        <v>641</v>
      </c>
      <c r="C500" s="20">
        <v>45865</v>
      </c>
      <c r="D500" s="6" t="s">
        <v>136</v>
      </c>
      <c r="E500" s="6" t="s">
        <v>137</v>
      </c>
      <c r="F500" s="6" t="s">
        <v>122</v>
      </c>
      <c r="G500" s="6" t="s">
        <v>115</v>
      </c>
      <c r="H500" s="6" t="s">
        <v>106</v>
      </c>
      <c r="I500" s="6" t="s">
        <v>116</v>
      </c>
      <c r="J500" s="25">
        <v>1</v>
      </c>
      <c r="K500" s="21">
        <v>448.87</v>
      </c>
      <c r="L500" s="63">
        <v>0.2</v>
      </c>
      <c r="M500" s="21">
        <v>246.42</v>
      </c>
      <c r="N500" s="6" t="s">
        <v>94</v>
      </c>
      <c r="O500" s="60">
        <f>Vendas2025[[#This Row],[Quantidade]]*Vendas2025[[#This Row],[Preço_Unitário_R$]]</f>
        <v>448.87</v>
      </c>
      <c r="P500" s="60">
        <f>Vendas2025[[#This Row],[Receita_Bruta_R$]]*Vendas2025[[#This Row],[Desconto_pct]]</f>
        <v>89.774000000000001</v>
      </c>
      <c r="Q500" s="60">
        <f t="shared" si="35"/>
        <v>359.096</v>
      </c>
      <c r="R500" s="60">
        <f t="shared" si="36"/>
        <v>246.42</v>
      </c>
      <c r="S500" s="60">
        <f t="shared" si="37"/>
        <v>112.67600000000002</v>
      </c>
      <c r="T500" s="65">
        <f t="shared" si="38"/>
        <v>0.31377681734132379</v>
      </c>
    </row>
    <row r="501" spans="1:20">
      <c r="A501" s="41">
        <f t="shared" si="39"/>
        <v>7</v>
      </c>
      <c r="B501" s="6" t="s">
        <v>642</v>
      </c>
      <c r="C501" s="20">
        <v>45866</v>
      </c>
      <c r="D501" s="6" t="s">
        <v>113</v>
      </c>
      <c r="E501" s="6" t="s">
        <v>114</v>
      </c>
      <c r="F501" s="6" t="s">
        <v>90</v>
      </c>
      <c r="G501" s="6" t="s">
        <v>105</v>
      </c>
      <c r="H501" s="6" t="s">
        <v>106</v>
      </c>
      <c r="I501" s="6" t="s">
        <v>111</v>
      </c>
      <c r="J501" s="25">
        <v>2</v>
      </c>
      <c r="K501" s="21">
        <v>299.63</v>
      </c>
      <c r="L501" s="63">
        <v>0.25</v>
      </c>
      <c r="M501" s="21">
        <v>136.22</v>
      </c>
      <c r="N501" s="6" t="s">
        <v>108</v>
      </c>
      <c r="O501" s="60">
        <f>Vendas2025[[#This Row],[Quantidade]]*Vendas2025[[#This Row],[Preço_Unitário_R$]]</f>
        <v>599.26</v>
      </c>
      <c r="P501" s="60">
        <f>Vendas2025[[#This Row],[Receita_Bruta_R$]]*Vendas2025[[#This Row],[Desconto_pct]]</f>
        <v>149.815</v>
      </c>
      <c r="Q501" s="60">
        <f t="shared" si="35"/>
        <v>0</v>
      </c>
      <c r="R501" s="60">
        <f t="shared" si="36"/>
        <v>0</v>
      </c>
      <c r="S501" s="60">
        <f t="shared" si="37"/>
        <v>0</v>
      </c>
      <c r="T501" s="65" t="str">
        <f t="shared" si="38"/>
        <v/>
      </c>
    </row>
    <row r="502" spans="1:20">
      <c r="A502" s="41">
        <f t="shared" si="39"/>
        <v>7</v>
      </c>
      <c r="B502" s="6" t="s">
        <v>643</v>
      </c>
      <c r="C502" s="20">
        <v>45866</v>
      </c>
      <c r="D502" s="6" t="s">
        <v>118</v>
      </c>
      <c r="E502" s="6" t="s">
        <v>114</v>
      </c>
      <c r="F502" s="6" t="s">
        <v>90</v>
      </c>
      <c r="G502" s="6" t="s">
        <v>154</v>
      </c>
      <c r="H502" s="6" t="s">
        <v>99</v>
      </c>
      <c r="I502" s="6" t="s">
        <v>100</v>
      </c>
      <c r="J502" s="25">
        <v>1</v>
      </c>
      <c r="K502" s="21">
        <v>429.05</v>
      </c>
      <c r="L502" s="63">
        <v>0.05</v>
      </c>
      <c r="M502" s="21">
        <v>252.21</v>
      </c>
      <c r="N502" s="6" t="s">
        <v>94</v>
      </c>
      <c r="O502" s="60">
        <f>Vendas2025[[#This Row],[Quantidade]]*Vendas2025[[#This Row],[Preço_Unitário_R$]]</f>
        <v>429.05</v>
      </c>
      <c r="P502" s="60">
        <f>Vendas2025[[#This Row],[Receita_Bruta_R$]]*Vendas2025[[#This Row],[Desconto_pct]]</f>
        <v>21.452500000000001</v>
      </c>
      <c r="Q502" s="60">
        <f t="shared" si="35"/>
        <v>407.59750000000003</v>
      </c>
      <c r="R502" s="60">
        <f t="shared" si="36"/>
        <v>252.21</v>
      </c>
      <c r="S502" s="60">
        <f t="shared" si="37"/>
        <v>155.38750000000002</v>
      </c>
      <c r="T502" s="65">
        <f t="shared" si="38"/>
        <v>0.38122780439036058</v>
      </c>
    </row>
    <row r="503" spans="1:20">
      <c r="A503" s="41">
        <f t="shared" si="39"/>
        <v>8</v>
      </c>
      <c r="B503" s="6" t="s">
        <v>644</v>
      </c>
      <c r="C503" s="20">
        <v>45870</v>
      </c>
      <c r="D503" s="6" t="s">
        <v>136</v>
      </c>
      <c r="E503" s="6" t="s">
        <v>137</v>
      </c>
      <c r="F503" s="6" t="s">
        <v>97</v>
      </c>
      <c r="G503" s="6" t="s">
        <v>177</v>
      </c>
      <c r="H503" s="6" t="s">
        <v>124</v>
      </c>
      <c r="I503" s="6" t="s">
        <v>199</v>
      </c>
      <c r="J503" s="25">
        <v>1</v>
      </c>
      <c r="K503" s="21">
        <v>302.63</v>
      </c>
      <c r="L503" s="63">
        <v>0.1</v>
      </c>
      <c r="M503" s="21">
        <v>143.49</v>
      </c>
      <c r="N503" s="6" t="s">
        <v>94</v>
      </c>
      <c r="O503" s="60">
        <f>Vendas2025[[#This Row],[Quantidade]]*Vendas2025[[#This Row],[Preço_Unitário_R$]]</f>
        <v>302.63</v>
      </c>
      <c r="P503" s="60">
        <f>Vendas2025[[#This Row],[Receita_Bruta_R$]]*Vendas2025[[#This Row],[Desconto_pct]]</f>
        <v>30.263000000000002</v>
      </c>
      <c r="Q503" s="60">
        <f t="shared" si="35"/>
        <v>272.36700000000002</v>
      </c>
      <c r="R503" s="60">
        <f t="shared" si="36"/>
        <v>143.49</v>
      </c>
      <c r="S503" s="60">
        <f t="shared" si="37"/>
        <v>128.87700000000001</v>
      </c>
      <c r="T503" s="65">
        <f t="shared" si="38"/>
        <v>0.47317406293713998</v>
      </c>
    </row>
    <row r="504" spans="1:20">
      <c r="A504" s="41">
        <f t="shared" si="39"/>
        <v>8</v>
      </c>
      <c r="B504" s="6" t="s">
        <v>645</v>
      </c>
      <c r="C504" s="20">
        <v>45870</v>
      </c>
      <c r="D504" s="6" t="s">
        <v>96</v>
      </c>
      <c r="E504" s="6" t="s">
        <v>89</v>
      </c>
      <c r="F504" s="6" t="s">
        <v>97</v>
      </c>
      <c r="G504" s="6" t="s">
        <v>127</v>
      </c>
      <c r="H504" s="6" t="s">
        <v>124</v>
      </c>
      <c r="I504" s="6" t="s">
        <v>125</v>
      </c>
      <c r="J504" s="25">
        <v>1</v>
      </c>
      <c r="K504" s="21">
        <v>664.12</v>
      </c>
      <c r="L504" s="63">
        <v>0.15</v>
      </c>
      <c r="M504" s="21">
        <v>314.05</v>
      </c>
      <c r="N504" s="6" t="s">
        <v>94</v>
      </c>
      <c r="O504" s="60">
        <f>Vendas2025[[#This Row],[Quantidade]]*Vendas2025[[#This Row],[Preço_Unitário_R$]]</f>
        <v>664.12</v>
      </c>
      <c r="P504" s="60">
        <f>Vendas2025[[#This Row],[Receita_Bruta_R$]]*Vendas2025[[#This Row],[Desconto_pct]]</f>
        <v>99.617999999999995</v>
      </c>
      <c r="Q504" s="60">
        <f t="shared" si="35"/>
        <v>564.50199999999995</v>
      </c>
      <c r="R504" s="60">
        <f t="shared" si="36"/>
        <v>314.05</v>
      </c>
      <c r="S504" s="60">
        <f t="shared" si="37"/>
        <v>250.45199999999994</v>
      </c>
      <c r="T504" s="65">
        <f t="shared" si="38"/>
        <v>0.44366893297100801</v>
      </c>
    </row>
    <row r="505" spans="1:20">
      <c r="A505" s="41">
        <f t="shared" si="39"/>
        <v>8</v>
      </c>
      <c r="B505" s="6" t="s">
        <v>646</v>
      </c>
      <c r="C505" s="20">
        <v>45871</v>
      </c>
      <c r="D505" s="6" t="s">
        <v>113</v>
      </c>
      <c r="E505" s="6" t="s">
        <v>114</v>
      </c>
      <c r="F505" s="6" t="s">
        <v>122</v>
      </c>
      <c r="G505" s="6" t="s">
        <v>154</v>
      </c>
      <c r="H505" s="6" t="s">
        <v>99</v>
      </c>
      <c r="I505" s="6" t="s">
        <v>173</v>
      </c>
      <c r="J505" s="25">
        <v>1</v>
      </c>
      <c r="K505" s="21">
        <v>3989.56</v>
      </c>
      <c r="L505" s="63">
        <v>0.05</v>
      </c>
      <c r="M505" s="21">
        <v>3222.66</v>
      </c>
      <c r="N505" s="6" t="s">
        <v>94</v>
      </c>
      <c r="O505" s="60">
        <f>Vendas2025[[#This Row],[Quantidade]]*Vendas2025[[#This Row],[Preço_Unitário_R$]]</f>
        <v>3989.56</v>
      </c>
      <c r="P505" s="60">
        <f>Vendas2025[[#This Row],[Receita_Bruta_R$]]*Vendas2025[[#This Row],[Desconto_pct]]</f>
        <v>199.47800000000001</v>
      </c>
      <c r="Q505" s="60">
        <f t="shared" si="35"/>
        <v>3790.0819999999999</v>
      </c>
      <c r="R505" s="60">
        <f t="shared" si="36"/>
        <v>3222.66</v>
      </c>
      <c r="S505" s="60">
        <f t="shared" si="37"/>
        <v>567.42200000000003</v>
      </c>
      <c r="T505" s="65">
        <f t="shared" si="38"/>
        <v>0.14971232812377147</v>
      </c>
    </row>
    <row r="506" spans="1:20">
      <c r="A506" s="41">
        <f t="shared" si="39"/>
        <v>8</v>
      </c>
      <c r="B506" s="6" t="s">
        <v>647</v>
      </c>
      <c r="C506" s="20">
        <v>45871</v>
      </c>
      <c r="D506" s="6" t="s">
        <v>136</v>
      </c>
      <c r="E506" s="6" t="s">
        <v>137</v>
      </c>
      <c r="F506" s="6" t="s">
        <v>97</v>
      </c>
      <c r="G506" s="6" t="s">
        <v>140</v>
      </c>
      <c r="H506" s="6" t="s">
        <v>99</v>
      </c>
      <c r="I506" s="6" t="s">
        <v>173</v>
      </c>
      <c r="J506" s="25">
        <v>1</v>
      </c>
      <c r="K506" s="21">
        <v>4143.42</v>
      </c>
      <c r="L506" s="63">
        <v>0</v>
      </c>
      <c r="M506" s="21">
        <v>3299.05</v>
      </c>
      <c r="N506" s="6" t="s">
        <v>94</v>
      </c>
      <c r="O506" s="60">
        <f>Vendas2025[[#This Row],[Quantidade]]*Vendas2025[[#This Row],[Preço_Unitário_R$]]</f>
        <v>4143.42</v>
      </c>
      <c r="P506" s="60">
        <f>Vendas2025[[#This Row],[Receita_Bruta_R$]]*Vendas2025[[#This Row],[Desconto_pct]]</f>
        <v>0</v>
      </c>
      <c r="Q506" s="60">
        <f t="shared" si="35"/>
        <v>4143.42</v>
      </c>
      <c r="R506" s="60">
        <f t="shared" si="36"/>
        <v>3299.05</v>
      </c>
      <c r="S506" s="60">
        <f t="shared" si="37"/>
        <v>844.36999999999989</v>
      </c>
      <c r="T506" s="65">
        <f t="shared" si="38"/>
        <v>0.20378576152067612</v>
      </c>
    </row>
    <row r="507" spans="1:20">
      <c r="A507" s="41">
        <f t="shared" si="39"/>
        <v>8</v>
      </c>
      <c r="B507" s="6" t="s">
        <v>648</v>
      </c>
      <c r="C507" s="20">
        <v>45871</v>
      </c>
      <c r="D507" s="6" t="s">
        <v>88</v>
      </c>
      <c r="E507" s="6" t="s">
        <v>89</v>
      </c>
      <c r="F507" s="6" t="s">
        <v>97</v>
      </c>
      <c r="G507" s="6" t="s">
        <v>154</v>
      </c>
      <c r="H507" s="6" t="s">
        <v>92</v>
      </c>
      <c r="I507" s="6" t="s">
        <v>134</v>
      </c>
      <c r="J507" s="25">
        <v>1</v>
      </c>
      <c r="K507" s="21">
        <v>435.83</v>
      </c>
      <c r="L507" s="63">
        <v>0.15</v>
      </c>
      <c r="M507" s="21">
        <v>244.01</v>
      </c>
      <c r="N507" s="6" t="s">
        <v>94</v>
      </c>
      <c r="O507" s="60">
        <f>Vendas2025[[#This Row],[Quantidade]]*Vendas2025[[#This Row],[Preço_Unitário_R$]]</f>
        <v>435.83</v>
      </c>
      <c r="P507" s="60">
        <f>Vendas2025[[#This Row],[Receita_Bruta_R$]]*Vendas2025[[#This Row],[Desconto_pct]]</f>
        <v>65.374499999999998</v>
      </c>
      <c r="Q507" s="60">
        <f t="shared" si="35"/>
        <v>370.45549999999997</v>
      </c>
      <c r="R507" s="60">
        <f t="shared" si="36"/>
        <v>244.01</v>
      </c>
      <c r="S507" s="60">
        <f t="shared" si="37"/>
        <v>126.44549999999998</v>
      </c>
      <c r="T507" s="65">
        <f t="shared" si="38"/>
        <v>0.34132439658744435</v>
      </c>
    </row>
    <row r="508" spans="1:20">
      <c r="A508" s="41">
        <f t="shared" si="39"/>
        <v>8</v>
      </c>
      <c r="B508" s="6" t="s">
        <v>649</v>
      </c>
      <c r="C508" s="20">
        <v>45872</v>
      </c>
      <c r="D508" s="6" t="s">
        <v>129</v>
      </c>
      <c r="E508" s="6" t="s">
        <v>103</v>
      </c>
      <c r="F508" s="6" t="s">
        <v>90</v>
      </c>
      <c r="G508" s="6" t="s">
        <v>160</v>
      </c>
      <c r="H508" s="6" t="s">
        <v>99</v>
      </c>
      <c r="I508" s="6" t="s">
        <v>130</v>
      </c>
      <c r="J508" s="25">
        <v>2</v>
      </c>
      <c r="K508" s="21">
        <v>257.89999999999998</v>
      </c>
      <c r="L508" s="63">
        <v>0.1</v>
      </c>
      <c r="M508" s="21">
        <v>127.38</v>
      </c>
      <c r="N508" s="6" t="s">
        <v>94</v>
      </c>
      <c r="O508" s="60">
        <f>Vendas2025[[#This Row],[Quantidade]]*Vendas2025[[#This Row],[Preço_Unitário_R$]]</f>
        <v>515.79999999999995</v>
      </c>
      <c r="P508" s="60">
        <f>Vendas2025[[#This Row],[Receita_Bruta_R$]]*Vendas2025[[#This Row],[Desconto_pct]]</f>
        <v>51.58</v>
      </c>
      <c r="Q508" s="60">
        <f t="shared" si="35"/>
        <v>464.21999999999997</v>
      </c>
      <c r="R508" s="60">
        <f t="shared" si="36"/>
        <v>254.76</v>
      </c>
      <c r="S508" s="60">
        <f t="shared" si="37"/>
        <v>209.45999999999998</v>
      </c>
      <c r="T508" s="65">
        <f t="shared" si="38"/>
        <v>0.45120847873852915</v>
      </c>
    </row>
    <row r="509" spans="1:20">
      <c r="A509" s="41">
        <f t="shared" si="39"/>
        <v>8</v>
      </c>
      <c r="B509" s="6" t="s">
        <v>650</v>
      </c>
      <c r="C509" s="20">
        <v>45872</v>
      </c>
      <c r="D509" s="6" t="s">
        <v>132</v>
      </c>
      <c r="E509" s="6" t="s">
        <v>89</v>
      </c>
      <c r="F509" s="6" t="s">
        <v>104</v>
      </c>
      <c r="G509" s="6" t="s">
        <v>115</v>
      </c>
      <c r="H509" s="6" t="s">
        <v>106</v>
      </c>
      <c r="I509" s="6" t="s">
        <v>170</v>
      </c>
      <c r="J509" s="25">
        <v>1</v>
      </c>
      <c r="K509" s="21">
        <v>561.03</v>
      </c>
      <c r="L509" s="63">
        <v>0.1</v>
      </c>
      <c r="M509" s="21">
        <v>282.18</v>
      </c>
      <c r="N509" s="6" t="s">
        <v>94</v>
      </c>
      <c r="O509" s="60">
        <f>Vendas2025[[#This Row],[Quantidade]]*Vendas2025[[#This Row],[Preço_Unitário_R$]]</f>
        <v>561.03</v>
      </c>
      <c r="P509" s="60">
        <f>Vendas2025[[#This Row],[Receita_Bruta_R$]]*Vendas2025[[#This Row],[Desconto_pct]]</f>
        <v>56.103000000000002</v>
      </c>
      <c r="Q509" s="60">
        <f t="shared" si="35"/>
        <v>504.92699999999996</v>
      </c>
      <c r="R509" s="60">
        <f t="shared" si="36"/>
        <v>282.18</v>
      </c>
      <c r="S509" s="60">
        <f t="shared" si="37"/>
        <v>222.74699999999996</v>
      </c>
      <c r="T509" s="65">
        <f t="shared" si="38"/>
        <v>0.44114693807223615</v>
      </c>
    </row>
    <row r="510" spans="1:20">
      <c r="A510" s="41">
        <f t="shared" si="39"/>
        <v>8</v>
      </c>
      <c r="B510" s="6" t="s">
        <v>651</v>
      </c>
      <c r="C510" s="20">
        <v>45872</v>
      </c>
      <c r="D510" s="6" t="s">
        <v>118</v>
      </c>
      <c r="E510" s="6" t="s">
        <v>114</v>
      </c>
      <c r="F510" s="6" t="s">
        <v>90</v>
      </c>
      <c r="G510" s="6" t="s">
        <v>127</v>
      </c>
      <c r="H510" s="6" t="s">
        <v>99</v>
      </c>
      <c r="I510" s="6" t="s">
        <v>163</v>
      </c>
      <c r="J510" s="25">
        <v>2</v>
      </c>
      <c r="K510" s="21">
        <v>1302.54</v>
      </c>
      <c r="L510" s="63">
        <v>0.15</v>
      </c>
      <c r="M510" s="21">
        <v>902.66</v>
      </c>
      <c r="N510" s="6" t="s">
        <v>94</v>
      </c>
      <c r="O510" s="60">
        <f>Vendas2025[[#This Row],[Quantidade]]*Vendas2025[[#This Row],[Preço_Unitário_R$]]</f>
        <v>2605.08</v>
      </c>
      <c r="P510" s="60">
        <f>Vendas2025[[#This Row],[Receita_Bruta_R$]]*Vendas2025[[#This Row],[Desconto_pct]]</f>
        <v>390.762</v>
      </c>
      <c r="Q510" s="60">
        <f t="shared" si="35"/>
        <v>2214.3179999999998</v>
      </c>
      <c r="R510" s="60">
        <f t="shared" si="36"/>
        <v>1805.32</v>
      </c>
      <c r="S510" s="60">
        <f t="shared" si="37"/>
        <v>408.99799999999982</v>
      </c>
      <c r="T510" s="65">
        <f t="shared" si="38"/>
        <v>0.18470608105972125</v>
      </c>
    </row>
    <row r="511" spans="1:20">
      <c r="A511" s="41">
        <f t="shared" si="39"/>
        <v>8</v>
      </c>
      <c r="B511" s="6" t="s">
        <v>652</v>
      </c>
      <c r="C511" s="20">
        <v>45873</v>
      </c>
      <c r="D511" s="6" t="s">
        <v>136</v>
      </c>
      <c r="E511" s="6" t="s">
        <v>137</v>
      </c>
      <c r="F511" s="6" t="s">
        <v>97</v>
      </c>
      <c r="G511" s="6" t="s">
        <v>115</v>
      </c>
      <c r="H511" s="6" t="s">
        <v>119</v>
      </c>
      <c r="I511" s="6" t="s">
        <v>141</v>
      </c>
      <c r="J511" s="25">
        <v>1</v>
      </c>
      <c r="K511" s="21">
        <v>2581.9</v>
      </c>
      <c r="L511" s="63">
        <v>0.08</v>
      </c>
      <c r="M511" s="21">
        <v>1736.53</v>
      </c>
      <c r="N511" s="6" t="s">
        <v>94</v>
      </c>
      <c r="O511" s="60">
        <f>Vendas2025[[#This Row],[Quantidade]]*Vendas2025[[#This Row],[Preço_Unitário_R$]]</f>
        <v>2581.9</v>
      </c>
      <c r="P511" s="60">
        <f>Vendas2025[[#This Row],[Receita_Bruta_R$]]*Vendas2025[[#This Row],[Desconto_pct]]</f>
        <v>206.55200000000002</v>
      </c>
      <c r="Q511" s="60">
        <f t="shared" si="35"/>
        <v>2375.348</v>
      </c>
      <c r="R511" s="60">
        <f t="shared" si="36"/>
        <v>1736.53</v>
      </c>
      <c r="S511" s="60">
        <f t="shared" si="37"/>
        <v>638.81799999999998</v>
      </c>
      <c r="T511" s="65">
        <f t="shared" si="38"/>
        <v>0.26893659371174244</v>
      </c>
    </row>
    <row r="512" spans="1:20">
      <c r="A512" s="41">
        <f t="shared" si="39"/>
        <v>8</v>
      </c>
      <c r="B512" s="6" t="s">
        <v>653</v>
      </c>
      <c r="C512" s="20">
        <v>45873</v>
      </c>
      <c r="D512" s="6" t="s">
        <v>102</v>
      </c>
      <c r="E512" s="6" t="s">
        <v>103</v>
      </c>
      <c r="F512" s="6" t="s">
        <v>104</v>
      </c>
      <c r="G512" s="6" t="s">
        <v>154</v>
      </c>
      <c r="H512" s="6" t="s">
        <v>99</v>
      </c>
      <c r="I512" s="6" t="s">
        <v>100</v>
      </c>
      <c r="J512" s="25">
        <v>1</v>
      </c>
      <c r="K512" s="21">
        <v>436.45</v>
      </c>
      <c r="L512" s="63">
        <v>0.12</v>
      </c>
      <c r="M512" s="21">
        <v>259.39</v>
      </c>
      <c r="N512" s="6" t="s">
        <v>94</v>
      </c>
      <c r="O512" s="60">
        <f>Vendas2025[[#This Row],[Quantidade]]*Vendas2025[[#This Row],[Preço_Unitário_R$]]</f>
        <v>436.45</v>
      </c>
      <c r="P512" s="60">
        <f>Vendas2025[[#This Row],[Receita_Bruta_R$]]*Vendas2025[[#This Row],[Desconto_pct]]</f>
        <v>52.373999999999995</v>
      </c>
      <c r="Q512" s="60">
        <f t="shared" si="35"/>
        <v>384.07600000000002</v>
      </c>
      <c r="R512" s="60">
        <f t="shared" si="36"/>
        <v>259.39</v>
      </c>
      <c r="S512" s="60">
        <f t="shared" si="37"/>
        <v>124.68600000000004</v>
      </c>
      <c r="T512" s="65">
        <f t="shared" si="38"/>
        <v>0.32463887355627541</v>
      </c>
    </row>
    <row r="513" spans="1:20">
      <c r="A513" s="41">
        <f t="shared" si="39"/>
        <v>8</v>
      </c>
      <c r="B513" s="6" t="s">
        <v>654</v>
      </c>
      <c r="C513" s="20">
        <v>45873</v>
      </c>
      <c r="D513" s="6" t="s">
        <v>88</v>
      </c>
      <c r="E513" s="6" t="s">
        <v>89</v>
      </c>
      <c r="F513" s="6" t="s">
        <v>90</v>
      </c>
      <c r="G513" s="6" t="s">
        <v>91</v>
      </c>
      <c r="H513" s="6" t="s">
        <v>99</v>
      </c>
      <c r="I513" s="6" t="s">
        <v>100</v>
      </c>
      <c r="J513" s="25">
        <v>1</v>
      </c>
      <c r="K513" s="21">
        <v>401.7</v>
      </c>
      <c r="L513" s="63">
        <v>0.1</v>
      </c>
      <c r="M513" s="21">
        <v>225.35</v>
      </c>
      <c r="N513" s="6" t="s">
        <v>108</v>
      </c>
      <c r="O513" s="60">
        <f>Vendas2025[[#This Row],[Quantidade]]*Vendas2025[[#This Row],[Preço_Unitário_R$]]</f>
        <v>401.7</v>
      </c>
      <c r="P513" s="60">
        <f>Vendas2025[[#This Row],[Receita_Bruta_R$]]*Vendas2025[[#This Row],[Desconto_pct]]</f>
        <v>40.17</v>
      </c>
      <c r="Q513" s="60">
        <f t="shared" si="35"/>
        <v>0</v>
      </c>
      <c r="R513" s="60">
        <f t="shared" si="36"/>
        <v>0</v>
      </c>
      <c r="S513" s="60">
        <f t="shared" si="37"/>
        <v>0</v>
      </c>
      <c r="T513" s="65" t="str">
        <f t="shared" si="38"/>
        <v/>
      </c>
    </row>
    <row r="514" spans="1:20">
      <c r="A514" s="41">
        <f t="shared" si="39"/>
        <v>8</v>
      </c>
      <c r="B514" s="6" t="s">
        <v>655</v>
      </c>
      <c r="C514" s="20">
        <v>45874</v>
      </c>
      <c r="D514" s="6" t="s">
        <v>118</v>
      </c>
      <c r="E514" s="6" t="s">
        <v>114</v>
      </c>
      <c r="F514" s="6" t="s">
        <v>97</v>
      </c>
      <c r="G514" s="6" t="s">
        <v>177</v>
      </c>
      <c r="H514" s="6" t="s">
        <v>119</v>
      </c>
      <c r="I514" s="6" t="s">
        <v>155</v>
      </c>
      <c r="J514" s="25">
        <v>1</v>
      </c>
      <c r="K514" s="21">
        <v>348.48</v>
      </c>
      <c r="L514" s="63">
        <v>0</v>
      </c>
      <c r="M514" s="21">
        <v>200.32</v>
      </c>
      <c r="N514" s="6" t="s">
        <v>94</v>
      </c>
      <c r="O514" s="60">
        <f>Vendas2025[[#This Row],[Quantidade]]*Vendas2025[[#This Row],[Preço_Unitário_R$]]</f>
        <v>348.48</v>
      </c>
      <c r="P514" s="60">
        <f>Vendas2025[[#This Row],[Receita_Bruta_R$]]*Vendas2025[[#This Row],[Desconto_pct]]</f>
        <v>0</v>
      </c>
      <c r="Q514" s="60">
        <f t="shared" ref="Q514:Q577" si="40">IF(N514="Concluída",O514-P514,0)</f>
        <v>348.48</v>
      </c>
      <c r="R514" s="60">
        <f t="shared" ref="R514:R577" si="41">IF(N514="Concluída",J514*M514,0)</f>
        <v>200.32</v>
      </c>
      <c r="S514" s="60">
        <f t="shared" ref="S514:S577" si="42">Q514-R514</f>
        <v>148.16000000000003</v>
      </c>
      <c r="T514" s="65">
        <f t="shared" ref="T514:T577" si="43">IF(Q514=0,"",S514/Q514)</f>
        <v>0.42516069788797067</v>
      </c>
    </row>
    <row r="515" spans="1:20">
      <c r="A515" s="41">
        <f t="shared" ref="A515:A578" si="44">MONTH(C515)</f>
        <v>8</v>
      </c>
      <c r="B515" s="6" t="s">
        <v>656</v>
      </c>
      <c r="C515" s="20">
        <v>45874</v>
      </c>
      <c r="D515" s="6" t="s">
        <v>136</v>
      </c>
      <c r="E515" s="6" t="s">
        <v>137</v>
      </c>
      <c r="F515" s="6" t="s">
        <v>97</v>
      </c>
      <c r="G515" s="6" t="s">
        <v>160</v>
      </c>
      <c r="H515" s="6" t="s">
        <v>99</v>
      </c>
      <c r="I515" s="6" t="s">
        <v>130</v>
      </c>
      <c r="J515" s="25">
        <v>1</v>
      </c>
      <c r="K515" s="21">
        <v>239.18</v>
      </c>
      <c r="L515" s="63">
        <v>0.05</v>
      </c>
      <c r="M515" s="21">
        <v>116.76</v>
      </c>
      <c r="N515" s="6" t="s">
        <v>94</v>
      </c>
      <c r="O515" s="60">
        <f>Vendas2025[[#This Row],[Quantidade]]*Vendas2025[[#This Row],[Preço_Unitário_R$]]</f>
        <v>239.18</v>
      </c>
      <c r="P515" s="60">
        <f>Vendas2025[[#This Row],[Receita_Bruta_R$]]*Vendas2025[[#This Row],[Desconto_pct]]</f>
        <v>11.959000000000001</v>
      </c>
      <c r="Q515" s="60">
        <f t="shared" si="40"/>
        <v>227.221</v>
      </c>
      <c r="R515" s="60">
        <f t="shared" si="41"/>
        <v>116.76</v>
      </c>
      <c r="S515" s="60">
        <f t="shared" si="42"/>
        <v>110.461</v>
      </c>
      <c r="T515" s="65">
        <f t="shared" si="43"/>
        <v>0.48613904524669815</v>
      </c>
    </row>
    <row r="516" spans="1:20">
      <c r="A516" s="41">
        <f t="shared" si="44"/>
        <v>8</v>
      </c>
      <c r="B516" s="6" t="s">
        <v>657</v>
      </c>
      <c r="C516" s="20">
        <v>45874</v>
      </c>
      <c r="D516" s="6" t="s">
        <v>102</v>
      </c>
      <c r="E516" s="6" t="s">
        <v>103</v>
      </c>
      <c r="F516" s="6" t="s">
        <v>97</v>
      </c>
      <c r="G516" s="6" t="s">
        <v>160</v>
      </c>
      <c r="H516" s="6" t="s">
        <v>106</v>
      </c>
      <c r="I516" s="6" t="s">
        <v>107</v>
      </c>
      <c r="J516" s="25">
        <v>1</v>
      </c>
      <c r="K516" s="21">
        <v>656.68</v>
      </c>
      <c r="L516" s="63">
        <v>0.1</v>
      </c>
      <c r="M516" s="21">
        <v>379.22</v>
      </c>
      <c r="N516" s="6" t="s">
        <v>94</v>
      </c>
      <c r="O516" s="60">
        <f>Vendas2025[[#This Row],[Quantidade]]*Vendas2025[[#This Row],[Preço_Unitário_R$]]</f>
        <v>656.68</v>
      </c>
      <c r="P516" s="60">
        <f>Vendas2025[[#This Row],[Receita_Bruta_R$]]*Vendas2025[[#This Row],[Desconto_pct]]</f>
        <v>65.667999999999992</v>
      </c>
      <c r="Q516" s="60">
        <f t="shared" si="40"/>
        <v>591.01199999999994</v>
      </c>
      <c r="R516" s="60">
        <f t="shared" si="41"/>
        <v>379.22</v>
      </c>
      <c r="S516" s="60">
        <f t="shared" si="42"/>
        <v>211.79199999999992</v>
      </c>
      <c r="T516" s="65">
        <f t="shared" si="43"/>
        <v>0.35835482189870921</v>
      </c>
    </row>
    <row r="517" spans="1:20">
      <c r="A517" s="41">
        <f t="shared" si="44"/>
        <v>8</v>
      </c>
      <c r="B517" s="6" t="s">
        <v>658</v>
      </c>
      <c r="C517" s="20">
        <v>45875</v>
      </c>
      <c r="D517" s="6" t="s">
        <v>96</v>
      </c>
      <c r="E517" s="6" t="s">
        <v>89</v>
      </c>
      <c r="F517" s="6" t="s">
        <v>97</v>
      </c>
      <c r="G517" s="6" t="s">
        <v>127</v>
      </c>
      <c r="H517" s="6" t="s">
        <v>119</v>
      </c>
      <c r="I517" s="6" t="s">
        <v>138</v>
      </c>
      <c r="J517" s="25">
        <v>1</v>
      </c>
      <c r="K517" s="21">
        <v>146.91</v>
      </c>
      <c r="L517" s="63">
        <v>0</v>
      </c>
      <c r="M517" s="21">
        <v>60.96</v>
      </c>
      <c r="N517" s="6" t="s">
        <v>94</v>
      </c>
      <c r="O517" s="60">
        <f>Vendas2025[[#This Row],[Quantidade]]*Vendas2025[[#This Row],[Preço_Unitário_R$]]</f>
        <v>146.91</v>
      </c>
      <c r="P517" s="60">
        <f>Vendas2025[[#This Row],[Receita_Bruta_R$]]*Vendas2025[[#This Row],[Desconto_pct]]</f>
        <v>0</v>
      </c>
      <c r="Q517" s="60">
        <f t="shared" si="40"/>
        <v>146.91</v>
      </c>
      <c r="R517" s="60">
        <f t="shared" si="41"/>
        <v>60.96</v>
      </c>
      <c r="S517" s="60">
        <f t="shared" si="42"/>
        <v>85.949999999999989</v>
      </c>
      <c r="T517" s="65">
        <f t="shared" si="43"/>
        <v>0.58505207269756987</v>
      </c>
    </row>
    <row r="518" spans="1:20">
      <c r="A518" s="41">
        <f t="shared" si="44"/>
        <v>8</v>
      </c>
      <c r="B518" s="6" t="s">
        <v>659</v>
      </c>
      <c r="C518" s="20">
        <v>45875</v>
      </c>
      <c r="D518" s="6" t="s">
        <v>132</v>
      </c>
      <c r="E518" s="6" t="s">
        <v>89</v>
      </c>
      <c r="F518" s="6" t="s">
        <v>90</v>
      </c>
      <c r="G518" s="6" t="s">
        <v>91</v>
      </c>
      <c r="H518" s="6" t="s">
        <v>99</v>
      </c>
      <c r="I518" s="6" t="s">
        <v>158</v>
      </c>
      <c r="J518" s="25">
        <v>2</v>
      </c>
      <c r="K518" s="21">
        <v>176.48</v>
      </c>
      <c r="L518" s="63">
        <v>0.15</v>
      </c>
      <c r="M518" s="21">
        <v>81.96</v>
      </c>
      <c r="N518" s="6" t="s">
        <v>94</v>
      </c>
      <c r="O518" s="60">
        <f>Vendas2025[[#This Row],[Quantidade]]*Vendas2025[[#This Row],[Preço_Unitário_R$]]</f>
        <v>352.96</v>
      </c>
      <c r="P518" s="60">
        <f>Vendas2025[[#This Row],[Receita_Bruta_R$]]*Vendas2025[[#This Row],[Desconto_pct]]</f>
        <v>52.943999999999996</v>
      </c>
      <c r="Q518" s="60">
        <f t="shared" si="40"/>
        <v>300.01599999999996</v>
      </c>
      <c r="R518" s="60">
        <f t="shared" si="41"/>
        <v>163.92</v>
      </c>
      <c r="S518" s="60">
        <f t="shared" si="42"/>
        <v>136.09599999999998</v>
      </c>
      <c r="T518" s="65">
        <f t="shared" si="43"/>
        <v>0.45362913977921177</v>
      </c>
    </row>
    <row r="519" spans="1:20">
      <c r="A519" s="41">
        <f t="shared" si="44"/>
        <v>8</v>
      </c>
      <c r="B519" s="6" t="s">
        <v>660</v>
      </c>
      <c r="C519" s="20">
        <v>45876</v>
      </c>
      <c r="D519" s="6" t="s">
        <v>129</v>
      </c>
      <c r="E519" s="6" t="s">
        <v>103</v>
      </c>
      <c r="F519" s="6" t="s">
        <v>90</v>
      </c>
      <c r="G519" s="6" t="s">
        <v>98</v>
      </c>
      <c r="H519" s="6" t="s">
        <v>119</v>
      </c>
      <c r="I519" s="6" t="s">
        <v>120</v>
      </c>
      <c r="J519" s="25">
        <v>1</v>
      </c>
      <c r="K519" s="21">
        <v>2455.5100000000002</v>
      </c>
      <c r="L519" s="63">
        <v>0.2</v>
      </c>
      <c r="M519" s="21">
        <v>1701.66</v>
      </c>
      <c r="N519" s="6" t="s">
        <v>94</v>
      </c>
      <c r="O519" s="60">
        <f>Vendas2025[[#This Row],[Quantidade]]*Vendas2025[[#This Row],[Preço_Unitário_R$]]</f>
        <v>2455.5100000000002</v>
      </c>
      <c r="P519" s="60">
        <f>Vendas2025[[#This Row],[Receita_Bruta_R$]]*Vendas2025[[#This Row],[Desconto_pct]]</f>
        <v>491.10200000000009</v>
      </c>
      <c r="Q519" s="60">
        <f t="shared" si="40"/>
        <v>1964.4080000000001</v>
      </c>
      <c r="R519" s="60">
        <f t="shared" si="41"/>
        <v>1701.66</v>
      </c>
      <c r="S519" s="60">
        <f t="shared" si="42"/>
        <v>262.74800000000005</v>
      </c>
      <c r="T519" s="65">
        <f t="shared" si="43"/>
        <v>0.13375429136920641</v>
      </c>
    </row>
    <row r="520" spans="1:20">
      <c r="A520" s="41">
        <f t="shared" si="44"/>
        <v>8</v>
      </c>
      <c r="B520" s="6" t="s">
        <v>661</v>
      </c>
      <c r="C520" s="20">
        <v>45877</v>
      </c>
      <c r="D520" s="6" t="s">
        <v>113</v>
      </c>
      <c r="E520" s="6" t="s">
        <v>114</v>
      </c>
      <c r="F520" s="6" t="s">
        <v>97</v>
      </c>
      <c r="G520" s="6" t="s">
        <v>154</v>
      </c>
      <c r="H520" s="6" t="s">
        <v>99</v>
      </c>
      <c r="I520" s="6" t="s">
        <v>100</v>
      </c>
      <c r="J520" s="25">
        <v>1</v>
      </c>
      <c r="K520" s="21">
        <v>448.49</v>
      </c>
      <c r="L520" s="63">
        <v>0.1</v>
      </c>
      <c r="M520" s="21">
        <v>258.26</v>
      </c>
      <c r="N520" s="6" t="s">
        <v>94</v>
      </c>
      <c r="O520" s="60">
        <f>Vendas2025[[#This Row],[Quantidade]]*Vendas2025[[#This Row],[Preço_Unitário_R$]]</f>
        <v>448.49</v>
      </c>
      <c r="P520" s="60">
        <f>Vendas2025[[#This Row],[Receita_Bruta_R$]]*Vendas2025[[#This Row],[Desconto_pct]]</f>
        <v>44.849000000000004</v>
      </c>
      <c r="Q520" s="60">
        <f t="shared" si="40"/>
        <v>403.64100000000002</v>
      </c>
      <c r="R520" s="60">
        <f t="shared" si="41"/>
        <v>258.26</v>
      </c>
      <c r="S520" s="60">
        <f t="shared" si="42"/>
        <v>145.38100000000003</v>
      </c>
      <c r="T520" s="65">
        <f t="shared" si="43"/>
        <v>0.36017401601918542</v>
      </c>
    </row>
    <row r="521" spans="1:20">
      <c r="A521" s="41">
        <f t="shared" si="44"/>
        <v>8</v>
      </c>
      <c r="B521" s="6" t="s">
        <v>662</v>
      </c>
      <c r="C521" s="20">
        <v>45878</v>
      </c>
      <c r="D521" s="6" t="s">
        <v>136</v>
      </c>
      <c r="E521" s="6" t="s">
        <v>137</v>
      </c>
      <c r="F521" s="6" t="s">
        <v>97</v>
      </c>
      <c r="G521" s="6" t="s">
        <v>110</v>
      </c>
      <c r="H521" s="6" t="s">
        <v>124</v>
      </c>
      <c r="I521" s="6" t="s">
        <v>193</v>
      </c>
      <c r="J521" s="25">
        <v>2</v>
      </c>
      <c r="K521" s="21">
        <v>372.75</v>
      </c>
      <c r="L521" s="63">
        <v>0</v>
      </c>
      <c r="M521" s="21">
        <v>157.75</v>
      </c>
      <c r="N521" s="6" t="s">
        <v>94</v>
      </c>
      <c r="O521" s="60">
        <f>Vendas2025[[#This Row],[Quantidade]]*Vendas2025[[#This Row],[Preço_Unitário_R$]]</f>
        <v>745.5</v>
      </c>
      <c r="P521" s="60">
        <f>Vendas2025[[#This Row],[Receita_Bruta_R$]]*Vendas2025[[#This Row],[Desconto_pct]]</f>
        <v>0</v>
      </c>
      <c r="Q521" s="60">
        <f t="shared" si="40"/>
        <v>745.5</v>
      </c>
      <c r="R521" s="60">
        <f t="shared" si="41"/>
        <v>315.5</v>
      </c>
      <c r="S521" s="60">
        <f t="shared" si="42"/>
        <v>430</v>
      </c>
      <c r="T521" s="65">
        <f t="shared" si="43"/>
        <v>0.57679409792085845</v>
      </c>
    </row>
    <row r="522" spans="1:20">
      <c r="A522" s="41">
        <f t="shared" si="44"/>
        <v>8</v>
      </c>
      <c r="B522" s="6" t="s">
        <v>663</v>
      </c>
      <c r="C522" s="20">
        <v>45878</v>
      </c>
      <c r="D522" s="6" t="s">
        <v>132</v>
      </c>
      <c r="E522" s="6" t="s">
        <v>89</v>
      </c>
      <c r="F522" s="6" t="s">
        <v>90</v>
      </c>
      <c r="G522" s="6" t="s">
        <v>115</v>
      </c>
      <c r="H522" s="6" t="s">
        <v>99</v>
      </c>
      <c r="I522" s="6" t="s">
        <v>100</v>
      </c>
      <c r="J522" s="25">
        <v>1</v>
      </c>
      <c r="K522" s="21">
        <v>397.5</v>
      </c>
      <c r="L522" s="63">
        <v>0.25</v>
      </c>
      <c r="M522" s="21">
        <v>224.62</v>
      </c>
      <c r="N522" s="6" t="s">
        <v>94</v>
      </c>
      <c r="O522" s="60">
        <f>Vendas2025[[#This Row],[Quantidade]]*Vendas2025[[#This Row],[Preço_Unitário_R$]]</f>
        <v>397.5</v>
      </c>
      <c r="P522" s="60">
        <f>Vendas2025[[#This Row],[Receita_Bruta_R$]]*Vendas2025[[#This Row],[Desconto_pct]]</f>
        <v>99.375</v>
      </c>
      <c r="Q522" s="60">
        <f t="shared" si="40"/>
        <v>298.125</v>
      </c>
      <c r="R522" s="60">
        <f t="shared" si="41"/>
        <v>224.62</v>
      </c>
      <c r="S522" s="60">
        <f t="shared" si="42"/>
        <v>73.504999999999995</v>
      </c>
      <c r="T522" s="65">
        <f t="shared" si="43"/>
        <v>0.24655765199161425</v>
      </c>
    </row>
    <row r="523" spans="1:20">
      <c r="A523" s="41">
        <f t="shared" si="44"/>
        <v>8</v>
      </c>
      <c r="B523" s="6" t="s">
        <v>664</v>
      </c>
      <c r="C523" s="20">
        <v>45879</v>
      </c>
      <c r="D523" s="6" t="s">
        <v>102</v>
      </c>
      <c r="E523" s="6" t="s">
        <v>103</v>
      </c>
      <c r="F523" s="6" t="s">
        <v>122</v>
      </c>
      <c r="G523" s="6" t="s">
        <v>115</v>
      </c>
      <c r="H523" s="6" t="s">
        <v>106</v>
      </c>
      <c r="I523" s="6" t="s">
        <v>107</v>
      </c>
      <c r="J523" s="25">
        <v>1</v>
      </c>
      <c r="K523" s="21">
        <v>661.78</v>
      </c>
      <c r="L523" s="63">
        <v>0.1</v>
      </c>
      <c r="M523" s="21">
        <v>381.16</v>
      </c>
      <c r="N523" s="6" t="s">
        <v>94</v>
      </c>
      <c r="O523" s="60">
        <f>Vendas2025[[#This Row],[Quantidade]]*Vendas2025[[#This Row],[Preço_Unitário_R$]]</f>
        <v>661.78</v>
      </c>
      <c r="P523" s="60">
        <f>Vendas2025[[#This Row],[Receita_Bruta_R$]]*Vendas2025[[#This Row],[Desconto_pct]]</f>
        <v>66.177999999999997</v>
      </c>
      <c r="Q523" s="60">
        <f t="shared" si="40"/>
        <v>595.60199999999998</v>
      </c>
      <c r="R523" s="60">
        <f t="shared" si="41"/>
        <v>381.16</v>
      </c>
      <c r="S523" s="60">
        <f t="shared" si="42"/>
        <v>214.44199999999995</v>
      </c>
      <c r="T523" s="65">
        <f t="shared" si="43"/>
        <v>0.36004244445116029</v>
      </c>
    </row>
    <row r="524" spans="1:20">
      <c r="A524" s="41">
        <f t="shared" si="44"/>
        <v>8</v>
      </c>
      <c r="B524" s="6" t="s">
        <v>665</v>
      </c>
      <c r="C524" s="20">
        <v>45879</v>
      </c>
      <c r="D524" s="6" t="s">
        <v>96</v>
      </c>
      <c r="E524" s="6" t="s">
        <v>89</v>
      </c>
      <c r="F524" s="6" t="s">
        <v>122</v>
      </c>
      <c r="G524" s="6" t="s">
        <v>98</v>
      </c>
      <c r="H524" s="6" t="s">
        <v>106</v>
      </c>
      <c r="I524" s="6" t="s">
        <v>116</v>
      </c>
      <c r="J524" s="25">
        <v>2</v>
      </c>
      <c r="K524" s="21">
        <v>469.48</v>
      </c>
      <c r="L524" s="63">
        <v>0.1</v>
      </c>
      <c r="M524" s="21">
        <v>268.02</v>
      </c>
      <c r="N524" s="6" t="s">
        <v>94</v>
      </c>
      <c r="O524" s="60">
        <f>Vendas2025[[#This Row],[Quantidade]]*Vendas2025[[#This Row],[Preço_Unitário_R$]]</f>
        <v>938.96</v>
      </c>
      <c r="P524" s="60">
        <f>Vendas2025[[#This Row],[Receita_Bruta_R$]]*Vendas2025[[#This Row],[Desconto_pct]]</f>
        <v>93.896000000000015</v>
      </c>
      <c r="Q524" s="60">
        <f t="shared" si="40"/>
        <v>845.06400000000008</v>
      </c>
      <c r="R524" s="60">
        <f t="shared" si="41"/>
        <v>536.04</v>
      </c>
      <c r="S524" s="60">
        <f t="shared" si="42"/>
        <v>309.02400000000011</v>
      </c>
      <c r="T524" s="65">
        <f t="shared" si="43"/>
        <v>0.36568117917696186</v>
      </c>
    </row>
    <row r="525" spans="1:20">
      <c r="A525" s="41">
        <f t="shared" si="44"/>
        <v>8</v>
      </c>
      <c r="B525" s="6" t="s">
        <v>666</v>
      </c>
      <c r="C525" s="20">
        <v>45879</v>
      </c>
      <c r="D525" s="6" t="s">
        <v>129</v>
      </c>
      <c r="E525" s="6" t="s">
        <v>103</v>
      </c>
      <c r="F525" s="6" t="s">
        <v>122</v>
      </c>
      <c r="G525" s="6" t="s">
        <v>91</v>
      </c>
      <c r="H525" s="6" t="s">
        <v>99</v>
      </c>
      <c r="I525" s="6" t="s">
        <v>100</v>
      </c>
      <c r="J525" s="25">
        <v>2</v>
      </c>
      <c r="K525" s="21">
        <v>423.81</v>
      </c>
      <c r="L525" s="63">
        <v>0.05</v>
      </c>
      <c r="M525" s="21">
        <v>236.95</v>
      </c>
      <c r="N525" s="6" t="s">
        <v>94</v>
      </c>
      <c r="O525" s="60">
        <f>Vendas2025[[#This Row],[Quantidade]]*Vendas2025[[#This Row],[Preço_Unitário_R$]]</f>
        <v>847.62</v>
      </c>
      <c r="P525" s="60">
        <f>Vendas2025[[#This Row],[Receita_Bruta_R$]]*Vendas2025[[#This Row],[Desconto_pct]]</f>
        <v>42.381</v>
      </c>
      <c r="Q525" s="60">
        <f t="shared" si="40"/>
        <v>805.23900000000003</v>
      </c>
      <c r="R525" s="60">
        <f t="shared" si="41"/>
        <v>473.9</v>
      </c>
      <c r="S525" s="60">
        <f t="shared" si="42"/>
        <v>331.33900000000006</v>
      </c>
      <c r="T525" s="65">
        <f t="shared" si="43"/>
        <v>0.41147907639843578</v>
      </c>
    </row>
    <row r="526" spans="1:20">
      <c r="A526" s="41">
        <f t="shared" si="44"/>
        <v>8</v>
      </c>
      <c r="B526" s="6" t="s">
        <v>667</v>
      </c>
      <c r="C526" s="20">
        <v>45879</v>
      </c>
      <c r="D526" s="6" t="s">
        <v>132</v>
      </c>
      <c r="E526" s="6" t="s">
        <v>89</v>
      </c>
      <c r="F526" s="6" t="s">
        <v>90</v>
      </c>
      <c r="G526" s="6" t="s">
        <v>91</v>
      </c>
      <c r="H526" s="6" t="s">
        <v>119</v>
      </c>
      <c r="I526" s="6" t="s">
        <v>138</v>
      </c>
      <c r="J526" s="25">
        <v>2</v>
      </c>
      <c r="K526" s="21">
        <v>135.88</v>
      </c>
      <c r="L526" s="63">
        <v>0.2</v>
      </c>
      <c r="M526" s="21">
        <v>54.54</v>
      </c>
      <c r="N526" s="6" t="s">
        <v>94</v>
      </c>
      <c r="O526" s="60">
        <f>Vendas2025[[#This Row],[Quantidade]]*Vendas2025[[#This Row],[Preço_Unitário_R$]]</f>
        <v>271.76</v>
      </c>
      <c r="P526" s="60">
        <f>Vendas2025[[#This Row],[Receita_Bruta_R$]]*Vendas2025[[#This Row],[Desconto_pct]]</f>
        <v>54.352000000000004</v>
      </c>
      <c r="Q526" s="60">
        <f t="shared" si="40"/>
        <v>217.40799999999999</v>
      </c>
      <c r="R526" s="60">
        <f t="shared" si="41"/>
        <v>109.08</v>
      </c>
      <c r="S526" s="60">
        <f t="shared" si="42"/>
        <v>108.32799999999999</v>
      </c>
      <c r="T526" s="65">
        <f t="shared" si="43"/>
        <v>0.49827053282307915</v>
      </c>
    </row>
    <row r="527" spans="1:20">
      <c r="A527" s="41">
        <f t="shared" si="44"/>
        <v>8</v>
      </c>
      <c r="B527" s="6" t="s">
        <v>668</v>
      </c>
      <c r="C527" s="20">
        <v>45879</v>
      </c>
      <c r="D527" s="6" t="s">
        <v>88</v>
      </c>
      <c r="E527" s="6" t="s">
        <v>89</v>
      </c>
      <c r="F527" s="6" t="s">
        <v>90</v>
      </c>
      <c r="G527" s="6" t="s">
        <v>91</v>
      </c>
      <c r="H527" s="6" t="s">
        <v>92</v>
      </c>
      <c r="I527" s="6" t="s">
        <v>144</v>
      </c>
      <c r="J527" s="25">
        <v>3</v>
      </c>
      <c r="K527" s="21">
        <v>146</v>
      </c>
      <c r="L527" s="63">
        <v>0.05</v>
      </c>
      <c r="M527" s="21">
        <v>51.22</v>
      </c>
      <c r="N527" s="6" t="s">
        <v>94</v>
      </c>
      <c r="O527" s="60">
        <f>Vendas2025[[#This Row],[Quantidade]]*Vendas2025[[#This Row],[Preço_Unitário_R$]]</f>
        <v>438</v>
      </c>
      <c r="P527" s="60">
        <f>Vendas2025[[#This Row],[Receita_Bruta_R$]]*Vendas2025[[#This Row],[Desconto_pct]]</f>
        <v>21.900000000000002</v>
      </c>
      <c r="Q527" s="60">
        <f t="shared" si="40"/>
        <v>416.1</v>
      </c>
      <c r="R527" s="60">
        <f t="shared" si="41"/>
        <v>153.66</v>
      </c>
      <c r="S527" s="60">
        <f t="shared" si="42"/>
        <v>262.44000000000005</v>
      </c>
      <c r="T527" s="65">
        <f t="shared" si="43"/>
        <v>0.63071377072819046</v>
      </c>
    </row>
    <row r="528" spans="1:20">
      <c r="A528" s="41">
        <f t="shared" si="44"/>
        <v>8</v>
      </c>
      <c r="B528" s="6" t="s">
        <v>669</v>
      </c>
      <c r="C528" s="20">
        <v>45879</v>
      </c>
      <c r="D528" s="6" t="s">
        <v>96</v>
      </c>
      <c r="E528" s="6" t="s">
        <v>89</v>
      </c>
      <c r="F528" s="6" t="s">
        <v>104</v>
      </c>
      <c r="G528" s="6" t="s">
        <v>127</v>
      </c>
      <c r="H528" s="6" t="s">
        <v>124</v>
      </c>
      <c r="I528" s="6" t="s">
        <v>125</v>
      </c>
      <c r="J528" s="25">
        <v>1</v>
      </c>
      <c r="K528" s="21">
        <v>750.24</v>
      </c>
      <c r="L528" s="63">
        <v>0</v>
      </c>
      <c r="M528" s="21">
        <v>371.8</v>
      </c>
      <c r="N528" s="6" t="s">
        <v>94</v>
      </c>
      <c r="O528" s="60">
        <f>Vendas2025[[#This Row],[Quantidade]]*Vendas2025[[#This Row],[Preço_Unitário_R$]]</f>
        <v>750.24</v>
      </c>
      <c r="P528" s="60">
        <f>Vendas2025[[#This Row],[Receita_Bruta_R$]]*Vendas2025[[#This Row],[Desconto_pct]]</f>
        <v>0</v>
      </c>
      <c r="Q528" s="60">
        <f t="shared" si="40"/>
        <v>750.24</v>
      </c>
      <c r="R528" s="60">
        <f t="shared" si="41"/>
        <v>371.8</v>
      </c>
      <c r="S528" s="60">
        <f t="shared" si="42"/>
        <v>378.44</v>
      </c>
      <c r="T528" s="65">
        <f t="shared" si="43"/>
        <v>0.50442525058647902</v>
      </c>
    </row>
    <row r="529" spans="1:20">
      <c r="A529" s="41">
        <f t="shared" si="44"/>
        <v>8</v>
      </c>
      <c r="B529" s="6" t="s">
        <v>670</v>
      </c>
      <c r="C529" s="20">
        <v>45879</v>
      </c>
      <c r="D529" s="6" t="s">
        <v>118</v>
      </c>
      <c r="E529" s="6" t="s">
        <v>114</v>
      </c>
      <c r="F529" s="6" t="s">
        <v>122</v>
      </c>
      <c r="G529" s="6" t="s">
        <v>177</v>
      </c>
      <c r="H529" s="6" t="s">
        <v>92</v>
      </c>
      <c r="I529" s="6" t="s">
        <v>134</v>
      </c>
      <c r="J529" s="25">
        <v>1</v>
      </c>
      <c r="K529" s="21">
        <v>401.31</v>
      </c>
      <c r="L529" s="63">
        <v>0.05</v>
      </c>
      <c r="M529" s="21">
        <v>221.83</v>
      </c>
      <c r="N529" s="6" t="s">
        <v>94</v>
      </c>
      <c r="O529" s="60">
        <f>Vendas2025[[#This Row],[Quantidade]]*Vendas2025[[#This Row],[Preço_Unitário_R$]]</f>
        <v>401.31</v>
      </c>
      <c r="P529" s="60">
        <f>Vendas2025[[#This Row],[Receita_Bruta_R$]]*Vendas2025[[#This Row],[Desconto_pct]]</f>
        <v>20.0655</v>
      </c>
      <c r="Q529" s="60">
        <f t="shared" si="40"/>
        <v>381.24450000000002</v>
      </c>
      <c r="R529" s="60">
        <f t="shared" si="41"/>
        <v>221.83</v>
      </c>
      <c r="S529" s="60">
        <f t="shared" si="42"/>
        <v>159.4145</v>
      </c>
      <c r="T529" s="65">
        <f t="shared" si="43"/>
        <v>0.41814242566122267</v>
      </c>
    </row>
    <row r="530" spans="1:20">
      <c r="A530" s="41">
        <f t="shared" si="44"/>
        <v>8</v>
      </c>
      <c r="B530" s="6" t="s">
        <v>671</v>
      </c>
      <c r="C530" s="20">
        <v>45879</v>
      </c>
      <c r="D530" s="6" t="s">
        <v>96</v>
      </c>
      <c r="E530" s="6" t="s">
        <v>89</v>
      </c>
      <c r="F530" s="6" t="s">
        <v>122</v>
      </c>
      <c r="G530" s="6" t="s">
        <v>140</v>
      </c>
      <c r="H530" s="6" t="s">
        <v>106</v>
      </c>
      <c r="I530" s="6" t="s">
        <v>116</v>
      </c>
      <c r="J530" s="25">
        <v>1</v>
      </c>
      <c r="K530" s="21">
        <v>414.15</v>
      </c>
      <c r="L530" s="63">
        <v>0.15</v>
      </c>
      <c r="M530" s="21">
        <v>230.38</v>
      </c>
      <c r="N530" s="6" t="s">
        <v>94</v>
      </c>
      <c r="O530" s="60">
        <f>Vendas2025[[#This Row],[Quantidade]]*Vendas2025[[#This Row],[Preço_Unitário_R$]]</f>
        <v>414.15</v>
      </c>
      <c r="P530" s="60">
        <f>Vendas2025[[#This Row],[Receita_Bruta_R$]]*Vendas2025[[#This Row],[Desconto_pct]]</f>
        <v>62.122499999999995</v>
      </c>
      <c r="Q530" s="60">
        <f t="shared" si="40"/>
        <v>352.02749999999997</v>
      </c>
      <c r="R530" s="60">
        <f t="shared" si="41"/>
        <v>230.38</v>
      </c>
      <c r="S530" s="60">
        <f t="shared" si="42"/>
        <v>121.64749999999998</v>
      </c>
      <c r="T530" s="65">
        <f t="shared" si="43"/>
        <v>0.34556249156670993</v>
      </c>
    </row>
    <row r="531" spans="1:20">
      <c r="A531" s="41">
        <f t="shared" si="44"/>
        <v>8</v>
      </c>
      <c r="B531" s="6" t="s">
        <v>672</v>
      </c>
      <c r="C531" s="20">
        <v>45880</v>
      </c>
      <c r="D531" s="6" t="s">
        <v>88</v>
      </c>
      <c r="E531" s="6" t="s">
        <v>89</v>
      </c>
      <c r="F531" s="6" t="s">
        <v>90</v>
      </c>
      <c r="G531" s="6" t="s">
        <v>98</v>
      </c>
      <c r="H531" s="6" t="s">
        <v>124</v>
      </c>
      <c r="I531" s="6" t="s">
        <v>199</v>
      </c>
      <c r="J531" s="25">
        <v>2</v>
      </c>
      <c r="K531" s="21">
        <v>300.74</v>
      </c>
      <c r="L531" s="63">
        <v>0.2</v>
      </c>
      <c r="M531" s="21">
        <v>142.72</v>
      </c>
      <c r="N531" s="6" t="s">
        <v>94</v>
      </c>
      <c r="O531" s="60">
        <f>Vendas2025[[#This Row],[Quantidade]]*Vendas2025[[#This Row],[Preço_Unitário_R$]]</f>
        <v>601.48</v>
      </c>
      <c r="P531" s="60">
        <f>Vendas2025[[#This Row],[Receita_Bruta_R$]]*Vendas2025[[#This Row],[Desconto_pct]]</f>
        <v>120.29600000000001</v>
      </c>
      <c r="Q531" s="60">
        <f t="shared" si="40"/>
        <v>481.18400000000003</v>
      </c>
      <c r="R531" s="60">
        <f t="shared" si="41"/>
        <v>285.44</v>
      </c>
      <c r="S531" s="60">
        <f t="shared" si="42"/>
        <v>195.74400000000003</v>
      </c>
      <c r="T531" s="65">
        <f t="shared" si="43"/>
        <v>0.40679656846445439</v>
      </c>
    </row>
    <row r="532" spans="1:20">
      <c r="A532" s="41">
        <f t="shared" si="44"/>
        <v>8</v>
      </c>
      <c r="B532" s="6" t="s">
        <v>673</v>
      </c>
      <c r="C532" s="20">
        <v>45880</v>
      </c>
      <c r="D532" s="6" t="s">
        <v>118</v>
      </c>
      <c r="E532" s="6" t="s">
        <v>114</v>
      </c>
      <c r="F532" s="6" t="s">
        <v>97</v>
      </c>
      <c r="G532" s="6" t="s">
        <v>177</v>
      </c>
      <c r="H532" s="6" t="s">
        <v>119</v>
      </c>
      <c r="I532" s="6" t="s">
        <v>138</v>
      </c>
      <c r="J532" s="25">
        <v>1</v>
      </c>
      <c r="K532" s="21">
        <v>139.96</v>
      </c>
      <c r="L532" s="63">
        <v>0.05</v>
      </c>
      <c r="M532" s="21">
        <v>54.83</v>
      </c>
      <c r="N532" s="6" t="s">
        <v>94</v>
      </c>
      <c r="O532" s="60">
        <f>Vendas2025[[#This Row],[Quantidade]]*Vendas2025[[#This Row],[Preço_Unitário_R$]]</f>
        <v>139.96</v>
      </c>
      <c r="P532" s="60">
        <f>Vendas2025[[#This Row],[Receita_Bruta_R$]]*Vendas2025[[#This Row],[Desconto_pct]]</f>
        <v>6.9980000000000011</v>
      </c>
      <c r="Q532" s="60">
        <f t="shared" si="40"/>
        <v>132.96200000000002</v>
      </c>
      <c r="R532" s="60">
        <f t="shared" si="41"/>
        <v>54.83</v>
      </c>
      <c r="S532" s="60">
        <f t="shared" si="42"/>
        <v>78.132000000000019</v>
      </c>
      <c r="T532" s="65">
        <f t="shared" si="43"/>
        <v>0.58762653991365965</v>
      </c>
    </row>
    <row r="533" spans="1:20">
      <c r="A533" s="41">
        <f t="shared" si="44"/>
        <v>8</v>
      </c>
      <c r="B533" s="6" t="s">
        <v>674</v>
      </c>
      <c r="C533" s="20">
        <v>45881</v>
      </c>
      <c r="D533" s="6" t="s">
        <v>136</v>
      </c>
      <c r="E533" s="6" t="s">
        <v>137</v>
      </c>
      <c r="F533" s="6" t="s">
        <v>90</v>
      </c>
      <c r="G533" s="6" t="s">
        <v>91</v>
      </c>
      <c r="H533" s="6" t="s">
        <v>99</v>
      </c>
      <c r="I533" s="6" t="s">
        <v>173</v>
      </c>
      <c r="J533" s="25">
        <v>2</v>
      </c>
      <c r="K533" s="21">
        <v>3842.18</v>
      </c>
      <c r="L533" s="63">
        <v>0.2</v>
      </c>
      <c r="M533" s="21">
        <v>2940.08</v>
      </c>
      <c r="N533" s="6" t="s">
        <v>94</v>
      </c>
      <c r="O533" s="60">
        <f>Vendas2025[[#This Row],[Quantidade]]*Vendas2025[[#This Row],[Preço_Unitário_R$]]</f>
        <v>7684.36</v>
      </c>
      <c r="P533" s="60">
        <f>Vendas2025[[#This Row],[Receita_Bruta_R$]]*Vendas2025[[#This Row],[Desconto_pct]]</f>
        <v>1536.8720000000001</v>
      </c>
      <c r="Q533" s="60">
        <f t="shared" si="40"/>
        <v>6147.4879999999994</v>
      </c>
      <c r="R533" s="60">
        <f t="shared" si="41"/>
        <v>5880.16</v>
      </c>
      <c r="S533" s="60">
        <f t="shared" si="42"/>
        <v>267.32799999999952</v>
      </c>
      <c r="T533" s="65">
        <f t="shared" si="43"/>
        <v>4.3485729455673527E-2</v>
      </c>
    </row>
    <row r="534" spans="1:20">
      <c r="A534" s="41">
        <f t="shared" si="44"/>
        <v>8</v>
      </c>
      <c r="B534" s="6" t="s">
        <v>675</v>
      </c>
      <c r="C534" s="20">
        <v>45881</v>
      </c>
      <c r="D534" s="6" t="s">
        <v>113</v>
      </c>
      <c r="E534" s="6" t="s">
        <v>114</v>
      </c>
      <c r="F534" s="6" t="s">
        <v>97</v>
      </c>
      <c r="G534" s="6" t="s">
        <v>105</v>
      </c>
      <c r="H534" s="6" t="s">
        <v>99</v>
      </c>
      <c r="I534" s="6" t="s">
        <v>100</v>
      </c>
      <c r="J534" s="25">
        <v>1</v>
      </c>
      <c r="K534" s="21">
        <v>392.06</v>
      </c>
      <c r="L534" s="63">
        <v>0.08</v>
      </c>
      <c r="M534" s="21">
        <v>220.55</v>
      </c>
      <c r="N534" s="6" t="s">
        <v>94</v>
      </c>
      <c r="O534" s="60">
        <f>Vendas2025[[#This Row],[Quantidade]]*Vendas2025[[#This Row],[Preço_Unitário_R$]]</f>
        <v>392.06</v>
      </c>
      <c r="P534" s="60">
        <f>Vendas2025[[#This Row],[Receita_Bruta_R$]]*Vendas2025[[#This Row],[Desconto_pct]]</f>
        <v>31.364800000000002</v>
      </c>
      <c r="Q534" s="60">
        <f t="shared" si="40"/>
        <v>360.6952</v>
      </c>
      <c r="R534" s="60">
        <f t="shared" si="41"/>
        <v>220.55</v>
      </c>
      <c r="S534" s="60">
        <f t="shared" si="42"/>
        <v>140.14519999999999</v>
      </c>
      <c r="T534" s="65">
        <f t="shared" si="43"/>
        <v>0.38854190463305305</v>
      </c>
    </row>
    <row r="535" spans="1:20">
      <c r="A535" s="41">
        <f t="shared" si="44"/>
        <v>8</v>
      </c>
      <c r="B535" s="6" t="s">
        <v>676</v>
      </c>
      <c r="C535" s="20">
        <v>45882</v>
      </c>
      <c r="D535" s="6" t="s">
        <v>118</v>
      </c>
      <c r="E535" s="6" t="s">
        <v>114</v>
      </c>
      <c r="F535" s="6" t="s">
        <v>104</v>
      </c>
      <c r="G535" s="6" t="s">
        <v>98</v>
      </c>
      <c r="H535" s="6" t="s">
        <v>99</v>
      </c>
      <c r="I535" s="6" t="s">
        <v>130</v>
      </c>
      <c r="J535" s="25">
        <v>1</v>
      </c>
      <c r="K535" s="21">
        <v>252.92</v>
      </c>
      <c r="L535" s="63">
        <v>0</v>
      </c>
      <c r="M535" s="21">
        <v>116.85</v>
      </c>
      <c r="N535" s="6" t="s">
        <v>245</v>
      </c>
      <c r="O535" s="60">
        <f>Vendas2025[[#This Row],[Quantidade]]*Vendas2025[[#This Row],[Preço_Unitário_R$]]</f>
        <v>252.92</v>
      </c>
      <c r="P535" s="60">
        <f>Vendas2025[[#This Row],[Receita_Bruta_R$]]*Vendas2025[[#This Row],[Desconto_pct]]</f>
        <v>0</v>
      </c>
      <c r="Q535" s="60">
        <f t="shared" si="40"/>
        <v>0</v>
      </c>
      <c r="R535" s="60">
        <f t="shared" si="41"/>
        <v>0</v>
      </c>
      <c r="S535" s="60">
        <f t="shared" si="42"/>
        <v>0</v>
      </c>
      <c r="T535" s="65" t="str">
        <f t="shared" si="43"/>
        <v/>
      </c>
    </row>
    <row r="536" spans="1:20">
      <c r="A536" s="41">
        <f t="shared" si="44"/>
        <v>8</v>
      </c>
      <c r="B536" s="6" t="s">
        <v>677</v>
      </c>
      <c r="C536" s="20">
        <v>45882</v>
      </c>
      <c r="D536" s="6" t="s">
        <v>88</v>
      </c>
      <c r="E536" s="6" t="s">
        <v>89</v>
      </c>
      <c r="F536" s="6" t="s">
        <v>122</v>
      </c>
      <c r="G536" s="6" t="s">
        <v>115</v>
      </c>
      <c r="H536" s="6" t="s">
        <v>119</v>
      </c>
      <c r="I536" s="6" t="s">
        <v>155</v>
      </c>
      <c r="J536" s="25">
        <v>2</v>
      </c>
      <c r="K536" s="21">
        <v>369.01</v>
      </c>
      <c r="L536" s="63">
        <v>0.15</v>
      </c>
      <c r="M536" s="21">
        <v>201.4</v>
      </c>
      <c r="N536" s="6" t="s">
        <v>94</v>
      </c>
      <c r="O536" s="60">
        <f>Vendas2025[[#This Row],[Quantidade]]*Vendas2025[[#This Row],[Preço_Unitário_R$]]</f>
        <v>738.02</v>
      </c>
      <c r="P536" s="60">
        <f>Vendas2025[[#This Row],[Receita_Bruta_R$]]*Vendas2025[[#This Row],[Desconto_pct]]</f>
        <v>110.70299999999999</v>
      </c>
      <c r="Q536" s="60">
        <f t="shared" si="40"/>
        <v>627.31700000000001</v>
      </c>
      <c r="R536" s="60">
        <f t="shared" si="41"/>
        <v>402.8</v>
      </c>
      <c r="S536" s="60">
        <f t="shared" si="42"/>
        <v>224.517</v>
      </c>
      <c r="T536" s="65">
        <f t="shared" si="43"/>
        <v>0.35790039166800836</v>
      </c>
    </row>
    <row r="537" spans="1:20">
      <c r="A537" s="41">
        <f t="shared" si="44"/>
        <v>8</v>
      </c>
      <c r="B537" s="6" t="s">
        <v>678</v>
      </c>
      <c r="C537" s="20">
        <v>45883</v>
      </c>
      <c r="D537" s="6" t="s">
        <v>118</v>
      </c>
      <c r="E537" s="6" t="s">
        <v>114</v>
      </c>
      <c r="F537" s="6" t="s">
        <v>97</v>
      </c>
      <c r="G537" s="6" t="s">
        <v>105</v>
      </c>
      <c r="H537" s="6" t="s">
        <v>99</v>
      </c>
      <c r="I537" s="6" t="s">
        <v>173</v>
      </c>
      <c r="J537" s="25">
        <v>1</v>
      </c>
      <c r="K537" s="21">
        <v>3625.19</v>
      </c>
      <c r="L537" s="63">
        <v>0</v>
      </c>
      <c r="M537" s="21">
        <v>2802.38</v>
      </c>
      <c r="N537" s="6" t="s">
        <v>94</v>
      </c>
      <c r="O537" s="60">
        <f>Vendas2025[[#This Row],[Quantidade]]*Vendas2025[[#This Row],[Preço_Unitário_R$]]</f>
        <v>3625.19</v>
      </c>
      <c r="P537" s="60">
        <f>Vendas2025[[#This Row],[Receita_Bruta_R$]]*Vendas2025[[#This Row],[Desconto_pct]]</f>
        <v>0</v>
      </c>
      <c r="Q537" s="60">
        <f t="shared" si="40"/>
        <v>3625.19</v>
      </c>
      <c r="R537" s="60">
        <f t="shared" si="41"/>
        <v>2802.38</v>
      </c>
      <c r="S537" s="60">
        <f t="shared" si="42"/>
        <v>822.81</v>
      </c>
      <c r="T537" s="65">
        <f t="shared" si="43"/>
        <v>0.22697017259785002</v>
      </c>
    </row>
    <row r="538" spans="1:20">
      <c r="A538" s="41">
        <f t="shared" si="44"/>
        <v>8</v>
      </c>
      <c r="B538" s="6" t="s">
        <v>679</v>
      </c>
      <c r="C538" s="20">
        <v>45883</v>
      </c>
      <c r="D538" s="6" t="s">
        <v>88</v>
      </c>
      <c r="E538" s="6" t="s">
        <v>89</v>
      </c>
      <c r="F538" s="6" t="s">
        <v>104</v>
      </c>
      <c r="G538" s="6" t="s">
        <v>91</v>
      </c>
      <c r="H538" s="6" t="s">
        <v>106</v>
      </c>
      <c r="I538" s="6" t="s">
        <v>107</v>
      </c>
      <c r="J538" s="25">
        <v>1</v>
      </c>
      <c r="K538" s="21">
        <v>651.91</v>
      </c>
      <c r="L538" s="63">
        <v>0.05</v>
      </c>
      <c r="M538" s="21">
        <v>381.84</v>
      </c>
      <c r="N538" s="6" t="s">
        <v>94</v>
      </c>
      <c r="O538" s="60">
        <f>Vendas2025[[#This Row],[Quantidade]]*Vendas2025[[#This Row],[Preço_Unitário_R$]]</f>
        <v>651.91</v>
      </c>
      <c r="P538" s="60">
        <f>Vendas2025[[#This Row],[Receita_Bruta_R$]]*Vendas2025[[#This Row],[Desconto_pct]]</f>
        <v>32.595500000000001</v>
      </c>
      <c r="Q538" s="60">
        <f t="shared" si="40"/>
        <v>619.31449999999995</v>
      </c>
      <c r="R538" s="60">
        <f t="shared" si="41"/>
        <v>381.84</v>
      </c>
      <c r="S538" s="60">
        <f t="shared" si="42"/>
        <v>237.47449999999998</v>
      </c>
      <c r="T538" s="65">
        <f t="shared" si="43"/>
        <v>0.38344734379705303</v>
      </c>
    </row>
    <row r="539" spans="1:20">
      <c r="A539" s="41">
        <f t="shared" si="44"/>
        <v>8</v>
      </c>
      <c r="B539" s="6" t="s">
        <v>680</v>
      </c>
      <c r="C539" s="20">
        <v>45884</v>
      </c>
      <c r="D539" s="6" t="s">
        <v>118</v>
      </c>
      <c r="E539" s="6" t="s">
        <v>114</v>
      </c>
      <c r="F539" s="6" t="s">
        <v>122</v>
      </c>
      <c r="G539" s="6" t="s">
        <v>151</v>
      </c>
      <c r="H539" s="6" t="s">
        <v>119</v>
      </c>
      <c r="I539" s="6" t="s">
        <v>138</v>
      </c>
      <c r="J539" s="25">
        <v>1</v>
      </c>
      <c r="K539" s="21">
        <v>143.75</v>
      </c>
      <c r="L539" s="63">
        <v>0.1</v>
      </c>
      <c r="M539" s="21">
        <v>55.7</v>
      </c>
      <c r="N539" s="6" t="s">
        <v>94</v>
      </c>
      <c r="O539" s="60">
        <f>Vendas2025[[#This Row],[Quantidade]]*Vendas2025[[#This Row],[Preço_Unitário_R$]]</f>
        <v>143.75</v>
      </c>
      <c r="P539" s="60">
        <f>Vendas2025[[#This Row],[Receita_Bruta_R$]]*Vendas2025[[#This Row],[Desconto_pct]]</f>
        <v>14.375</v>
      </c>
      <c r="Q539" s="60">
        <f t="shared" si="40"/>
        <v>129.375</v>
      </c>
      <c r="R539" s="60">
        <f t="shared" si="41"/>
        <v>55.7</v>
      </c>
      <c r="S539" s="60">
        <f t="shared" si="42"/>
        <v>73.674999999999997</v>
      </c>
      <c r="T539" s="65">
        <f t="shared" si="43"/>
        <v>0.56946859903381641</v>
      </c>
    </row>
    <row r="540" spans="1:20">
      <c r="A540" s="41">
        <f t="shared" si="44"/>
        <v>8</v>
      </c>
      <c r="B540" s="6" t="s">
        <v>681</v>
      </c>
      <c r="C540" s="20">
        <v>45884</v>
      </c>
      <c r="D540" s="6" t="s">
        <v>132</v>
      </c>
      <c r="E540" s="6" t="s">
        <v>89</v>
      </c>
      <c r="F540" s="6" t="s">
        <v>90</v>
      </c>
      <c r="G540" s="6" t="s">
        <v>160</v>
      </c>
      <c r="H540" s="6" t="s">
        <v>92</v>
      </c>
      <c r="I540" s="6" t="s">
        <v>144</v>
      </c>
      <c r="J540" s="25">
        <v>1</v>
      </c>
      <c r="K540" s="21">
        <v>160.31</v>
      </c>
      <c r="L540" s="63">
        <v>0.2</v>
      </c>
      <c r="M540" s="21">
        <v>57.22</v>
      </c>
      <c r="N540" s="6" t="s">
        <v>94</v>
      </c>
      <c r="O540" s="60">
        <f>Vendas2025[[#This Row],[Quantidade]]*Vendas2025[[#This Row],[Preço_Unitário_R$]]</f>
        <v>160.31</v>
      </c>
      <c r="P540" s="60">
        <f>Vendas2025[[#This Row],[Receita_Bruta_R$]]*Vendas2025[[#This Row],[Desconto_pct]]</f>
        <v>32.062000000000005</v>
      </c>
      <c r="Q540" s="60">
        <f t="shared" si="40"/>
        <v>128.24799999999999</v>
      </c>
      <c r="R540" s="60">
        <f t="shared" si="41"/>
        <v>57.22</v>
      </c>
      <c r="S540" s="60">
        <f t="shared" si="42"/>
        <v>71.027999999999992</v>
      </c>
      <c r="T540" s="65">
        <f t="shared" si="43"/>
        <v>0.55383319817852905</v>
      </c>
    </row>
    <row r="541" spans="1:20">
      <c r="A541" s="41">
        <f t="shared" si="44"/>
        <v>8</v>
      </c>
      <c r="B541" s="6" t="s">
        <v>682</v>
      </c>
      <c r="C541" s="20">
        <v>45884</v>
      </c>
      <c r="D541" s="6" t="s">
        <v>96</v>
      </c>
      <c r="E541" s="6" t="s">
        <v>89</v>
      </c>
      <c r="F541" s="6" t="s">
        <v>97</v>
      </c>
      <c r="G541" s="6" t="s">
        <v>127</v>
      </c>
      <c r="H541" s="6" t="s">
        <v>92</v>
      </c>
      <c r="I541" s="6" t="s">
        <v>144</v>
      </c>
      <c r="J541" s="25">
        <v>1</v>
      </c>
      <c r="K541" s="21">
        <v>154.97</v>
      </c>
      <c r="L541" s="63">
        <v>0.15</v>
      </c>
      <c r="M541" s="21">
        <v>52.54</v>
      </c>
      <c r="N541" s="6" t="s">
        <v>94</v>
      </c>
      <c r="O541" s="60">
        <f>Vendas2025[[#This Row],[Quantidade]]*Vendas2025[[#This Row],[Preço_Unitário_R$]]</f>
        <v>154.97</v>
      </c>
      <c r="P541" s="60">
        <f>Vendas2025[[#This Row],[Receita_Bruta_R$]]*Vendas2025[[#This Row],[Desconto_pct]]</f>
        <v>23.2455</v>
      </c>
      <c r="Q541" s="60">
        <f t="shared" si="40"/>
        <v>131.72450000000001</v>
      </c>
      <c r="R541" s="60">
        <f t="shared" si="41"/>
        <v>52.54</v>
      </c>
      <c r="S541" s="60">
        <f t="shared" si="42"/>
        <v>79.184500000000014</v>
      </c>
      <c r="T541" s="65">
        <f t="shared" si="43"/>
        <v>0.60113722200501818</v>
      </c>
    </row>
    <row r="542" spans="1:20">
      <c r="A542" s="41">
        <f t="shared" si="44"/>
        <v>8</v>
      </c>
      <c r="B542" s="6" t="s">
        <v>683</v>
      </c>
      <c r="C542" s="20">
        <v>45885</v>
      </c>
      <c r="D542" s="6" t="s">
        <v>88</v>
      </c>
      <c r="E542" s="6" t="s">
        <v>89</v>
      </c>
      <c r="F542" s="6" t="s">
        <v>97</v>
      </c>
      <c r="G542" s="6" t="s">
        <v>154</v>
      </c>
      <c r="H542" s="6" t="s">
        <v>99</v>
      </c>
      <c r="I542" s="6" t="s">
        <v>158</v>
      </c>
      <c r="J542" s="25">
        <v>2</v>
      </c>
      <c r="K542" s="21">
        <v>198.86</v>
      </c>
      <c r="L542" s="63">
        <v>0.05</v>
      </c>
      <c r="M542" s="21">
        <v>89.1</v>
      </c>
      <c r="N542" s="6" t="s">
        <v>94</v>
      </c>
      <c r="O542" s="60">
        <f>Vendas2025[[#This Row],[Quantidade]]*Vendas2025[[#This Row],[Preço_Unitário_R$]]</f>
        <v>397.72</v>
      </c>
      <c r="P542" s="60">
        <f>Vendas2025[[#This Row],[Receita_Bruta_R$]]*Vendas2025[[#This Row],[Desconto_pct]]</f>
        <v>19.886000000000003</v>
      </c>
      <c r="Q542" s="60">
        <f t="shared" si="40"/>
        <v>377.834</v>
      </c>
      <c r="R542" s="60">
        <f t="shared" si="41"/>
        <v>178.2</v>
      </c>
      <c r="S542" s="60">
        <f t="shared" si="42"/>
        <v>199.63400000000001</v>
      </c>
      <c r="T542" s="65">
        <f t="shared" si="43"/>
        <v>0.52836430813531876</v>
      </c>
    </row>
    <row r="543" spans="1:20">
      <c r="A543" s="41">
        <f t="shared" si="44"/>
        <v>8</v>
      </c>
      <c r="B543" s="6" t="s">
        <v>684</v>
      </c>
      <c r="C543" s="20">
        <v>45886</v>
      </c>
      <c r="D543" s="6" t="s">
        <v>102</v>
      </c>
      <c r="E543" s="6" t="s">
        <v>103</v>
      </c>
      <c r="F543" s="6" t="s">
        <v>122</v>
      </c>
      <c r="G543" s="6" t="s">
        <v>127</v>
      </c>
      <c r="H543" s="6" t="s">
        <v>119</v>
      </c>
      <c r="I543" s="6" t="s">
        <v>138</v>
      </c>
      <c r="J543" s="25">
        <v>1</v>
      </c>
      <c r="K543" s="21">
        <v>144.62</v>
      </c>
      <c r="L543" s="63">
        <v>0.03</v>
      </c>
      <c r="M543" s="21">
        <v>58.14</v>
      </c>
      <c r="N543" s="6" t="s">
        <v>94</v>
      </c>
      <c r="O543" s="60">
        <f>Vendas2025[[#This Row],[Quantidade]]*Vendas2025[[#This Row],[Preço_Unitário_R$]]</f>
        <v>144.62</v>
      </c>
      <c r="P543" s="60">
        <f>Vendas2025[[#This Row],[Receita_Bruta_R$]]*Vendas2025[[#This Row],[Desconto_pct]]</f>
        <v>4.3385999999999996</v>
      </c>
      <c r="Q543" s="60">
        <f t="shared" si="40"/>
        <v>140.28140000000002</v>
      </c>
      <c r="R543" s="60">
        <f t="shared" si="41"/>
        <v>58.14</v>
      </c>
      <c r="S543" s="60">
        <f t="shared" si="42"/>
        <v>82.141400000000019</v>
      </c>
      <c r="T543" s="65">
        <f t="shared" si="43"/>
        <v>0.58554733556979044</v>
      </c>
    </row>
    <row r="544" spans="1:20">
      <c r="A544" s="41">
        <f t="shared" si="44"/>
        <v>8</v>
      </c>
      <c r="B544" s="6" t="s">
        <v>685</v>
      </c>
      <c r="C544" s="20">
        <v>45886</v>
      </c>
      <c r="D544" s="6" t="s">
        <v>88</v>
      </c>
      <c r="E544" s="6" t="s">
        <v>89</v>
      </c>
      <c r="F544" s="6" t="s">
        <v>90</v>
      </c>
      <c r="G544" s="6" t="s">
        <v>140</v>
      </c>
      <c r="H544" s="6" t="s">
        <v>106</v>
      </c>
      <c r="I544" s="6" t="s">
        <v>116</v>
      </c>
      <c r="J544" s="25">
        <v>1</v>
      </c>
      <c r="K544" s="21">
        <v>474.13</v>
      </c>
      <c r="L544" s="63">
        <v>0.25</v>
      </c>
      <c r="M544" s="21">
        <v>266.67</v>
      </c>
      <c r="N544" s="6" t="s">
        <v>108</v>
      </c>
      <c r="O544" s="60">
        <f>Vendas2025[[#This Row],[Quantidade]]*Vendas2025[[#This Row],[Preço_Unitário_R$]]</f>
        <v>474.13</v>
      </c>
      <c r="P544" s="60">
        <f>Vendas2025[[#This Row],[Receita_Bruta_R$]]*Vendas2025[[#This Row],[Desconto_pct]]</f>
        <v>118.5325</v>
      </c>
      <c r="Q544" s="60">
        <f t="shared" si="40"/>
        <v>0</v>
      </c>
      <c r="R544" s="60">
        <f t="shared" si="41"/>
        <v>0</v>
      </c>
      <c r="S544" s="60">
        <f t="shared" si="42"/>
        <v>0</v>
      </c>
      <c r="T544" s="65" t="str">
        <f t="shared" si="43"/>
        <v/>
      </c>
    </row>
    <row r="545" spans="1:20">
      <c r="A545" s="41">
        <f t="shared" si="44"/>
        <v>8</v>
      </c>
      <c r="B545" s="6" t="s">
        <v>686</v>
      </c>
      <c r="C545" s="20">
        <v>45886</v>
      </c>
      <c r="D545" s="6" t="s">
        <v>129</v>
      </c>
      <c r="E545" s="6" t="s">
        <v>103</v>
      </c>
      <c r="F545" s="6" t="s">
        <v>122</v>
      </c>
      <c r="G545" s="6" t="s">
        <v>177</v>
      </c>
      <c r="H545" s="6" t="s">
        <v>124</v>
      </c>
      <c r="I545" s="6" t="s">
        <v>193</v>
      </c>
      <c r="J545" s="25">
        <v>2</v>
      </c>
      <c r="K545" s="21">
        <v>404.35</v>
      </c>
      <c r="L545" s="63">
        <v>0.2</v>
      </c>
      <c r="M545" s="21">
        <v>183.89</v>
      </c>
      <c r="N545" s="6" t="s">
        <v>94</v>
      </c>
      <c r="O545" s="60">
        <f>Vendas2025[[#This Row],[Quantidade]]*Vendas2025[[#This Row],[Preço_Unitário_R$]]</f>
        <v>808.7</v>
      </c>
      <c r="P545" s="60">
        <f>Vendas2025[[#This Row],[Receita_Bruta_R$]]*Vendas2025[[#This Row],[Desconto_pct]]</f>
        <v>161.74</v>
      </c>
      <c r="Q545" s="60">
        <f t="shared" si="40"/>
        <v>646.96</v>
      </c>
      <c r="R545" s="60">
        <f t="shared" si="41"/>
        <v>367.78</v>
      </c>
      <c r="S545" s="60">
        <f t="shared" si="42"/>
        <v>279.18000000000006</v>
      </c>
      <c r="T545" s="65">
        <f t="shared" si="43"/>
        <v>0.43152590577470024</v>
      </c>
    </row>
    <row r="546" spans="1:20">
      <c r="A546" s="41">
        <f t="shared" si="44"/>
        <v>8</v>
      </c>
      <c r="B546" s="6" t="s">
        <v>687</v>
      </c>
      <c r="C546" s="20">
        <v>45886</v>
      </c>
      <c r="D546" s="6" t="s">
        <v>132</v>
      </c>
      <c r="E546" s="6" t="s">
        <v>89</v>
      </c>
      <c r="F546" s="6" t="s">
        <v>97</v>
      </c>
      <c r="G546" s="6" t="s">
        <v>151</v>
      </c>
      <c r="H546" s="6" t="s">
        <v>99</v>
      </c>
      <c r="I546" s="6" t="s">
        <v>158</v>
      </c>
      <c r="J546" s="25">
        <v>1</v>
      </c>
      <c r="K546" s="21">
        <v>188.08</v>
      </c>
      <c r="L546" s="63">
        <v>0</v>
      </c>
      <c r="M546" s="21">
        <v>83.54</v>
      </c>
      <c r="N546" s="6" t="s">
        <v>94</v>
      </c>
      <c r="O546" s="60">
        <f>Vendas2025[[#This Row],[Quantidade]]*Vendas2025[[#This Row],[Preço_Unitário_R$]]</f>
        <v>188.08</v>
      </c>
      <c r="P546" s="60">
        <f>Vendas2025[[#This Row],[Receita_Bruta_R$]]*Vendas2025[[#This Row],[Desconto_pct]]</f>
        <v>0</v>
      </c>
      <c r="Q546" s="60">
        <f t="shared" si="40"/>
        <v>188.08</v>
      </c>
      <c r="R546" s="60">
        <f t="shared" si="41"/>
        <v>83.54</v>
      </c>
      <c r="S546" s="60">
        <f t="shared" si="42"/>
        <v>104.54</v>
      </c>
      <c r="T546" s="65">
        <f t="shared" si="43"/>
        <v>0.55582730752871123</v>
      </c>
    </row>
    <row r="547" spans="1:20">
      <c r="A547" s="41">
        <f t="shared" si="44"/>
        <v>8</v>
      </c>
      <c r="B547" s="6" t="s">
        <v>688</v>
      </c>
      <c r="C547" s="20">
        <v>45886</v>
      </c>
      <c r="D547" s="6" t="s">
        <v>102</v>
      </c>
      <c r="E547" s="6" t="s">
        <v>103</v>
      </c>
      <c r="F547" s="6" t="s">
        <v>90</v>
      </c>
      <c r="G547" s="6" t="s">
        <v>98</v>
      </c>
      <c r="H547" s="6" t="s">
        <v>92</v>
      </c>
      <c r="I547" s="6" t="s">
        <v>134</v>
      </c>
      <c r="J547" s="25">
        <v>1</v>
      </c>
      <c r="K547" s="21">
        <v>430.24</v>
      </c>
      <c r="L547" s="63">
        <v>0.15</v>
      </c>
      <c r="M547" s="21">
        <v>246.07</v>
      </c>
      <c r="N547" s="6" t="s">
        <v>94</v>
      </c>
      <c r="O547" s="60">
        <f>Vendas2025[[#This Row],[Quantidade]]*Vendas2025[[#This Row],[Preço_Unitário_R$]]</f>
        <v>430.24</v>
      </c>
      <c r="P547" s="60">
        <f>Vendas2025[[#This Row],[Receita_Bruta_R$]]*Vendas2025[[#This Row],[Desconto_pct]]</f>
        <v>64.536000000000001</v>
      </c>
      <c r="Q547" s="60">
        <f t="shared" si="40"/>
        <v>365.70400000000001</v>
      </c>
      <c r="R547" s="60">
        <f t="shared" si="41"/>
        <v>246.07</v>
      </c>
      <c r="S547" s="60">
        <f t="shared" si="42"/>
        <v>119.63400000000001</v>
      </c>
      <c r="T547" s="65">
        <f t="shared" si="43"/>
        <v>0.32713341937742002</v>
      </c>
    </row>
    <row r="548" spans="1:20">
      <c r="A548" s="41">
        <f t="shared" si="44"/>
        <v>8</v>
      </c>
      <c r="B548" s="6" t="s">
        <v>689</v>
      </c>
      <c r="C548" s="20">
        <v>45886</v>
      </c>
      <c r="D548" s="6" t="s">
        <v>102</v>
      </c>
      <c r="E548" s="6" t="s">
        <v>103</v>
      </c>
      <c r="F548" s="6" t="s">
        <v>97</v>
      </c>
      <c r="G548" s="6" t="s">
        <v>127</v>
      </c>
      <c r="H548" s="6" t="s">
        <v>106</v>
      </c>
      <c r="I548" s="6" t="s">
        <v>111</v>
      </c>
      <c r="J548" s="25">
        <v>1</v>
      </c>
      <c r="K548" s="21">
        <v>302.58999999999997</v>
      </c>
      <c r="L548" s="63">
        <v>0.15</v>
      </c>
      <c r="M548" s="21">
        <v>128.16</v>
      </c>
      <c r="N548" s="6" t="s">
        <v>94</v>
      </c>
      <c r="O548" s="60">
        <f>Vendas2025[[#This Row],[Quantidade]]*Vendas2025[[#This Row],[Preço_Unitário_R$]]</f>
        <v>302.58999999999997</v>
      </c>
      <c r="P548" s="60">
        <f>Vendas2025[[#This Row],[Receita_Bruta_R$]]*Vendas2025[[#This Row],[Desconto_pct]]</f>
        <v>45.388499999999993</v>
      </c>
      <c r="Q548" s="60">
        <f t="shared" si="40"/>
        <v>257.20150000000001</v>
      </c>
      <c r="R548" s="60">
        <f t="shared" si="41"/>
        <v>128.16</v>
      </c>
      <c r="S548" s="60">
        <f t="shared" si="42"/>
        <v>129.04150000000001</v>
      </c>
      <c r="T548" s="65">
        <f t="shared" si="43"/>
        <v>0.50171363697334581</v>
      </c>
    </row>
    <row r="549" spans="1:20">
      <c r="A549" s="41">
        <f t="shared" si="44"/>
        <v>8</v>
      </c>
      <c r="B549" s="6" t="s">
        <v>690</v>
      </c>
      <c r="C549" s="20">
        <v>45887</v>
      </c>
      <c r="D549" s="6" t="s">
        <v>96</v>
      </c>
      <c r="E549" s="6" t="s">
        <v>89</v>
      </c>
      <c r="F549" s="6" t="s">
        <v>122</v>
      </c>
      <c r="G549" s="6" t="s">
        <v>98</v>
      </c>
      <c r="H549" s="6" t="s">
        <v>124</v>
      </c>
      <c r="I549" s="6" t="s">
        <v>193</v>
      </c>
      <c r="J549" s="25">
        <v>1</v>
      </c>
      <c r="K549" s="21">
        <v>350.99</v>
      </c>
      <c r="L549" s="63">
        <v>0.1</v>
      </c>
      <c r="M549" s="21">
        <v>159.28</v>
      </c>
      <c r="N549" s="6" t="s">
        <v>94</v>
      </c>
      <c r="O549" s="60">
        <f>Vendas2025[[#This Row],[Quantidade]]*Vendas2025[[#This Row],[Preço_Unitário_R$]]</f>
        <v>350.99</v>
      </c>
      <c r="P549" s="60">
        <f>Vendas2025[[#This Row],[Receita_Bruta_R$]]*Vendas2025[[#This Row],[Desconto_pct]]</f>
        <v>35.099000000000004</v>
      </c>
      <c r="Q549" s="60">
        <f t="shared" si="40"/>
        <v>315.89100000000002</v>
      </c>
      <c r="R549" s="60">
        <f t="shared" si="41"/>
        <v>159.28</v>
      </c>
      <c r="S549" s="60">
        <f t="shared" si="42"/>
        <v>156.61100000000002</v>
      </c>
      <c r="T549" s="65">
        <f t="shared" si="43"/>
        <v>0.49577544152888181</v>
      </c>
    </row>
    <row r="550" spans="1:20">
      <c r="A550" s="41">
        <f t="shared" si="44"/>
        <v>8</v>
      </c>
      <c r="B550" s="6" t="s">
        <v>691</v>
      </c>
      <c r="C550" s="20">
        <v>45888</v>
      </c>
      <c r="D550" s="6" t="s">
        <v>88</v>
      </c>
      <c r="E550" s="6" t="s">
        <v>89</v>
      </c>
      <c r="F550" s="6" t="s">
        <v>122</v>
      </c>
      <c r="G550" s="6" t="s">
        <v>123</v>
      </c>
      <c r="H550" s="6" t="s">
        <v>124</v>
      </c>
      <c r="I550" s="6" t="s">
        <v>193</v>
      </c>
      <c r="J550" s="25">
        <v>1</v>
      </c>
      <c r="K550" s="21">
        <v>361.15</v>
      </c>
      <c r="L550" s="63">
        <v>0.05</v>
      </c>
      <c r="M550" s="21">
        <v>155.13</v>
      </c>
      <c r="N550" s="6" t="s">
        <v>94</v>
      </c>
      <c r="O550" s="60">
        <f>Vendas2025[[#This Row],[Quantidade]]*Vendas2025[[#This Row],[Preço_Unitário_R$]]</f>
        <v>361.15</v>
      </c>
      <c r="P550" s="60">
        <f>Vendas2025[[#This Row],[Receita_Bruta_R$]]*Vendas2025[[#This Row],[Desconto_pct]]</f>
        <v>18.057500000000001</v>
      </c>
      <c r="Q550" s="60">
        <f t="shared" si="40"/>
        <v>343.09249999999997</v>
      </c>
      <c r="R550" s="60">
        <f t="shared" si="41"/>
        <v>155.13</v>
      </c>
      <c r="S550" s="60">
        <f t="shared" si="42"/>
        <v>187.96249999999998</v>
      </c>
      <c r="T550" s="65">
        <f t="shared" si="43"/>
        <v>0.5478478835882451</v>
      </c>
    </row>
    <row r="551" spans="1:20">
      <c r="A551" s="41">
        <f t="shared" si="44"/>
        <v>8</v>
      </c>
      <c r="B551" s="6" t="s">
        <v>692</v>
      </c>
      <c r="C551" s="20">
        <v>45888</v>
      </c>
      <c r="D551" s="6" t="s">
        <v>113</v>
      </c>
      <c r="E551" s="6" t="s">
        <v>114</v>
      </c>
      <c r="F551" s="6" t="s">
        <v>90</v>
      </c>
      <c r="G551" s="6" t="s">
        <v>177</v>
      </c>
      <c r="H551" s="6" t="s">
        <v>106</v>
      </c>
      <c r="I551" s="6" t="s">
        <v>184</v>
      </c>
      <c r="J551" s="25">
        <v>1</v>
      </c>
      <c r="K551" s="21">
        <v>1197.47</v>
      </c>
      <c r="L551" s="63">
        <v>0.25</v>
      </c>
      <c r="M551" s="21">
        <v>859.41</v>
      </c>
      <c r="N551" s="6" t="s">
        <v>94</v>
      </c>
      <c r="O551" s="60">
        <f>Vendas2025[[#This Row],[Quantidade]]*Vendas2025[[#This Row],[Preço_Unitário_R$]]</f>
        <v>1197.47</v>
      </c>
      <c r="P551" s="60">
        <f>Vendas2025[[#This Row],[Receita_Bruta_R$]]*Vendas2025[[#This Row],[Desconto_pct]]</f>
        <v>299.36750000000001</v>
      </c>
      <c r="Q551" s="60">
        <f t="shared" si="40"/>
        <v>898.10249999999996</v>
      </c>
      <c r="R551" s="60">
        <f t="shared" si="41"/>
        <v>859.41</v>
      </c>
      <c r="S551" s="60">
        <f t="shared" si="42"/>
        <v>38.692499999999995</v>
      </c>
      <c r="T551" s="65">
        <f t="shared" si="43"/>
        <v>4.3082498935255162E-2</v>
      </c>
    </row>
    <row r="552" spans="1:20">
      <c r="A552" s="41">
        <f t="shared" si="44"/>
        <v>8</v>
      </c>
      <c r="B552" s="6" t="s">
        <v>693</v>
      </c>
      <c r="C552" s="20">
        <v>45889</v>
      </c>
      <c r="D552" s="6" t="s">
        <v>113</v>
      </c>
      <c r="E552" s="6" t="s">
        <v>114</v>
      </c>
      <c r="F552" s="6" t="s">
        <v>122</v>
      </c>
      <c r="G552" s="6" t="s">
        <v>110</v>
      </c>
      <c r="H552" s="6" t="s">
        <v>106</v>
      </c>
      <c r="I552" s="6" t="s">
        <v>107</v>
      </c>
      <c r="J552" s="25">
        <v>1</v>
      </c>
      <c r="K552" s="21">
        <v>672.73</v>
      </c>
      <c r="L552" s="63">
        <v>0.15</v>
      </c>
      <c r="M552" s="21">
        <v>371.89</v>
      </c>
      <c r="N552" s="6" t="s">
        <v>94</v>
      </c>
      <c r="O552" s="60">
        <f>Vendas2025[[#This Row],[Quantidade]]*Vendas2025[[#This Row],[Preço_Unitário_R$]]</f>
        <v>672.73</v>
      </c>
      <c r="P552" s="60">
        <f>Vendas2025[[#This Row],[Receita_Bruta_R$]]*Vendas2025[[#This Row],[Desconto_pct]]</f>
        <v>100.90949999999999</v>
      </c>
      <c r="Q552" s="60">
        <f t="shared" si="40"/>
        <v>571.82050000000004</v>
      </c>
      <c r="R552" s="60">
        <f t="shared" si="41"/>
        <v>371.89</v>
      </c>
      <c r="S552" s="60">
        <f t="shared" si="42"/>
        <v>199.93050000000005</v>
      </c>
      <c r="T552" s="65">
        <f t="shared" si="43"/>
        <v>0.34963856664810028</v>
      </c>
    </row>
    <row r="553" spans="1:20">
      <c r="A553" s="41">
        <f t="shared" si="44"/>
        <v>8</v>
      </c>
      <c r="B553" s="6" t="s">
        <v>694</v>
      </c>
      <c r="C553" s="20">
        <v>45889</v>
      </c>
      <c r="D553" s="6" t="s">
        <v>118</v>
      </c>
      <c r="E553" s="6" t="s">
        <v>114</v>
      </c>
      <c r="F553" s="6" t="s">
        <v>90</v>
      </c>
      <c r="G553" s="6" t="s">
        <v>115</v>
      </c>
      <c r="H553" s="6" t="s">
        <v>119</v>
      </c>
      <c r="I553" s="6" t="s">
        <v>120</v>
      </c>
      <c r="J553" s="25">
        <v>1</v>
      </c>
      <c r="K553" s="21">
        <v>2192.31</v>
      </c>
      <c r="L553" s="63">
        <v>0.15</v>
      </c>
      <c r="M553" s="21">
        <v>1569.58</v>
      </c>
      <c r="N553" s="6" t="s">
        <v>94</v>
      </c>
      <c r="O553" s="60">
        <f>Vendas2025[[#This Row],[Quantidade]]*Vendas2025[[#This Row],[Preço_Unitário_R$]]</f>
        <v>2192.31</v>
      </c>
      <c r="P553" s="60">
        <f>Vendas2025[[#This Row],[Receita_Bruta_R$]]*Vendas2025[[#This Row],[Desconto_pct]]</f>
        <v>328.84649999999999</v>
      </c>
      <c r="Q553" s="60">
        <f t="shared" si="40"/>
        <v>1863.4634999999998</v>
      </c>
      <c r="R553" s="60">
        <f t="shared" si="41"/>
        <v>1569.58</v>
      </c>
      <c r="S553" s="60">
        <f t="shared" si="42"/>
        <v>293.88349999999991</v>
      </c>
      <c r="T553" s="65">
        <f t="shared" si="43"/>
        <v>0.15770821376431571</v>
      </c>
    </row>
    <row r="554" spans="1:20">
      <c r="A554" s="41">
        <f t="shared" si="44"/>
        <v>8</v>
      </c>
      <c r="B554" s="6" t="s">
        <v>695</v>
      </c>
      <c r="C554" s="20">
        <v>45889</v>
      </c>
      <c r="D554" s="6" t="s">
        <v>113</v>
      </c>
      <c r="E554" s="6" t="s">
        <v>114</v>
      </c>
      <c r="F554" s="6" t="s">
        <v>122</v>
      </c>
      <c r="G554" s="6" t="s">
        <v>177</v>
      </c>
      <c r="H554" s="6" t="s">
        <v>99</v>
      </c>
      <c r="I554" s="6" t="s">
        <v>100</v>
      </c>
      <c r="J554" s="25">
        <v>2</v>
      </c>
      <c r="K554" s="21">
        <v>410.24</v>
      </c>
      <c r="L554" s="63">
        <v>0.2</v>
      </c>
      <c r="M554" s="21">
        <v>230.53</v>
      </c>
      <c r="N554" s="6" t="s">
        <v>94</v>
      </c>
      <c r="O554" s="60">
        <f>Vendas2025[[#This Row],[Quantidade]]*Vendas2025[[#This Row],[Preço_Unitário_R$]]</f>
        <v>820.48</v>
      </c>
      <c r="P554" s="60">
        <f>Vendas2025[[#This Row],[Receita_Bruta_R$]]*Vendas2025[[#This Row],[Desconto_pct]]</f>
        <v>164.096</v>
      </c>
      <c r="Q554" s="60">
        <f t="shared" si="40"/>
        <v>656.38400000000001</v>
      </c>
      <c r="R554" s="60">
        <f t="shared" si="41"/>
        <v>461.06</v>
      </c>
      <c r="S554" s="60">
        <f t="shared" si="42"/>
        <v>195.32400000000001</v>
      </c>
      <c r="T554" s="65">
        <f t="shared" si="43"/>
        <v>0.29757580928237132</v>
      </c>
    </row>
    <row r="555" spans="1:20">
      <c r="A555" s="41">
        <f t="shared" si="44"/>
        <v>8</v>
      </c>
      <c r="B555" s="6" t="s">
        <v>696</v>
      </c>
      <c r="C555" s="20">
        <v>45890</v>
      </c>
      <c r="D555" s="6" t="s">
        <v>136</v>
      </c>
      <c r="E555" s="6" t="s">
        <v>137</v>
      </c>
      <c r="F555" s="6" t="s">
        <v>97</v>
      </c>
      <c r="G555" s="6" t="s">
        <v>98</v>
      </c>
      <c r="H555" s="6" t="s">
        <v>106</v>
      </c>
      <c r="I555" s="6" t="s">
        <v>111</v>
      </c>
      <c r="J555" s="25">
        <v>1</v>
      </c>
      <c r="K555" s="21">
        <v>284.99</v>
      </c>
      <c r="L555" s="63">
        <v>0.08</v>
      </c>
      <c r="M555" s="21">
        <v>130.08000000000001</v>
      </c>
      <c r="N555" s="6" t="s">
        <v>94</v>
      </c>
      <c r="O555" s="60">
        <f>Vendas2025[[#This Row],[Quantidade]]*Vendas2025[[#This Row],[Preço_Unitário_R$]]</f>
        <v>284.99</v>
      </c>
      <c r="P555" s="60">
        <f>Vendas2025[[#This Row],[Receita_Bruta_R$]]*Vendas2025[[#This Row],[Desconto_pct]]</f>
        <v>22.799200000000003</v>
      </c>
      <c r="Q555" s="60">
        <f t="shared" si="40"/>
        <v>262.19080000000002</v>
      </c>
      <c r="R555" s="60">
        <f t="shared" si="41"/>
        <v>130.08000000000001</v>
      </c>
      <c r="S555" s="60">
        <f t="shared" si="42"/>
        <v>132.11080000000001</v>
      </c>
      <c r="T555" s="65">
        <f t="shared" si="43"/>
        <v>0.50387275220945971</v>
      </c>
    </row>
    <row r="556" spans="1:20">
      <c r="A556" s="41">
        <f t="shared" si="44"/>
        <v>8</v>
      </c>
      <c r="B556" s="6" t="s">
        <v>697</v>
      </c>
      <c r="C556" s="20">
        <v>45890</v>
      </c>
      <c r="D556" s="6" t="s">
        <v>129</v>
      </c>
      <c r="E556" s="6" t="s">
        <v>103</v>
      </c>
      <c r="F556" s="6" t="s">
        <v>97</v>
      </c>
      <c r="G556" s="6" t="s">
        <v>98</v>
      </c>
      <c r="H556" s="6" t="s">
        <v>106</v>
      </c>
      <c r="I556" s="6" t="s">
        <v>116</v>
      </c>
      <c r="J556" s="25">
        <v>1</v>
      </c>
      <c r="K556" s="21">
        <v>475.45</v>
      </c>
      <c r="L556" s="63">
        <v>0.08</v>
      </c>
      <c r="M556" s="21">
        <v>261.87</v>
      </c>
      <c r="N556" s="6" t="s">
        <v>94</v>
      </c>
      <c r="O556" s="60">
        <f>Vendas2025[[#This Row],[Quantidade]]*Vendas2025[[#This Row],[Preço_Unitário_R$]]</f>
        <v>475.45</v>
      </c>
      <c r="P556" s="60">
        <f>Vendas2025[[#This Row],[Receita_Bruta_R$]]*Vendas2025[[#This Row],[Desconto_pct]]</f>
        <v>38.036000000000001</v>
      </c>
      <c r="Q556" s="60">
        <f t="shared" si="40"/>
        <v>437.41399999999999</v>
      </c>
      <c r="R556" s="60">
        <f t="shared" si="41"/>
        <v>261.87</v>
      </c>
      <c r="S556" s="60">
        <f t="shared" si="42"/>
        <v>175.54399999999998</v>
      </c>
      <c r="T556" s="65">
        <f t="shared" si="43"/>
        <v>0.40132231707261312</v>
      </c>
    </row>
    <row r="557" spans="1:20">
      <c r="A557" s="41">
        <f t="shared" si="44"/>
        <v>8</v>
      </c>
      <c r="B557" s="6" t="s">
        <v>698</v>
      </c>
      <c r="C557" s="20">
        <v>45890</v>
      </c>
      <c r="D557" s="6" t="s">
        <v>136</v>
      </c>
      <c r="E557" s="6" t="s">
        <v>137</v>
      </c>
      <c r="F557" s="6" t="s">
        <v>122</v>
      </c>
      <c r="G557" s="6" t="s">
        <v>127</v>
      </c>
      <c r="H557" s="6" t="s">
        <v>119</v>
      </c>
      <c r="I557" s="6" t="s">
        <v>138</v>
      </c>
      <c r="J557" s="25">
        <v>2</v>
      </c>
      <c r="K557" s="21">
        <v>136.79</v>
      </c>
      <c r="L557" s="63">
        <v>0.05</v>
      </c>
      <c r="M557" s="21">
        <v>56.84</v>
      </c>
      <c r="N557" s="6" t="s">
        <v>94</v>
      </c>
      <c r="O557" s="60">
        <f>Vendas2025[[#This Row],[Quantidade]]*Vendas2025[[#This Row],[Preço_Unitário_R$]]</f>
        <v>273.58</v>
      </c>
      <c r="P557" s="60">
        <f>Vendas2025[[#This Row],[Receita_Bruta_R$]]*Vendas2025[[#This Row],[Desconto_pct]]</f>
        <v>13.679</v>
      </c>
      <c r="Q557" s="60">
        <f t="shared" si="40"/>
        <v>259.90100000000001</v>
      </c>
      <c r="R557" s="60">
        <f t="shared" si="41"/>
        <v>113.68</v>
      </c>
      <c r="S557" s="60">
        <f t="shared" si="42"/>
        <v>146.221</v>
      </c>
      <c r="T557" s="65">
        <f t="shared" si="43"/>
        <v>0.56260268332942154</v>
      </c>
    </row>
    <row r="558" spans="1:20">
      <c r="A558" s="41">
        <f t="shared" si="44"/>
        <v>8</v>
      </c>
      <c r="B558" s="6" t="s">
        <v>699</v>
      </c>
      <c r="C558" s="20">
        <v>45890</v>
      </c>
      <c r="D558" s="6" t="s">
        <v>96</v>
      </c>
      <c r="E558" s="6" t="s">
        <v>89</v>
      </c>
      <c r="F558" s="6" t="s">
        <v>97</v>
      </c>
      <c r="G558" s="6" t="s">
        <v>160</v>
      </c>
      <c r="H558" s="6" t="s">
        <v>99</v>
      </c>
      <c r="I558" s="6" t="s">
        <v>100</v>
      </c>
      <c r="J558" s="25">
        <v>1</v>
      </c>
      <c r="K558" s="21">
        <v>387.3</v>
      </c>
      <c r="L558" s="63">
        <v>0.05</v>
      </c>
      <c r="M558" s="21">
        <v>219.25</v>
      </c>
      <c r="N558" s="6" t="s">
        <v>94</v>
      </c>
      <c r="O558" s="60">
        <f>Vendas2025[[#This Row],[Quantidade]]*Vendas2025[[#This Row],[Preço_Unitário_R$]]</f>
        <v>387.3</v>
      </c>
      <c r="P558" s="60">
        <f>Vendas2025[[#This Row],[Receita_Bruta_R$]]*Vendas2025[[#This Row],[Desconto_pct]]</f>
        <v>19.365000000000002</v>
      </c>
      <c r="Q558" s="60">
        <f t="shared" si="40"/>
        <v>367.935</v>
      </c>
      <c r="R558" s="60">
        <f t="shared" si="41"/>
        <v>219.25</v>
      </c>
      <c r="S558" s="60">
        <f t="shared" si="42"/>
        <v>148.685</v>
      </c>
      <c r="T558" s="65">
        <f t="shared" si="43"/>
        <v>0.40410670362971723</v>
      </c>
    </row>
    <row r="559" spans="1:20">
      <c r="A559" s="41">
        <f t="shared" si="44"/>
        <v>8</v>
      </c>
      <c r="B559" s="6" t="s">
        <v>700</v>
      </c>
      <c r="C559" s="20">
        <v>45890</v>
      </c>
      <c r="D559" s="6" t="s">
        <v>129</v>
      </c>
      <c r="E559" s="6" t="s">
        <v>103</v>
      </c>
      <c r="F559" s="6" t="s">
        <v>122</v>
      </c>
      <c r="G559" s="6" t="s">
        <v>91</v>
      </c>
      <c r="H559" s="6" t="s">
        <v>124</v>
      </c>
      <c r="I559" s="6" t="s">
        <v>193</v>
      </c>
      <c r="J559" s="25">
        <v>1</v>
      </c>
      <c r="K559" s="21">
        <v>367.65</v>
      </c>
      <c r="L559" s="63">
        <v>0.03</v>
      </c>
      <c r="M559" s="21">
        <v>156.21</v>
      </c>
      <c r="N559" s="6" t="s">
        <v>94</v>
      </c>
      <c r="O559" s="60">
        <f>Vendas2025[[#This Row],[Quantidade]]*Vendas2025[[#This Row],[Preço_Unitário_R$]]</f>
        <v>367.65</v>
      </c>
      <c r="P559" s="60">
        <f>Vendas2025[[#This Row],[Receita_Bruta_R$]]*Vendas2025[[#This Row],[Desconto_pct]]</f>
        <v>11.029499999999999</v>
      </c>
      <c r="Q559" s="60">
        <f t="shared" si="40"/>
        <v>356.62049999999999</v>
      </c>
      <c r="R559" s="60">
        <f t="shared" si="41"/>
        <v>156.21</v>
      </c>
      <c r="S559" s="60">
        <f t="shared" si="42"/>
        <v>200.41049999999998</v>
      </c>
      <c r="T559" s="65">
        <f t="shared" si="43"/>
        <v>0.56197133928083209</v>
      </c>
    </row>
    <row r="560" spans="1:20">
      <c r="A560" s="41">
        <f t="shared" si="44"/>
        <v>8</v>
      </c>
      <c r="B560" s="6" t="s">
        <v>701</v>
      </c>
      <c r="C560" s="20">
        <v>45891</v>
      </c>
      <c r="D560" s="6" t="s">
        <v>102</v>
      </c>
      <c r="E560" s="6" t="s">
        <v>103</v>
      </c>
      <c r="F560" s="6" t="s">
        <v>90</v>
      </c>
      <c r="G560" s="6" t="s">
        <v>98</v>
      </c>
      <c r="H560" s="6" t="s">
        <v>119</v>
      </c>
      <c r="I560" s="6" t="s">
        <v>138</v>
      </c>
      <c r="J560" s="25">
        <v>1</v>
      </c>
      <c r="K560" s="21">
        <v>134.94</v>
      </c>
      <c r="L560" s="63">
        <v>0.05</v>
      </c>
      <c r="M560" s="21">
        <v>52.2</v>
      </c>
      <c r="N560" s="6" t="s">
        <v>94</v>
      </c>
      <c r="O560" s="60">
        <f>Vendas2025[[#This Row],[Quantidade]]*Vendas2025[[#This Row],[Preço_Unitário_R$]]</f>
        <v>134.94</v>
      </c>
      <c r="P560" s="60">
        <f>Vendas2025[[#This Row],[Receita_Bruta_R$]]*Vendas2025[[#This Row],[Desconto_pct]]</f>
        <v>6.7469999999999999</v>
      </c>
      <c r="Q560" s="60">
        <f t="shared" si="40"/>
        <v>128.19299999999998</v>
      </c>
      <c r="R560" s="60">
        <f t="shared" si="41"/>
        <v>52.2</v>
      </c>
      <c r="S560" s="60">
        <f t="shared" si="42"/>
        <v>75.992999999999981</v>
      </c>
      <c r="T560" s="65">
        <f t="shared" si="43"/>
        <v>0.5928014790199152</v>
      </c>
    </row>
    <row r="561" spans="1:20">
      <c r="A561" s="41">
        <f t="shared" si="44"/>
        <v>8</v>
      </c>
      <c r="B561" s="6" t="s">
        <v>702</v>
      </c>
      <c r="C561" s="20">
        <v>45892</v>
      </c>
      <c r="D561" s="6" t="s">
        <v>118</v>
      </c>
      <c r="E561" s="6" t="s">
        <v>114</v>
      </c>
      <c r="F561" s="6" t="s">
        <v>104</v>
      </c>
      <c r="G561" s="6" t="s">
        <v>98</v>
      </c>
      <c r="H561" s="6" t="s">
        <v>92</v>
      </c>
      <c r="I561" s="6" t="s">
        <v>134</v>
      </c>
      <c r="J561" s="25">
        <v>1</v>
      </c>
      <c r="K561" s="21">
        <v>404.58</v>
      </c>
      <c r="L561" s="63">
        <v>0.03</v>
      </c>
      <c r="M561" s="21">
        <v>228.74</v>
      </c>
      <c r="N561" s="6" t="s">
        <v>94</v>
      </c>
      <c r="O561" s="60">
        <f>Vendas2025[[#This Row],[Quantidade]]*Vendas2025[[#This Row],[Preço_Unitário_R$]]</f>
        <v>404.58</v>
      </c>
      <c r="P561" s="60">
        <f>Vendas2025[[#This Row],[Receita_Bruta_R$]]*Vendas2025[[#This Row],[Desconto_pct]]</f>
        <v>12.1374</v>
      </c>
      <c r="Q561" s="60">
        <f t="shared" si="40"/>
        <v>392.44259999999997</v>
      </c>
      <c r="R561" s="60">
        <f t="shared" si="41"/>
        <v>228.74</v>
      </c>
      <c r="S561" s="60">
        <f t="shared" si="42"/>
        <v>163.70259999999996</v>
      </c>
      <c r="T561" s="65">
        <f t="shared" si="43"/>
        <v>0.41713769096423264</v>
      </c>
    </row>
    <row r="562" spans="1:20">
      <c r="A562" s="41">
        <f t="shared" si="44"/>
        <v>8</v>
      </c>
      <c r="B562" s="6" t="s">
        <v>703</v>
      </c>
      <c r="C562" s="20">
        <v>45892</v>
      </c>
      <c r="D562" s="6" t="s">
        <v>96</v>
      </c>
      <c r="E562" s="6" t="s">
        <v>89</v>
      </c>
      <c r="F562" s="6" t="s">
        <v>122</v>
      </c>
      <c r="G562" s="6" t="s">
        <v>127</v>
      </c>
      <c r="H562" s="6" t="s">
        <v>99</v>
      </c>
      <c r="I562" s="6" t="s">
        <v>158</v>
      </c>
      <c r="J562" s="25">
        <v>1</v>
      </c>
      <c r="K562" s="21">
        <v>175.67</v>
      </c>
      <c r="L562" s="63">
        <v>0.03</v>
      </c>
      <c r="M562" s="21">
        <v>80.209999999999994</v>
      </c>
      <c r="N562" s="6" t="s">
        <v>94</v>
      </c>
      <c r="O562" s="60">
        <f>Vendas2025[[#This Row],[Quantidade]]*Vendas2025[[#This Row],[Preço_Unitário_R$]]</f>
        <v>175.67</v>
      </c>
      <c r="P562" s="60">
        <f>Vendas2025[[#This Row],[Receita_Bruta_R$]]*Vendas2025[[#This Row],[Desconto_pct]]</f>
        <v>5.2700999999999993</v>
      </c>
      <c r="Q562" s="60">
        <f t="shared" si="40"/>
        <v>170.3999</v>
      </c>
      <c r="R562" s="60">
        <f t="shared" si="41"/>
        <v>80.209999999999994</v>
      </c>
      <c r="S562" s="60">
        <f t="shared" si="42"/>
        <v>90.189900000000009</v>
      </c>
      <c r="T562" s="65">
        <f t="shared" si="43"/>
        <v>0.52928376131676136</v>
      </c>
    </row>
    <row r="563" spans="1:20">
      <c r="A563" s="41">
        <f t="shared" si="44"/>
        <v>8</v>
      </c>
      <c r="B563" s="6" t="s">
        <v>704</v>
      </c>
      <c r="C563" s="20">
        <v>45892</v>
      </c>
      <c r="D563" s="6" t="s">
        <v>129</v>
      </c>
      <c r="E563" s="6" t="s">
        <v>103</v>
      </c>
      <c r="F563" s="6" t="s">
        <v>122</v>
      </c>
      <c r="G563" s="6" t="s">
        <v>160</v>
      </c>
      <c r="H563" s="6" t="s">
        <v>99</v>
      </c>
      <c r="I563" s="6" t="s">
        <v>100</v>
      </c>
      <c r="J563" s="25">
        <v>1</v>
      </c>
      <c r="K563" s="21">
        <v>447.44</v>
      </c>
      <c r="L563" s="63">
        <v>0.1</v>
      </c>
      <c r="M563" s="21">
        <v>257.87</v>
      </c>
      <c r="N563" s="6" t="s">
        <v>94</v>
      </c>
      <c r="O563" s="60">
        <f>Vendas2025[[#This Row],[Quantidade]]*Vendas2025[[#This Row],[Preço_Unitário_R$]]</f>
        <v>447.44</v>
      </c>
      <c r="P563" s="60">
        <f>Vendas2025[[#This Row],[Receita_Bruta_R$]]*Vendas2025[[#This Row],[Desconto_pct]]</f>
        <v>44.744</v>
      </c>
      <c r="Q563" s="60">
        <f t="shared" si="40"/>
        <v>402.69600000000003</v>
      </c>
      <c r="R563" s="60">
        <f t="shared" si="41"/>
        <v>257.87</v>
      </c>
      <c r="S563" s="60">
        <f t="shared" si="42"/>
        <v>144.82600000000002</v>
      </c>
      <c r="T563" s="65">
        <f t="shared" si="43"/>
        <v>0.35964101952837874</v>
      </c>
    </row>
    <row r="564" spans="1:20">
      <c r="A564" s="41">
        <f t="shared" si="44"/>
        <v>8</v>
      </c>
      <c r="B564" s="6" t="s">
        <v>705</v>
      </c>
      <c r="C564" s="20">
        <v>45893</v>
      </c>
      <c r="D564" s="6" t="s">
        <v>88</v>
      </c>
      <c r="E564" s="6" t="s">
        <v>89</v>
      </c>
      <c r="F564" s="6" t="s">
        <v>97</v>
      </c>
      <c r="G564" s="6" t="s">
        <v>115</v>
      </c>
      <c r="H564" s="6" t="s">
        <v>92</v>
      </c>
      <c r="I564" s="6" t="s">
        <v>134</v>
      </c>
      <c r="J564" s="25">
        <v>2</v>
      </c>
      <c r="K564" s="21">
        <v>397.41</v>
      </c>
      <c r="L564" s="63">
        <v>0.08</v>
      </c>
      <c r="M564" s="21">
        <v>217.06</v>
      </c>
      <c r="N564" s="6" t="s">
        <v>94</v>
      </c>
      <c r="O564" s="60">
        <f>Vendas2025[[#This Row],[Quantidade]]*Vendas2025[[#This Row],[Preço_Unitário_R$]]</f>
        <v>794.82</v>
      </c>
      <c r="P564" s="60">
        <f>Vendas2025[[#This Row],[Receita_Bruta_R$]]*Vendas2025[[#This Row],[Desconto_pct]]</f>
        <v>63.585600000000007</v>
      </c>
      <c r="Q564" s="60">
        <f t="shared" si="40"/>
        <v>731.23440000000005</v>
      </c>
      <c r="R564" s="60">
        <f t="shared" si="41"/>
        <v>434.12</v>
      </c>
      <c r="S564" s="60">
        <f t="shared" si="42"/>
        <v>297.11440000000005</v>
      </c>
      <c r="T564" s="65">
        <f t="shared" si="43"/>
        <v>0.40631895873607698</v>
      </c>
    </row>
    <row r="565" spans="1:20">
      <c r="A565" s="41">
        <f t="shared" si="44"/>
        <v>8</v>
      </c>
      <c r="B565" s="6" t="s">
        <v>706</v>
      </c>
      <c r="C565" s="20">
        <v>45893</v>
      </c>
      <c r="D565" s="6" t="s">
        <v>136</v>
      </c>
      <c r="E565" s="6" t="s">
        <v>137</v>
      </c>
      <c r="F565" s="6" t="s">
        <v>97</v>
      </c>
      <c r="G565" s="6" t="s">
        <v>177</v>
      </c>
      <c r="H565" s="6" t="s">
        <v>99</v>
      </c>
      <c r="I565" s="6" t="s">
        <v>130</v>
      </c>
      <c r="J565" s="25">
        <v>2</v>
      </c>
      <c r="K565" s="21">
        <v>247.94</v>
      </c>
      <c r="L565" s="63">
        <v>0.05</v>
      </c>
      <c r="M565" s="21">
        <v>122.54</v>
      </c>
      <c r="N565" s="6" t="s">
        <v>94</v>
      </c>
      <c r="O565" s="60">
        <f>Vendas2025[[#This Row],[Quantidade]]*Vendas2025[[#This Row],[Preço_Unitário_R$]]</f>
        <v>495.88</v>
      </c>
      <c r="P565" s="60">
        <f>Vendas2025[[#This Row],[Receita_Bruta_R$]]*Vendas2025[[#This Row],[Desconto_pct]]</f>
        <v>24.794</v>
      </c>
      <c r="Q565" s="60">
        <f t="shared" si="40"/>
        <v>471.08600000000001</v>
      </c>
      <c r="R565" s="60">
        <f t="shared" si="41"/>
        <v>245.08</v>
      </c>
      <c r="S565" s="60">
        <f t="shared" si="42"/>
        <v>226.006</v>
      </c>
      <c r="T565" s="65">
        <f t="shared" si="43"/>
        <v>0.47975528884322605</v>
      </c>
    </row>
    <row r="566" spans="1:20">
      <c r="A566" s="41">
        <f t="shared" si="44"/>
        <v>8</v>
      </c>
      <c r="B566" s="6" t="s">
        <v>707</v>
      </c>
      <c r="C566" s="20">
        <v>45893</v>
      </c>
      <c r="D566" s="6" t="s">
        <v>88</v>
      </c>
      <c r="E566" s="6" t="s">
        <v>89</v>
      </c>
      <c r="F566" s="6" t="s">
        <v>90</v>
      </c>
      <c r="G566" s="6" t="s">
        <v>98</v>
      </c>
      <c r="H566" s="6" t="s">
        <v>119</v>
      </c>
      <c r="I566" s="6" t="s">
        <v>138</v>
      </c>
      <c r="J566" s="25">
        <v>1</v>
      </c>
      <c r="K566" s="21">
        <v>147.76</v>
      </c>
      <c r="L566" s="63">
        <v>0.15</v>
      </c>
      <c r="M566" s="21">
        <v>59.66</v>
      </c>
      <c r="N566" s="6" t="s">
        <v>94</v>
      </c>
      <c r="O566" s="60">
        <f>Vendas2025[[#This Row],[Quantidade]]*Vendas2025[[#This Row],[Preço_Unitário_R$]]</f>
        <v>147.76</v>
      </c>
      <c r="P566" s="60">
        <f>Vendas2025[[#This Row],[Receita_Bruta_R$]]*Vendas2025[[#This Row],[Desconto_pct]]</f>
        <v>22.163999999999998</v>
      </c>
      <c r="Q566" s="60">
        <f t="shared" si="40"/>
        <v>125.59599999999999</v>
      </c>
      <c r="R566" s="60">
        <f t="shared" si="41"/>
        <v>59.66</v>
      </c>
      <c r="S566" s="60">
        <f t="shared" si="42"/>
        <v>65.935999999999993</v>
      </c>
      <c r="T566" s="65">
        <f t="shared" si="43"/>
        <v>0.5249848721296857</v>
      </c>
    </row>
    <row r="567" spans="1:20">
      <c r="A567" s="41">
        <f t="shared" si="44"/>
        <v>8</v>
      </c>
      <c r="B567" s="6" t="s">
        <v>708</v>
      </c>
      <c r="C567" s="20">
        <v>45894</v>
      </c>
      <c r="D567" s="6" t="s">
        <v>88</v>
      </c>
      <c r="E567" s="6" t="s">
        <v>89</v>
      </c>
      <c r="F567" s="6" t="s">
        <v>90</v>
      </c>
      <c r="G567" s="6" t="s">
        <v>154</v>
      </c>
      <c r="H567" s="6" t="s">
        <v>124</v>
      </c>
      <c r="I567" s="6" t="s">
        <v>193</v>
      </c>
      <c r="J567" s="25">
        <v>1</v>
      </c>
      <c r="K567" s="21">
        <v>364.86</v>
      </c>
      <c r="L567" s="63">
        <v>0.2</v>
      </c>
      <c r="M567" s="21">
        <v>157.88999999999999</v>
      </c>
      <c r="N567" s="6" t="s">
        <v>94</v>
      </c>
      <c r="O567" s="60">
        <f>Vendas2025[[#This Row],[Quantidade]]*Vendas2025[[#This Row],[Preço_Unitário_R$]]</f>
        <v>364.86</v>
      </c>
      <c r="P567" s="60">
        <f>Vendas2025[[#This Row],[Receita_Bruta_R$]]*Vendas2025[[#This Row],[Desconto_pct]]</f>
        <v>72.972000000000008</v>
      </c>
      <c r="Q567" s="60">
        <f t="shared" si="40"/>
        <v>291.88800000000003</v>
      </c>
      <c r="R567" s="60">
        <f t="shared" si="41"/>
        <v>157.88999999999999</v>
      </c>
      <c r="S567" s="60">
        <f t="shared" si="42"/>
        <v>133.99800000000005</v>
      </c>
      <c r="T567" s="65">
        <f t="shared" si="43"/>
        <v>0.45907334320013166</v>
      </c>
    </row>
    <row r="568" spans="1:20">
      <c r="A568" s="41">
        <f t="shared" si="44"/>
        <v>8</v>
      </c>
      <c r="B568" s="6" t="s">
        <v>709</v>
      </c>
      <c r="C568" s="20">
        <v>45894</v>
      </c>
      <c r="D568" s="6" t="s">
        <v>113</v>
      </c>
      <c r="E568" s="6" t="s">
        <v>114</v>
      </c>
      <c r="F568" s="6" t="s">
        <v>122</v>
      </c>
      <c r="G568" s="6" t="s">
        <v>110</v>
      </c>
      <c r="H568" s="6" t="s">
        <v>119</v>
      </c>
      <c r="I568" s="6" t="s">
        <v>120</v>
      </c>
      <c r="J568" s="25">
        <v>1</v>
      </c>
      <c r="K568" s="21">
        <v>2305.1</v>
      </c>
      <c r="L568" s="63">
        <v>0.1</v>
      </c>
      <c r="M568" s="21">
        <v>1648.56</v>
      </c>
      <c r="N568" s="6" t="s">
        <v>94</v>
      </c>
      <c r="O568" s="60">
        <f>Vendas2025[[#This Row],[Quantidade]]*Vendas2025[[#This Row],[Preço_Unitário_R$]]</f>
        <v>2305.1</v>
      </c>
      <c r="P568" s="60">
        <f>Vendas2025[[#This Row],[Receita_Bruta_R$]]*Vendas2025[[#This Row],[Desconto_pct]]</f>
        <v>230.51</v>
      </c>
      <c r="Q568" s="60">
        <f t="shared" si="40"/>
        <v>2074.59</v>
      </c>
      <c r="R568" s="60">
        <f t="shared" si="41"/>
        <v>1648.56</v>
      </c>
      <c r="S568" s="60">
        <f t="shared" si="42"/>
        <v>426.0300000000002</v>
      </c>
      <c r="T568" s="65">
        <f t="shared" si="43"/>
        <v>0.2053562390641043</v>
      </c>
    </row>
    <row r="569" spans="1:20">
      <c r="A569" s="41">
        <f t="shared" si="44"/>
        <v>8</v>
      </c>
      <c r="B569" s="6" t="s">
        <v>710</v>
      </c>
      <c r="C569" s="20">
        <v>45894</v>
      </c>
      <c r="D569" s="6" t="s">
        <v>118</v>
      </c>
      <c r="E569" s="6" t="s">
        <v>114</v>
      </c>
      <c r="F569" s="6" t="s">
        <v>90</v>
      </c>
      <c r="G569" s="6" t="s">
        <v>127</v>
      </c>
      <c r="H569" s="6" t="s">
        <v>106</v>
      </c>
      <c r="I569" s="6" t="s">
        <v>170</v>
      </c>
      <c r="J569" s="25">
        <v>1</v>
      </c>
      <c r="K569" s="21">
        <v>497.26</v>
      </c>
      <c r="L569" s="63">
        <v>0.15</v>
      </c>
      <c r="M569" s="21">
        <v>258.67</v>
      </c>
      <c r="N569" s="6" t="s">
        <v>94</v>
      </c>
      <c r="O569" s="60">
        <f>Vendas2025[[#This Row],[Quantidade]]*Vendas2025[[#This Row],[Preço_Unitário_R$]]</f>
        <v>497.26</v>
      </c>
      <c r="P569" s="60">
        <f>Vendas2025[[#This Row],[Receita_Bruta_R$]]*Vendas2025[[#This Row],[Desconto_pct]]</f>
        <v>74.588999999999999</v>
      </c>
      <c r="Q569" s="60">
        <f t="shared" si="40"/>
        <v>422.67099999999999</v>
      </c>
      <c r="R569" s="60">
        <f t="shared" si="41"/>
        <v>258.67</v>
      </c>
      <c r="S569" s="60">
        <f t="shared" si="42"/>
        <v>164.00099999999998</v>
      </c>
      <c r="T569" s="65">
        <f t="shared" si="43"/>
        <v>0.38801100619630868</v>
      </c>
    </row>
    <row r="570" spans="1:20">
      <c r="A570" s="41">
        <f t="shared" si="44"/>
        <v>8</v>
      </c>
      <c r="B570" s="6" t="s">
        <v>711</v>
      </c>
      <c r="C570" s="20">
        <v>45896</v>
      </c>
      <c r="D570" s="6" t="s">
        <v>96</v>
      </c>
      <c r="E570" s="6" t="s">
        <v>89</v>
      </c>
      <c r="F570" s="6" t="s">
        <v>122</v>
      </c>
      <c r="G570" s="6" t="s">
        <v>115</v>
      </c>
      <c r="H570" s="6" t="s">
        <v>99</v>
      </c>
      <c r="I570" s="6" t="s">
        <v>130</v>
      </c>
      <c r="J570" s="25">
        <v>1</v>
      </c>
      <c r="K570" s="21">
        <v>233.19</v>
      </c>
      <c r="L570" s="63">
        <v>0.2</v>
      </c>
      <c r="M570" s="21">
        <v>114.19</v>
      </c>
      <c r="N570" s="6" t="s">
        <v>94</v>
      </c>
      <c r="O570" s="60">
        <f>Vendas2025[[#This Row],[Quantidade]]*Vendas2025[[#This Row],[Preço_Unitário_R$]]</f>
        <v>233.19</v>
      </c>
      <c r="P570" s="60">
        <f>Vendas2025[[#This Row],[Receita_Bruta_R$]]*Vendas2025[[#This Row],[Desconto_pct]]</f>
        <v>46.638000000000005</v>
      </c>
      <c r="Q570" s="60">
        <f t="shared" si="40"/>
        <v>186.55199999999999</v>
      </c>
      <c r="R570" s="60">
        <f t="shared" si="41"/>
        <v>114.19</v>
      </c>
      <c r="S570" s="60">
        <f t="shared" si="42"/>
        <v>72.361999999999995</v>
      </c>
      <c r="T570" s="65">
        <f t="shared" si="43"/>
        <v>0.38789184784939318</v>
      </c>
    </row>
    <row r="571" spans="1:20">
      <c r="A571" s="41">
        <f t="shared" si="44"/>
        <v>8</v>
      </c>
      <c r="B571" s="6" t="s">
        <v>712</v>
      </c>
      <c r="C571" s="20">
        <v>45896</v>
      </c>
      <c r="D571" s="6" t="s">
        <v>129</v>
      </c>
      <c r="E571" s="6" t="s">
        <v>103</v>
      </c>
      <c r="F571" s="6" t="s">
        <v>122</v>
      </c>
      <c r="G571" s="6" t="s">
        <v>105</v>
      </c>
      <c r="H571" s="6" t="s">
        <v>119</v>
      </c>
      <c r="I571" s="6" t="s">
        <v>138</v>
      </c>
      <c r="J571" s="25">
        <v>1</v>
      </c>
      <c r="K571" s="21">
        <v>130.21</v>
      </c>
      <c r="L571" s="63">
        <v>0.03</v>
      </c>
      <c r="M571" s="21">
        <v>53.44</v>
      </c>
      <c r="N571" s="6" t="s">
        <v>94</v>
      </c>
      <c r="O571" s="60">
        <f>Vendas2025[[#This Row],[Quantidade]]*Vendas2025[[#This Row],[Preço_Unitário_R$]]</f>
        <v>130.21</v>
      </c>
      <c r="P571" s="60">
        <f>Vendas2025[[#This Row],[Receita_Bruta_R$]]*Vendas2025[[#This Row],[Desconto_pct]]</f>
        <v>3.9062999999999999</v>
      </c>
      <c r="Q571" s="60">
        <f t="shared" si="40"/>
        <v>126.30370000000001</v>
      </c>
      <c r="R571" s="60">
        <f t="shared" si="41"/>
        <v>53.44</v>
      </c>
      <c r="S571" s="60">
        <f t="shared" si="42"/>
        <v>72.863700000000009</v>
      </c>
      <c r="T571" s="65">
        <f t="shared" si="43"/>
        <v>0.57689283845208017</v>
      </c>
    </row>
    <row r="572" spans="1:20">
      <c r="A572" s="41">
        <f t="shared" si="44"/>
        <v>8</v>
      </c>
      <c r="B572" s="6" t="s">
        <v>713</v>
      </c>
      <c r="C572" s="20">
        <v>45897</v>
      </c>
      <c r="D572" s="6" t="s">
        <v>102</v>
      </c>
      <c r="E572" s="6" t="s">
        <v>103</v>
      </c>
      <c r="F572" s="6" t="s">
        <v>122</v>
      </c>
      <c r="G572" s="6" t="s">
        <v>98</v>
      </c>
      <c r="H572" s="6" t="s">
        <v>99</v>
      </c>
      <c r="I572" s="6" t="s">
        <v>100</v>
      </c>
      <c r="J572" s="25">
        <v>1</v>
      </c>
      <c r="K572" s="21">
        <v>406.05</v>
      </c>
      <c r="L572" s="63">
        <v>0.15</v>
      </c>
      <c r="M572" s="21">
        <v>228.01</v>
      </c>
      <c r="N572" s="6" t="s">
        <v>94</v>
      </c>
      <c r="O572" s="60">
        <f>Vendas2025[[#This Row],[Quantidade]]*Vendas2025[[#This Row],[Preço_Unitário_R$]]</f>
        <v>406.05</v>
      </c>
      <c r="P572" s="60">
        <f>Vendas2025[[#This Row],[Receita_Bruta_R$]]*Vendas2025[[#This Row],[Desconto_pct]]</f>
        <v>60.907499999999999</v>
      </c>
      <c r="Q572" s="60">
        <f t="shared" si="40"/>
        <v>345.14250000000004</v>
      </c>
      <c r="R572" s="60">
        <f t="shared" si="41"/>
        <v>228.01</v>
      </c>
      <c r="S572" s="60">
        <f t="shared" si="42"/>
        <v>117.13250000000005</v>
      </c>
      <c r="T572" s="65">
        <f t="shared" si="43"/>
        <v>0.33937431640554272</v>
      </c>
    </row>
    <row r="573" spans="1:20">
      <c r="A573" s="41">
        <f t="shared" si="44"/>
        <v>8</v>
      </c>
      <c r="B573" s="6" t="s">
        <v>714</v>
      </c>
      <c r="C573" s="20">
        <v>45897</v>
      </c>
      <c r="D573" s="6" t="s">
        <v>113</v>
      </c>
      <c r="E573" s="6" t="s">
        <v>114</v>
      </c>
      <c r="F573" s="6" t="s">
        <v>122</v>
      </c>
      <c r="G573" s="6" t="s">
        <v>91</v>
      </c>
      <c r="H573" s="6" t="s">
        <v>106</v>
      </c>
      <c r="I573" s="6" t="s">
        <v>170</v>
      </c>
      <c r="J573" s="25">
        <v>2</v>
      </c>
      <c r="K573" s="21">
        <v>549.54</v>
      </c>
      <c r="L573" s="63">
        <v>0.03</v>
      </c>
      <c r="M573" s="21">
        <v>284.83999999999997</v>
      </c>
      <c r="N573" s="6" t="s">
        <v>94</v>
      </c>
      <c r="O573" s="60">
        <f>Vendas2025[[#This Row],[Quantidade]]*Vendas2025[[#This Row],[Preço_Unitário_R$]]</f>
        <v>1099.08</v>
      </c>
      <c r="P573" s="60">
        <f>Vendas2025[[#This Row],[Receita_Bruta_R$]]*Vendas2025[[#This Row],[Desconto_pct]]</f>
        <v>32.972399999999993</v>
      </c>
      <c r="Q573" s="60">
        <f t="shared" si="40"/>
        <v>1066.1075999999998</v>
      </c>
      <c r="R573" s="60">
        <f t="shared" si="41"/>
        <v>569.67999999999995</v>
      </c>
      <c r="S573" s="60">
        <f t="shared" si="42"/>
        <v>496.42759999999987</v>
      </c>
      <c r="T573" s="65">
        <f t="shared" si="43"/>
        <v>0.4656449311495387</v>
      </c>
    </row>
    <row r="574" spans="1:20">
      <c r="A574" s="41">
        <f t="shared" si="44"/>
        <v>8</v>
      </c>
      <c r="B574" s="6" t="s">
        <v>715</v>
      </c>
      <c r="C574" s="20">
        <v>45897</v>
      </c>
      <c r="D574" s="6" t="s">
        <v>113</v>
      </c>
      <c r="E574" s="6" t="s">
        <v>114</v>
      </c>
      <c r="F574" s="6" t="s">
        <v>97</v>
      </c>
      <c r="G574" s="6" t="s">
        <v>154</v>
      </c>
      <c r="H574" s="6" t="s">
        <v>119</v>
      </c>
      <c r="I574" s="6" t="s">
        <v>138</v>
      </c>
      <c r="J574" s="25">
        <v>2</v>
      </c>
      <c r="K574" s="21">
        <v>137.97</v>
      </c>
      <c r="L574" s="63">
        <v>0.1</v>
      </c>
      <c r="M574" s="21">
        <v>53.08</v>
      </c>
      <c r="N574" s="6" t="s">
        <v>94</v>
      </c>
      <c r="O574" s="60">
        <f>Vendas2025[[#This Row],[Quantidade]]*Vendas2025[[#This Row],[Preço_Unitário_R$]]</f>
        <v>275.94</v>
      </c>
      <c r="P574" s="60">
        <f>Vendas2025[[#This Row],[Receita_Bruta_R$]]*Vendas2025[[#This Row],[Desconto_pct]]</f>
        <v>27.594000000000001</v>
      </c>
      <c r="Q574" s="60">
        <f t="shared" si="40"/>
        <v>248.346</v>
      </c>
      <c r="R574" s="60">
        <f t="shared" si="41"/>
        <v>106.16</v>
      </c>
      <c r="S574" s="60">
        <f t="shared" si="42"/>
        <v>142.18600000000001</v>
      </c>
      <c r="T574" s="65">
        <f t="shared" si="43"/>
        <v>0.57253187085759383</v>
      </c>
    </row>
    <row r="575" spans="1:20">
      <c r="A575" s="41">
        <f t="shared" si="44"/>
        <v>8</v>
      </c>
      <c r="B575" s="6" t="s">
        <v>716</v>
      </c>
      <c r="C575" s="20">
        <v>45897</v>
      </c>
      <c r="D575" s="6" t="s">
        <v>113</v>
      </c>
      <c r="E575" s="6" t="s">
        <v>114</v>
      </c>
      <c r="F575" s="6" t="s">
        <v>90</v>
      </c>
      <c r="G575" s="6" t="s">
        <v>98</v>
      </c>
      <c r="H575" s="6" t="s">
        <v>119</v>
      </c>
      <c r="I575" s="6" t="s">
        <v>120</v>
      </c>
      <c r="J575" s="25">
        <v>1</v>
      </c>
      <c r="K575" s="21">
        <v>2388.02</v>
      </c>
      <c r="L575" s="63">
        <v>0.15</v>
      </c>
      <c r="M575" s="21">
        <v>1648.32</v>
      </c>
      <c r="N575" s="6" t="s">
        <v>94</v>
      </c>
      <c r="O575" s="60">
        <f>Vendas2025[[#This Row],[Quantidade]]*Vendas2025[[#This Row],[Preço_Unitário_R$]]</f>
        <v>2388.02</v>
      </c>
      <c r="P575" s="60">
        <f>Vendas2025[[#This Row],[Receita_Bruta_R$]]*Vendas2025[[#This Row],[Desconto_pct]]</f>
        <v>358.20299999999997</v>
      </c>
      <c r="Q575" s="60">
        <f t="shared" si="40"/>
        <v>2029.817</v>
      </c>
      <c r="R575" s="60">
        <f t="shared" si="41"/>
        <v>1648.32</v>
      </c>
      <c r="S575" s="60">
        <f t="shared" si="42"/>
        <v>381.49700000000007</v>
      </c>
      <c r="T575" s="65">
        <f t="shared" si="43"/>
        <v>0.18794649961055607</v>
      </c>
    </row>
    <row r="576" spans="1:20">
      <c r="A576" s="41">
        <f t="shared" si="44"/>
        <v>8</v>
      </c>
      <c r="B576" s="6" t="s">
        <v>717</v>
      </c>
      <c r="C576" s="20">
        <v>45897</v>
      </c>
      <c r="D576" s="6" t="s">
        <v>132</v>
      </c>
      <c r="E576" s="6" t="s">
        <v>89</v>
      </c>
      <c r="F576" s="6" t="s">
        <v>122</v>
      </c>
      <c r="G576" s="6" t="s">
        <v>123</v>
      </c>
      <c r="H576" s="6" t="s">
        <v>124</v>
      </c>
      <c r="I576" s="6" t="s">
        <v>193</v>
      </c>
      <c r="J576" s="25">
        <v>1</v>
      </c>
      <c r="K576" s="21">
        <v>368.59</v>
      </c>
      <c r="L576" s="63">
        <v>0.1</v>
      </c>
      <c r="M576" s="21">
        <v>166.07</v>
      </c>
      <c r="N576" s="6" t="s">
        <v>94</v>
      </c>
      <c r="O576" s="60">
        <f>Vendas2025[[#This Row],[Quantidade]]*Vendas2025[[#This Row],[Preço_Unitário_R$]]</f>
        <v>368.59</v>
      </c>
      <c r="P576" s="60">
        <f>Vendas2025[[#This Row],[Receita_Bruta_R$]]*Vendas2025[[#This Row],[Desconto_pct]]</f>
        <v>36.859000000000002</v>
      </c>
      <c r="Q576" s="60">
        <f t="shared" si="40"/>
        <v>331.73099999999999</v>
      </c>
      <c r="R576" s="60">
        <f t="shared" si="41"/>
        <v>166.07</v>
      </c>
      <c r="S576" s="60">
        <f t="shared" si="42"/>
        <v>165.661</v>
      </c>
      <c r="T576" s="65">
        <f t="shared" si="43"/>
        <v>0.49938353666072816</v>
      </c>
    </row>
    <row r="577" spans="1:20">
      <c r="A577" s="41">
        <f t="shared" si="44"/>
        <v>9</v>
      </c>
      <c r="B577" s="6" t="s">
        <v>718</v>
      </c>
      <c r="C577" s="20">
        <v>45901</v>
      </c>
      <c r="D577" s="6" t="s">
        <v>136</v>
      </c>
      <c r="E577" s="6" t="s">
        <v>137</v>
      </c>
      <c r="F577" s="6" t="s">
        <v>90</v>
      </c>
      <c r="G577" s="6" t="s">
        <v>177</v>
      </c>
      <c r="H577" s="6" t="s">
        <v>106</v>
      </c>
      <c r="I577" s="6" t="s">
        <v>107</v>
      </c>
      <c r="J577" s="25">
        <v>2</v>
      </c>
      <c r="K577" s="21">
        <v>663.83</v>
      </c>
      <c r="L577" s="63">
        <v>0.25</v>
      </c>
      <c r="M577" s="21">
        <v>385.66</v>
      </c>
      <c r="N577" s="6" t="s">
        <v>94</v>
      </c>
      <c r="O577" s="60">
        <f>Vendas2025[[#This Row],[Quantidade]]*Vendas2025[[#This Row],[Preço_Unitário_R$]]</f>
        <v>1327.66</v>
      </c>
      <c r="P577" s="60">
        <f>Vendas2025[[#This Row],[Receita_Bruta_R$]]*Vendas2025[[#This Row],[Desconto_pct]]</f>
        <v>331.91500000000002</v>
      </c>
      <c r="Q577" s="60">
        <f t="shared" si="40"/>
        <v>995.74500000000012</v>
      </c>
      <c r="R577" s="60">
        <f t="shared" si="41"/>
        <v>771.32</v>
      </c>
      <c r="S577" s="60">
        <f t="shared" si="42"/>
        <v>224.42500000000007</v>
      </c>
      <c r="T577" s="65">
        <f t="shared" si="43"/>
        <v>0.22538400895811683</v>
      </c>
    </row>
    <row r="578" spans="1:20">
      <c r="A578" s="41">
        <f t="shared" si="44"/>
        <v>9</v>
      </c>
      <c r="B578" s="6" t="s">
        <v>719</v>
      </c>
      <c r="C578" s="20">
        <v>45901</v>
      </c>
      <c r="D578" s="6" t="s">
        <v>136</v>
      </c>
      <c r="E578" s="6" t="s">
        <v>137</v>
      </c>
      <c r="F578" s="6" t="s">
        <v>97</v>
      </c>
      <c r="G578" s="6" t="s">
        <v>151</v>
      </c>
      <c r="H578" s="6" t="s">
        <v>124</v>
      </c>
      <c r="I578" s="6" t="s">
        <v>193</v>
      </c>
      <c r="J578" s="25">
        <v>1</v>
      </c>
      <c r="K578" s="21">
        <v>392.42</v>
      </c>
      <c r="L578" s="63">
        <v>0.1</v>
      </c>
      <c r="M578" s="21">
        <v>177.71</v>
      </c>
      <c r="N578" s="6" t="s">
        <v>94</v>
      </c>
      <c r="O578" s="60">
        <f>Vendas2025[[#This Row],[Quantidade]]*Vendas2025[[#This Row],[Preço_Unitário_R$]]</f>
        <v>392.42</v>
      </c>
      <c r="P578" s="60">
        <f>Vendas2025[[#This Row],[Receita_Bruta_R$]]*Vendas2025[[#This Row],[Desconto_pct]]</f>
        <v>39.242000000000004</v>
      </c>
      <c r="Q578" s="60">
        <f t="shared" ref="Q578:Q641" si="45">IF(N578="Concluída",O578-P578,0)</f>
        <v>353.178</v>
      </c>
      <c r="R578" s="60">
        <f t="shared" ref="R578:R641" si="46">IF(N578="Concluída",J578*M578,0)</f>
        <v>177.71</v>
      </c>
      <c r="S578" s="60">
        <f t="shared" ref="S578:S641" si="47">Q578-R578</f>
        <v>175.46799999999999</v>
      </c>
      <c r="T578" s="65">
        <f t="shared" ref="T578:T641" si="48">IF(Q578=0,"",S578/Q578)</f>
        <v>0.4968259631120851</v>
      </c>
    </row>
    <row r="579" spans="1:20">
      <c r="A579" s="41">
        <f t="shared" ref="A579:A642" si="49">MONTH(C579)</f>
        <v>9</v>
      </c>
      <c r="B579" s="6" t="s">
        <v>720</v>
      </c>
      <c r="C579" s="20">
        <v>45901</v>
      </c>
      <c r="D579" s="6" t="s">
        <v>118</v>
      </c>
      <c r="E579" s="6" t="s">
        <v>114</v>
      </c>
      <c r="F579" s="6" t="s">
        <v>97</v>
      </c>
      <c r="G579" s="6" t="s">
        <v>160</v>
      </c>
      <c r="H579" s="6" t="s">
        <v>99</v>
      </c>
      <c r="I579" s="6" t="s">
        <v>100</v>
      </c>
      <c r="J579" s="25">
        <v>1</v>
      </c>
      <c r="K579" s="21">
        <v>397.91</v>
      </c>
      <c r="L579" s="63">
        <v>0.15</v>
      </c>
      <c r="M579" s="21">
        <v>232.74</v>
      </c>
      <c r="N579" s="6" t="s">
        <v>94</v>
      </c>
      <c r="O579" s="60">
        <f>Vendas2025[[#This Row],[Quantidade]]*Vendas2025[[#This Row],[Preço_Unitário_R$]]</f>
        <v>397.91</v>
      </c>
      <c r="P579" s="60">
        <f>Vendas2025[[#This Row],[Receita_Bruta_R$]]*Vendas2025[[#This Row],[Desconto_pct]]</f>
        <v>59.686500000000002</v>
      </c>
      <c r="Q579" s="60">
        <f t="shared" si="45"/>
        <v>338.2235</v>
      </c>
      <c r="R579" s="60">
        <f t="shared" si="46"/>
        <v>232.74</v>
      </c>
      <c r="S579" s="60">
        <f t="shared" si="47"/>
        <v>105.48349999999999</v>
      </c>
      <c r="T579" s="65">
        <f t="shared" si="48"/>
        <v>0.31187513581995335</v>
      </c>
    </row>
    <row r="580" spans="1:20">
      <c r="A580" s="41">
        <f t="shared" si="49"/>
        <v>9</v>
      </c>
      <c r="B580" s="6" t="s">
        <v>721</v>
      </c>
      <c r="C580" s="20">
        <v>45901</v>
      </c>
      <c r="D580" s="6" t="s">
        <v>132</v>
      </c>
      <c r="E580" s="6" t="s">
        <v>89</v>
      </c>
      <c r="F580" s="6" t="s">
        <v>97</v>
      </c>
      <c r="G580" s="6" t="s">
        <v>115</v>
      </c>
      <c r="H580" s="6" t="s">
        <v>99</v>
      </c>
      <c r="I580" s="6" t="s">
        <v>158</v>
      </c>
      <c r="J580" s="25">
        <v>1</v>
      </c>
      <c r="K580" s="21">
        <v>203.87</v>
      </c>
      <c r="L580" s="63">
        <v>0.1</v>
      </c>
      <c r="M580" s="21">
        <v>97.37</v>
      </c>
      <c r="N580" s="6" t="s">
        <v>94</v>
      </c>
      <c r="O580" s="60">
        <f>Vendas2025[[#This Row],[Quantidade]]*Vendas2025[[#This Row],[Preço_Unitário_R$]]</f>
        <v>203.87</v>
      </c>
      <c r="P580" s="60">
        <f>Vendas2025[[#This Row],[Receita_Bruta_R$]]*Vendas2025[[#This Row],[Desconto_pct]]</f>
        <v>20.387</v>
      </c>
      <c r="Q580" s="60">
        <f t="shared" si="45"/>
        <v>183.483</v>
      </c>
      <c r="R580" s="60">
        <f t="shared" si="46"/>
        <v>97.37</v>
      </c>
      <c r="S580" s="60">
        <f t="shared" si="47"/>
        <v>86.113</v>
      </c>
      <c r="T580" s="65">
        <f t="shared" si="48"/>
        <v>0.46932413357095754</v>
      </c>
    </row>
    <row r="581" spans="1:20">
      <c r="A581" s="41">
        <f t="shared" si="49"/>
        <v>9</v>
      </c>
      <c r="B581" s="6" t="s">
        <v>722</v>
      </c>
      <c r="C581" s="20">
        <v>45902</v>
      </c>
      <c r="D581" s="6" t="s">
        <v>136</v>
      </c>
      <c r="E581" s="6" t="s">
        <v>137</v>
      </c>
      <c r="F581" s="6" t="s">
        <v>97</v>
      </c>
      <c r="G581" s="6" t="s">
        <v>154</v>
      </c>
      <c r="H581" s="6" t="s">
        <v>119</v>
      </c>
      <c r="I581" s="6" t="s">
        <v>141</v>
      </c>
      <c r="J581" s="25">
        <v>1</v>
      </c>
      <c r="K581" s="21">
        <v>2739.79</v>
      </c>
      <c r="L581" s="63">
        <v>0.15</v>
      </c>
      <c r="M581" s="21">
        <v>1965.79</v>
      </c>
      <c r="N581" s="6" t="s">
        <v>94</v>
      </c>
      <c r="O581" s="60">
        <f>Vendas2025[[#This Row],[Quantidade]]*Vendas2025[[#This Row],[Preço_Unitário_R$]]</f>
        <v>2739.79</v>
      </c>
      <c r="P581" s="60">
        <f>Vendas2025[[#This Row],[Receita_Bruta_R$]]*Vendas2025[[#This Row],[Desconto_pct]]</f>
        <v>410.96850000000001</v>
      </c>
      <c r="Q581" s="60">
        <f t="shared" si="45"/>
        <v>2328.8215</v>
      </c>
      <c r="R581" s="60">
        <f t="shared" si="46"/>
        <v>1965.79</v>
      </c>
      <c r="S581" s="60">
        <f t="shared" si="47"/>
        <v>363.03150000000005</v>
      </c>
      <c r="T581" s="65">
        <f t="shared" si="48"/>
        <v>0.15588635711238497</v>
      </c>
    </row>
    <row r="582" spans="1:20">
      <c r="A582" s="41">
        <f t="shared" si="49"/>
        <v>9</v>
      </c>
      <c r="B582" s="6" t="s">
        <v>723</v>
      </c>
      <c r="C582" s="20">
        <v>45902</v>
      </c>
      <c r="D582" s="6" t="s">
        <v>132</v>
      </c>
      <c r="E582" s="6" t="s">
        <v>89</v>
      </c>
      <c r="F582" s="6" t="s">
        <v>90</v>
      </c>
      <c r="G582" s="6" t="s">
        <v>140</v>
      </c>
      <c r="H582" s="6" t="s">
        <v>99</v>
      </c>
      <c r="I582" s="6" t="s">
        <v>158</v>
      </c>
      <c r="J582" s="25">
        <v>1</v>
      </c>
      <c r="K582" s="21">
        <v>174.69</v>
      </c>
      <c r="L582" s="63">
        <v>0.15</v>
      </c>
      <c r="M582" s="21">
        <v>78.56</v>
      </c>
      <c r="N582" s="6" t="s">
        <v>94</v>
      </c>
      <c r="O582" s="60">
        <f>Vendas2025[[#This Row],[Quantidade]]*Vendas2025[[#This Row],[Preço_Unitário_R$]]</f>
        <v>174.69</v>
      </c>
      <c r="P582" s="60">
        <f>Vendas2025[[#This Row],[Receita_Bruta_R$]]*Vendas2025[[#This Row],[Desconto_pct]]</f>
        <v>26.203499999999998</v>
      </c>
      <c r="Q582" s="60">
        <f t="shared" si="45"/>
        <v>148.48650000000001</v>
      </c>
      <c r="R582" s="60">
        <f t="shared" si="46"/>
        <v>78.56</v>
      </c>
      <c r="S582" s="60">
        <f t="shared" si="47"/>
        <v>69.926500000000004</v>
      </c>
      <c r="T582" s="65">
        <f t="shared" si="48"/>
        <v>0.47092833355220848</v>
      </c>
    </row>
    <row r="583" spans="1:20">
      <c r="A583" s="41">
        <f t="shared" si="49"/>
        <v>9</v>
      </c>
      <c r="B583" s="6" t="s">
        <v>724</v>
      </c>
      <c r="C583" s="20">
        <v>45902</v>
      </c>
      <c r="D583" s="6" t="s">
        <v>118</v>
      </c>
      <c r="E583" s="6" t="s">
        <v>114</v>
      </c>
      <c r="F583" s="6" t="s">
        <v>97</v>
      </c>
      <c r="G583" s="6" t="s">
        <v>123</v>
      </c>
      <c r="H583" s="6" t="s">
        <v>106</v>
      </c>
      <c r="I583" s="6" t="s">
        <v>116</v>
      </c>
      <c r="J583" s="25">
        <v>1</v>
      </c>
      <c r="K583" s="21">
        <v>418.57</v>
      </c>
      <c r="L583" s="63">
        <v>0</v>
      </c>
      <c r="M583" s="21">
        <v>224.93</v>
      </c>
      <c r="N583" s="6" t="s">
        <v>94</v>
      </c>
      <c r="O583" s="60">
        <f>Vendas2025[[#This Row],[Quantidade]]*Vendas2025[[#This Row],[Preço_Unitário_R$]]</f>
        <v>418.57</v>
      </c>
      <c r="P583" s="60">
        <f>Vendas2025[[#This Row],[Receita_Bruta_R$]]*Vendas2025[[#This Row],[Desconto_pct]]</f>
        <v>0</v>
      </c>
      <c r="Q583" s="60">
        <f t="shared" si="45"/>
        <v>418.57</v>
      </c>
      <c r="R583" s="60">
        <f t="shared" si="46"/>
        <v>224.93</v>
      </c>
      <c r="S583" s="60">
        <f t="shared" si="47"/>
        <v>193.64</v>
      </c>
      <c r="T583" s="65">
        <f t="shared" si="48"/>
        <v>0.46262273932675535</v>
      </c>
    </row>
    <row r="584" spans="1:20">
      <c r="A584" s="41">
        <f t="shared" si="49"/>
        <v>9</v>
      </c>
      <c r="B584" s="6" t="s">
        <v>725</v>
      </c>
      <c r="C584" s="20">
        <v>45902</v>
      </c>
      <c r="D584" s="6" t="s">
        <v>96</v>
      </c>
      <c r="E584" s="6" t="s">
        <v>89</v>
      </c>
      <c r="F584" s="6" t="s">
        <v>122</v>
      </c>
      <c r="G584" s="6" t="s">
        <v>105</v>
      </c>
      <c r="H584" s="6" t="s">
        <v>106</v>
      </c>
      <c r="I584" s="6" t="s">
        <v>111</v>
      </c>
      <c r="J584" s="25">
        <v>1</v>
      </c>
      <c r="K584" s="21">
        <v>305.29000000000002</v>
      </c>
      <c r="L584" s="63">
        <v>0.2</v>
      </c>
      <c r="M584" s="21">
        <v>135.56</v>
      </c>
      <c r="N584" s="6" t="s">
        <v>94</v>
      </c>
      <c r="O584" s="60">
        <f>Vendas2025[[#This Row],[Quantidade]]*Vendas2025[[#This Row],[Preço_Unitário_R$]]</f>
        <v>305.29000000000002</v>
      </c>
      <c r="P584" s="60">
        <f>Vendas2025[[#This Row],[Receita_Bruta_R$]]*Vendas2025[[#This Row],[Desconto_pct]]</f>
        <v>61.058000000000007</v>
      </c>
      <c r="Q584" s="60">
        <f t="shared" si="45"/>
        <v>244.23200000000003</v>
      </c>
      <c r="R584" s="60">
        <f t="shared" si="46"/>
        <v>135.56</v>
      </c>
      <c r="S584" s="60">
        <f t="shared" si="47"/>
        <v>108.67200000000003</v>
      </c>
      <c r="T584" s="65">
        <f t="shared" si="48"/>
        <v>0.44495397818467691</v>
      </c>
    </row>
    <row r="585" spans="1:20">
      <c r="A585" s="41">
        <f t="shared" si="49"/>
        <v>9</v>
      </c>
      <c r="B585" s="6" t="s">
        <v>726</v>
      </c>
      <c r="C585" s="20">
        <v>45904</v>
      </c>
      <c r="D585" s="6" t="s">
        <v>129</v>
      </c>
      <c r="E585" s="6" t="s">
        <v>103</v>
      </c>
      <c r="F585" s="6" t="s">
        <v>104</v>
      </c>
      <c r="G585" s="6" t="s">
        <v>110</v>
      </c>
      <c r="H585" s="6" t="s">
        <v>99</v>
      </c>
      <c r="I585" s="6" t="s">
        <v>173</v>
      </c>
      <c r="J585" s="25">
        <v>1</v>
      </c>
      <c r="K585" s="21">
        <v>3748.31</v>
      </c>
      <c r="L585" s="63">
        <v>0.1</v>
      </c>
      <c r="M585" s="21">
        <v>2961.94</v>
      </c>
      <c r="N585" s="6" t="s">
        <v>94</v>
      </c>
      <c r="O585" s="60">
        <f>Vendas2025[[#This Row],[Quantidade]]*Vendas2025[[#This Row],[Preço_Unitário_R$]]</f>
        <v>3748.31</v>
      </c>
      <c r="P585" s="60">
        <f>Vendas2025[[#This Row],[Receita_Bruta_R$]]*Vendas2025[[#This Row],[Desconto_pct]]</f>
        <v>374.83100000000002</v>
      </c>
      <c r="Q585" s="60">
        <f t="shared" si="45"/>
        <v>3373.4789999999998</v>
      </c>
      <c r="R585" s="60">
        <f t="shared" si="46"/>
        <v>2961.94</v>
      </c>
      <c r="S585" s="60">
        <f t="shared" si="47"/>
        <v>411.53899999999976</v>
      </c>
      <c r="T585" s="65">
        <f t="shared" si="48"/>
        <v>0.12199245941652513</v>
      </c>
    </row>
    <row r="586" spans="1:20">
      <c r="A586" s="41">
        <f t="shared" si="49"/>
        <v>9</v>
      </c>
      <c r="B586" s="6" t="s">
        <v>727</v>
      </c>
      <c r="C586" s="20">
        <v>45904</v>
      </c>
      <c r="D586" s="6" t="s">
        <v>136</v>
      </c>
      <c r="E586" s="6" t="s">
        <v>137</v>
      </c>
      <c r="F586" s="6" t="s">
        <v>90</v>
      </c>
      <c r="G586" s="6" t="s">
        <v>110</v>
      </c>
      <c r="H586" s="6" t="s">
        <v>124</v>
      </c>
      <c r="I586" s="6" t="s">
        <v>125</v>
      </c>
      <c r="J586" s="25">
        <v>2</v>
      </c>
      <c r="K586" s="21">
        <v>683.88</v>
      </c>
      <c r="L586" s="63">
        <v>0.25</v>
      </c>
      <c r="M586" s="21">
        <v>335.66</v>
      </c>
      <c r="N586" s="6" t="s">
        <v>94</v>
      </c>
      <c r="O586" s="60">
        <f>Vendas2025[[#This Row],[Quantidade]]*Vendas2025[[#This Row],[Preço_Unitário_R$]]</f>
        <v>1367.76</v>
      </c>
      <c r="P586" s="60">
        <f>Vendas2025[[#This Row],[Receita_Bruta_R$]]*Vendas2025[[#This Row],[Desconto_pct]]</f>
        <v>341.94</v>
      </c>
      <c r="Q586" s="60">
        <f t="shared" si="45"/>
        <v>1025.82</v>
      </c>
      <c r="R586" s="60">
        <f t="shared" si="46"/>
        <v>671.32</v>
      </c>
      <c r="S586" s="60">
        <f t="shared" si="47"/>
        <v>354.49999999999989</v>
      </c>
      <c r="T586" s="65">
        <f t="shared" si="48"/>
        <v>0.34557719677916193</v>
      </c>
    </row>
    <row r="587" spans="1:20">
      <c r="A587" s="41">
        <f t="shared" si="49"/>
        <v>9</v>
      </c>
      <c r="B587" s="6" t="s">
        <v>728</v>
      </c>
      <c r="C587" s="20">
        <v>45904</v>
      </c>
      <c r="D587" s="6" t="s">
        <v>136</v>
      </c>
      <c r="E587" s="6" t="s">
        <v>137</v>
      </c>
      <c r="F587" s="6" t="s">
        <v>104</v>
      </c>
      <c r="G587" s="6" t="s">
        <v>115</v>
      </c>
      <c r="H587" s="6" t="s">
        <v>99</v>
      </c>
      <c r="I587" s="6" t="s">
        <v>163</v>
      </c>
      <c r="J587" s="25">
        <v>1</v>
      </c>
      <c r="K587" s="21">
        <v>1284.79</v>
      </c>
      <c r="L587" s="63">
        <v>0.03</v>
      </c>
      <c r="M587" s="21">
        <v>896.03</v>
      </c>
      <c r="N587" s="6" t="s">
        <v>94</v>
      </c>
      <c r="O587" s="60">
        <f>Vendas2025[[#This Row],[Quantidade]]*Vendas2025[[#This Row],[Preço_Unitário_R$]]</f>
        <v>1284.79</v>
      </c>
      <c r="P587" s="60">
        <f>Vendas2025[[#This Row],[Receita_Bruta_R$]]*Vendas2025[[#This Row],[Desconto_pct]]</f>
        <v>38.543699999999994</v>
      </c>
      <c r="Q587" s="60">
        <f t="shared" si="45"/>
        <v>1246.2463</v>
      </c>
      <c r="R587" s="60">
        <f t="shared" si="46"/>
        <v>896.03</v>
      </c>
      <c r="S587" s="60">
        <f t="shared" si="47"/>
        <v>350.21630000000005</v>
      </c>
      <c r="T587" s="65">
        <f t="shared" si="48"/>
        <v>0.28101692257782435</v>
      </c>
    </row>
    <row r="588" spans="1:20">
      <c r="A588" s="41">
        <f t="shared" si="49"/>
        <v>9</v>
      </c>
      <c r="B588" s="6" t="s">
        <v>729</v>
      </c>
      <c r="C588" s="20">
        <v>45905</v>
      </c>
      <c r="D588" s="6" t="s">
        <v>88</v>
      </c>
      <c r="E588" s="6" t="s">
        <v>89</v>
      </c>
      <c r="F588" s="6" t="s">
        <v>90</v>
      </c>
      <c r="G588" s="6" t="s">
        <v>91</v>
      </c>
      <c r="H588" s="6" t="s">
        <v>92</v>
      </c>
      <c r="I588" s="6" t="s">
        <v>144</v>
      </c>
      <c r="J588" s="25">
        <v>1</v>
      </c>
      <c r="K588" s="21">
        <v>155.07</v>
      </c>
      <c r="L588" s="63">
        <v>0.25</v>
      </c>
      <c r="M588" s="21">
        <v>53.75</v>
      </c>
      <c r="N588" s="6" t="s">
        <v>94</v>
      </c>
      <c r="O588" s="60">
        <f>Vendas2025[[#This Row],[Quantidade]]*Vendas2025[[#This Row],[Preço_Unitário_R$]]</f>
        <v>155.07</v>
      </c>
      <c r="P588" s="60">
        <f>Vendas2025[[#This Row],[Receita_Bruta_R$]]*Vendas2025[[#This Row],[Desconto_pct]]</f>
        <v>38.767499999999998</v>
      </c>
      <c r="Q588" s="60">
        <f t="shared" si="45"/>
        <v>116.30249999999999</v>
      </c>
      <c r="R588" s="60">
        <f t="shared" si="46"/>
        <v>53.75</v>
      </c>
      <c r="S588" s="60">
        <f t="shared" si="47"/>
        <v>62.552499999999995</v>
      </c>
      <c r="T588" s="65">
        <f t="shared" si="48"/>
        <v>0.53784312461039097</v>
      </c>
    </row>
    <row r="589" spans="1:20">
      <c r="A589" s="41">
        <f t="shared" si="49"/>
        <v>9</v>
      </c>
      <c r="B589" s="6" t="s">
        <v>730</v>
      </c>
      <c r="C589" s="20">
        <v>45906</v>
      </c>
      <c r="D589" s="6" t="s">
        <v>88</v>
      </c>
      <c r="E589" s="6" t="s">
        <v>89</v>
      </c>
      <c r="F589" s="6" t="s">
        <v>97</v>
      </c>
      <c r="G589" s="6" t="s">
        <v>160</v>
      </c>
      <c r="H589" s="6" t="s">
        <v>99</v>
      </c>
      <c r="I589" s="6" t="s">
        <v>100</v>
      </c>
      <c r="J589" s="25">
        <v>1</v>
      </c>
      <c r="K589" s="21">
        <v>417.56</v>
      </c>
      <c r="L589" s="63">
        <v>0.08</v>
      </c>
      <c r="M589" s="21">
        <v>242.28</v>
      </c>
      <c r="N589" s="6" t="s">
        <v>94</v>
      </c>
      <c r="O589" s="60">
        <f>Vendas2025[[#This Row],[Quantidade]]*Vendas2025[[#This Row],[Preço_Unitário_R$]]</f>
        <v>417.56</v>
      </c>
      <c r="P589" s="60">
        <f>Vendas2025[[#This Row],[Receita_Bruta_R$]]*Vendas2025[[#This Row],[Desconto_pct]]</f>
        <v>33.404800000000002</v>
      </c>
      <c r="Q589" s="60">
        <f t="shared" si="45"/>
        <v>384.15519999999998</v>
      </c>
      <c r="R589" s="60">
        <f t="shared" si="46"/>
        <v>242.28</v>
      </c>
      <c r="S589" s="60">
        <f t="shared" si="47"/>
        <v>141.87519999999998</v>
      </c>
      <c r="T589" s="65">
        <f t="shared" si="48"/>
        <v>0.36931740088380943</v>
      </c>
    </row>
    <row r="590" spans="1:20">
      <c r="A590" s="41">
        <f t="shared" si="49"/>
        <v>9</v>
      </c>
      <c r="B590" s="6" t="s">
        <v>731</v>
      </c>
      <c r="C590" s="20">
        <v>45906</v>
      </c>
      <c r="D590" s="6" t="s">
        <v>113</v>
      </c>
      <c r="E590" s="6" t="s">
        <v>114</v>
      </c>
      <c r="F590" s="6" t="s">
        <v>90</v>
      </c>
      <c r="G590" s="6" t="s">
        <v>110</v>
      </c>
      <c r="H590" s="6" t="s">
        <v>99</v>
      </c>
      <c r="I590" s="6" t="s">
        <v>130</v>
      </c>
      <c r="J590" s="25">
        <v>2</v>
      </c>
      <c r="K590" s="21">
        <v>237.73</v>
      </c>
      <c r="L590" s="63">
        <v>0.1</v>
      </c>
      <c r="M590" s="21">
        <v>109.67</v>
      </c>
      <c r="N590" s="6" t="s">
        <v>94</v>
      </c>
      <c r="O590" s="60">
        <f>Vendas2025[[#This Row],[Quantidade]]*Vendas2025[[#This Row],[Preço_Unitário_R$]]</f>
        <v>475.46</v>
      </c>
      <c r="P590" s="60">
        <f>Vendas2025[[#This Row],[Receita_Bruta_R$]]*Vendas2025[[#This Row],[Desconto_pct]]</f>
        <v>47.545999999999999</v>
      </c>
      <c r="Q590" s="60">
        <f t="shared" si="45"/>
        <v>427.91399999999999</v>
      </c>
      <c r="R590" s="60">
        <f t="shared" si="46"/>
        <v>219.34</v>
      </c>
      <c r="S590" s="60">
        <f t="shared" si="47"/>
        <v>208.57399999999998</v>
      </c>
      <c r="T590" s="65">
        <f t="shared" si="48"/>
        <v>0.48742036951350037</v>
      </c>
    </row>
    <row r="591" spans="1:20">
      <c r="A591" s="41">
        <f t="shared" si="49"/>
        <v>9</v>
      </c>
      <c r="B591" s="6" t="s">
        <v>732</v>
      </c>
      <c r="C591" s="20">
        <v>45907</v>
      </c>
      <c r="D591" s="6" t="s">
        <v>96</v>
      </c>
      <c r="E591" s="6" t="s">
        <v>89</v>
      </c>
      <c r="F591" s="6" t="s">
        <v>122</v>
      </c>
      <c r="G591" s="6" t="s">
        <v>91</v>
      </c>
      <c r="H591" s="6" t="s">
        <v>106</v>
      </c>
      <c r="I591" s="6" t="s">
        <v>111</v>
      </c>
      <c r="J591" s="25">
        <v>1</v>
      </c>
      <c r="K591" s="21">
        <v>269.92</v>
      </c>
      <c r="L591" s="63">
        <v>0.03</v>
      </c>
      <c r="M591" s="21">
        <v>122.2</v>
      </c>
      <c r="N591" s="6" t="s">
        <v>94</v>
      </c>
      <c r="O591" s="60">
        <f>Vendas2025[[#This Row],[Quantidade]]*Vendas2025[[#This Row],[Preço_Unitário_R$]]</f>
        <v>269.92</v>
      </c>
      <c r="P591" s="60">
        <f>Vendas2025[[#This Row],[Receita_Bruta_R$]]*Vendas2025[[#This Row],[Desconto_pct]]</f>
        <v>8.0975999999999999</v>
      </c>
      <c r="Q591" s="60">
        <f t="shared" si="45"/>
        <v>261.82240000000002</v>
      </c>
      <c r="R591" s="60">
        <f t="shared" si="46"/>
        <v>122.2</v>
      </c>
      <c r="S591" s="60">
        <f t="shared" si="47"/>
        <v>139.62240000000003</v>
      </c>
      <c r="T591" s="65">
        <f t="shared" si="48"/>
        <v>0.53327140840508691</v>
      </c>
    </row>
    <row r="592" spans="1:20">
      <c r="A592" s="41">
        <f t="shared" si="49"/>
        <v>9</v>
      </c>
      <c r="B592" s="6" t="s">
        <v>733</v>
      </c>
      <c r="C592" s="20">
        <v>45907</v>
      </c>
      <c r="D592" s="6" t="s">
        <v>113</v>
      </c>
      <c r="E592" s="6" t="s">
        <v>114</v>
      </c>
      <c r="F592" s="6" t="s">
        <v>104</v>
      </c>
      <c r="G592" s="6" t="s">
        <v>160</v>
      </c>
      <c r="H592" s="6" t="s">
        <v>106</v>
      </c>
      <c r="I592" s="6" t="s">
        <v>107</v>
      </c>
      <c r="J592" s="25">
        <v>1</v>
      </c>
      <c r="K592" s="21">
        <v>679.93</v>
      </c>
      <c r="L592" s="63">
        <v>0.05</v>
      </c>
      <c r="M592" s="21">
        <v>396.31</v>
      </c>
      <c r="N592" s="6" t="s">
        <v>94</v>
      </c>
      <c r="O592" s="60">
        <f>Vendas2025[[#This Row],[Quantidade]]*Vendas2025[[#This Row],[Preço_Unitário_R$]]</f>
        <v>679.93</v>
      </c>
      <c r="P592" s="60">
        <f>Vendas2025[[#This Row],[Receita_Bruta_R$]]*Vendas2025[[#This Row],[Desconto_pct]]</f>
        <v>33.996499999999997</v>
      </c>
      <c r="Q592" s="60">
        <f t="shared" si="45"/>
        <v>645.93349999999998</v>
      </c>
      <c r="R592" s="60">
        <f t="shared" si="46"/>
        <v>396.31</v>
      </c>
      <c r="S592" s="60">
        <f t="shared" si="47"/>
        <v>249.62349999999998</v>
      </c>
      <c r="T592" s="65">
        <f t="shared" si="48"/>
        <v>0.38645386870320242</v>
      </c>
    </row>
    <row r="593" spans="1:20">
      <c r="A593" s="41">
        <f t="shared" si="49"/>
        <v>9</v>
      </c>
      <c r="B593" s="6" t="s">
        <v>734</v>
      </c>
      <c r="C593" s="20">
        <v>45907</v>
      </c>
      <c r="D593" s="6" t="s">
        <v>118</v>
      </c>
      <c r="E593" s="6" t="s">
        <v>114</v>
      </c>
      <c r="F593" s="6" t="s">
        <v>97</v>
      </c>
      <c r="G593" s="6" t="s">
        <v>98</v>
      </c>
      <c r="H593" s="6" t="s">
        <v>119</v>
      </c>
      <c r="I593" s="6" t="s">
        <v>155</v>
      </c>
      <c r="J593" s="25">
        <v>1</v>
      </c>
      <c r="K593" s="21">
        <v>356.08</v>
      </c>
      <c r="L593" s="63">
        <v>0.15</v>
      </c>
      <c r="M593" s="21">
        <v>202.86</v>
      </c>
      <c r="N593" s="6" t="s">
        <v>94</v>
      </c>
      <c r="O593" s="60">
        <f>Vendas2025[[#This Row],[Quantidade]]*Vendas2025[[#This Row],[Preço_Unitário_R$]]</f>
        <v>356.08</v>
      </c>
      <c r="P593" s="60">
        <f>Vendas2025[[#This Row],[Receita_Bruta_R$]]*Vendas2025[[#This Row],[Desconto_pct]]</f>
        <v>53.411999999999999</v>
      </c>
      <c r="Q593" s="60">
        <f t="shared" si="45"/>
        <v>302.66800000000001</v>
      </c>
      <c r="R593" s="60">
        <f t="shared" si="46"/>
        <v>202.86</v>
      </c>
      <c r="S593" s="60">
        <f t="shared" si="47"/>
        <v>99.807999999999993</v>
      </c>
      <c r="T593" s="65">
        <f t="shared" si="48"/>
        <v>0.32976066184730463</v>
      </c>
    </row>
    <row r="594" spans="1:20">
      <c r="A594" s="41">
        <f t="shared" si="49"/>
        <v>9</v>
      </c>
      <c r="B594" s="6" t="s">
        <v>735</v>
      </c>
      <c r="C594" s="20">
        <v>45908</v>
      </c>
      <c r="D594" s="6" t="s">
        <v>88</v>
      </c>
      <c r="E594" s="6" t="s">
        <v>89</v>
      </c>
      <c r="F594" s="6" t="s">
        <v>122</v>
      </c>
      <c r="G594" s="6" t="s">
        <v>160</v>
      </c>
      <c r="H594" s="6" t="s">
        <v>99</v>
      </c>
      <c r="I594" s="6" t="s">
        <v>173</v>
      </c>
      <c r="J594" s="25">
        <v>1</v>
      </c>
      <c r="K594" s="21">
        <v>4075.51</v>
      </c>
      <c r="L594" s="63">
        <v>0.15</v>
      </c>
      <c r="M594" s="21">
        <v>3062.29</v>
      </c>
      <c r="N594" s="6" t="s">
        <v>94</v>
      </c>
      <c r="O594" s="60">
        <f>Vendas2025[[#This Row],[Quantidade]]*Vendas2025[[#This Row],[Preço_Unitário_R$]]</f>
        <v>4075.51</v>
      </c>
      <c r="P594" s="60">
        <f>Vendas2025[[#This Row],[Receita_Bruta_R$]]*Vendas2025[[#This Row],[Desconto_pct]]</f>
        <v>611.32650000000001</v>
      </c>
      <c r="Q594" s="60">
        <f t="shared" si="45"/>
        <v>3464.1835000000001</v>
      </c>
      <c r="R594" s="60">
        <f t="shared" si="46"/>
        <v>3062.29</v>
      </c>
      <c r="S594" s="60">
        <f t="shared" si="47"/>
        <v>401.89350000000013</v>
      </c>
      <c r="T594" s="65">
        <f t="shared" si="48"/>
        <v>0.11601391785394743</v>
      </c>
    </row>
    <row r="595" spans="1:20">
      <c r="A595" s="41">
        <f t="shared" si="49"/>
        <v>9</v>
      </c>
      <c r="B595" s="6" t="s">
        <v>736</v>
      </c>
      <c r="C595" s="20">
        <v>45908</v>
      </c>
      <c r="D595" s="6" t="s">
        <v>136</v>
      </c>
      <c r="E595" s="6" t="s">
        <v>137</v>
      </c>
      <c r="F595" s="6" t="s">
        <v>90</v>
      </c>
      <c r="G595" s="6" t="s">
        <v>160</v>
      </c>
      <c r="H595" s="6" t="s">
        <v>124</v>
      </c>
      <c r="I595" s="6" t="s">
        <v>125</v>
      </c>
      <c r="J595" s="25">
        <v>1</v>
      </c>
      <c r="K595" s="21">
        <v>677.61</v>
      </c>
      <c r="L595" s="63">
        <v>0.15</v>
      </c>
      <c r="M595" s="21">
        <v>325.12</v>
      </c>
      <c r="N595" s="6" t="s">
        <v>94</v>
      </c>
      <c r="O595" s="60">
        <f>Vendas2025[[#This Row],[Quantidade]]*Vendas2025[[#This Row],[Preço_Unitário_R$]]</f>
        <v>677.61</v>
      </c>
      <c r="P595" s="60">
        <f>Vendas2025[[#This Row],[Receita_Bruta_R$]]*Vendas2025[[#This Row],[Desconto_pct]]</f>
        <v>101.64149999999999</v>
      </c>
      <c r="Q595" s="60">
        <f t="shared" si="45"/>
        <v>575.96850000000006</v>
      </c>
      <c r="R595" s="60">
        <f t="shared" si="46"/>
        <v>325.12</v>
      </c>
      <c r="S595" s="60">
        <f t="shared" si="47"/>
        <v>250.84850000000006</v>
      </c>
      <c r="T595" s="65">
        <f t="shared" si="48"/>
        <v>0.43552468581181092</v>
      </c>
    </row>
    <row r="596" spans="1:20">
      <c r="A596" s="41">
        <f t="shared" si="49"/>
        <v>9</v>
      </c>
      <c r="B596" s="6" t="s">
        <v>737</v>
      </c>
      <c r="C596" s="20">
        <v>45909</v>
      </c>
      <c r="D596" s="6" t="s">
        <v>118</v>
      </c>
      <c r="E596" s="6" t="s">
        <v>114</v>
      </c>
      <c r="F596" s="6" t="s">
        <v>97</v>
      </c>
      <c r="G596" s="6" t="s">
        <v>115</v>
      </c>
      <c r="H596" s="6" t="s">
        <v>92</v>
      </c>
      <c r="I596" s="6" t="s">
        <v>93</v>
      </c>
      <c r="J596" s="25">
        <v>1</v>
      </c>
      <c r="K596" s="21">
        <v>237.46</v>
      </c>
      <c r="L596" s="63">
        <v>0.05</v>
      </c>
      <c r="M596" s="21">
        <v>105.78</v>
      </c>
      <c r="N596" s="6" t="s">
        <v>94</v>
      </c>
      <c r="O596" s="60">
        <f>Vendas2025[[#This Row],[Quantidade]]*Vendas2025[[#This Row],[Preço_Unitário_R$]]</f>
        <v>237.46</v>
      </c>
      <c r="P596" s="60">
        <f>Vendas2025[[#This Row],[Receita_Bruta_R$]]*Vendas2025[[#This Row],[Desconto_pct]]</f>
        <v>11.873000000000001</v>
      </c>
      <c r="Q596" s="60">
        <f t="shared" si="45"/>
        <v>225.58700000000002</v>
      </c>
      <c r="R596" s="60">
        <f t="shared" si="46"/>
        <v>105.78</v>
      </c>
      <c r="S596" s="60">
        <f t="shared" si="47"/>
        <v>119.80700000000002</v>
      </c>
      <c r="T596" s="65">
        <f t="shared" si="48"/>
        <v>0.53109000075358959</v>
      </c>
    </row>
    <row r="597" spans="1:20">
      <c r="A597" s="41">
        <f t="shared" si="49"/>
        <v>9</v>
      </c>
      <c r="B597" s="6" t="s">
        <v>738</v>
      </c>
      <c r="C597" s="20">
        <v>45909</v>
      </c>
      <c r="D597" s="6" t="s">
        <v>136</v>
      </c>
      <c r="E597" s="6" t="s">
        <v>137</v>
      </c>
      <c r="F597" s="6" t="s">
        <v>97</v>
      </c>
      <c r="G597" s="6" t="s">
        <v>177</v>
      </c>
      <c r="H597" s="6" t="s">
        <v>99</v>
      </c>
      <c r="I597" s="6" t="s">
        <v>163</v>
      </c>
      <c r="J597" s="25">
        <v>1</v>
      </c>
      <c r="K597" s="21">
        <v>1233.6099999999999</v>
      </c>
      <c r="L597" s="63">
        <v>0.08</v>
      </c>
      <c r="M597" s="21">
        <v>856.25</v>
      </c>
      <c r="N597" s="6" t="s">
        <v>94</v>
      </c>
      <c r="O597" s="60">
        <f>Vendas2025[[#This Row],[Quantidade]]*Vendas2025[[#This Row],[Preço_Unitário_R$]]</f>
        <v>1233.6099999999999</v>
      </c>
      <c r="P597" s="60">
        <f>Vendas2025[[#This Row],[Receita_Bruta_R$]]*Vendas2025[[#This Row],[Desconto_pct]]</f>
        <v>98.688800000000001</v>
      </c>
      <c r="Q597" s="60">
        <f t="shared" si="45"/>
        <v>1134.9212</v>
      </c>
      <c r="R597" s="60">
        <f t="shared" si="46"/>
        <v>856.25</v>
      </c>
      <c r="S597" s="60">
        <f t="shared" si="47"/>
        <v>278.6712</v>
      </c>
      <c r="T597" s="65">
        <f t="shared" si="48"/>
        <v>0.24554233368801287</v>
      </c>
    </row>
    <row r="598" spans="1:20">
      <c r="A598" s="41">
        <f t="shared" si="49"/>
        <v>9</v>
      </c>
      <c r="B598" s="6" t="s">
        <v>739</v>
      </c>
      <c r="C598" s="20">
        <v>45909</v>
      </c>
      <c r="D598" s="6" t="s">
        <v>113</v>
      </c>
      <c r="E598" s="6" t="s">
        <v>114</v>
      </c>
      <c r="F598" s="6" t="s">
        <v>97</v>
      </c>
      <c r="G598" s="6" t="s">
        <v>98</v>
      </c>
      <c r="H598" s="6" t="s">
        <v>92</v>
      </c>
      <c r="I598" s="6" t="s">
        <v>134</v>
      </c>
      <c r="J598" s="25">
        <v>2</v>
      </c>
      <c r="K598" s="21">
        <v>440.49</v>
      </c>
      <c r="L598" s="63">
        <v>0</v>
      </c>
      <c r="M598" s="21">
        <v>247.52</v>
      </c>
      <c r="N598" s="6" t="s">
        <v>94</v>
      </c>
      <c r="O598" s="60">
        <f>Vendas2025[[#This Row],[Quantidade]]*Vendas2025[[#This Row],[Preço_Unitário_R$]]</f>
        <v>880.98</v>
      </c>
      <c r="P598" s="60">
        <f>Vendas2025[[#This Row],[Receita_Bruta_R$]]*Vendas2025[[#This Row],[Desconto_pct]]</f>
        <v>0</v>
      </c>
      <c r="Q598" s="60">
        <f t="shared" si="45"/>
        <v>880.98</v>
      </c>
      <c r="R598" s="60">
        <f t="shared" si="46"/>
        <v>495.04</v>
      </c>
      <c r="S598" s="60">
        <f t="shared" si="47"/>
        <v>385.94</v>
      </c>
      <c r="T598" s="65">
        <f t="shared" si="48"/>
        <v>0.43808031964403277</v>
      </c>
    </row>
    <row r="599" spans="1:20">
      <c r="A599" s="41">
        <f t="shared" si="49"/>
        <v>9</v>
      </c>
      <c r="B599" s="6" t="s">
        <v>740</v>
      </c>
      <c r="C599" s="20">
        <v>45909</v>
      </c>
      <c r="D599" s="6" t="s">
        <v>129</v>
      </c>
      <c r="E599" s="6" t="s">
        <v>103</v>
      </c>
      <c r="F599" s="6" t="s">
        <v>122</v>
      </c>
      <c r="G599" s="6" t="s">
        <v>110</v>
      </c>
      <c r="H599" s="6" t="s">
        <v>99</v>
      </c>
      <c r="I599" s="6" t="s">
        <v>130</v>
      </c>
      <c r="J599" s="25">
        <v>2</v>
      </c>
      <c r="K599" s="21">
        <v>265.23</v>
      </c>
      <c r="L599" s="63">
        <v>0.03</v>
      </c>
      <c r="M599" s="21">
        <v>125.13</v>
      </c>
      <c r="N599" s="6" t="s">
        <v>94</v>
      </c>
      <c r="O599" s="60">
        <f>Vendas2025[[#This Row],[Quantidade]]*Vendas2025[[#This Row],[Preço_Unitário_R$]]</f>
        <v>530.46</v>
      </c>
      <c r="P599" s="60">
        <f>Vendas2025[[#This Row],[Receita_Bruta_R$]]*Vendas2025[[#This Row],[Desconto_pct]]</f>
        <v>15.9138</v>
      </c>
      <c r="Q599" s="60">
        <f t="shared" si="45"/>
        <v>514.5462</v>
      </c>
      <c r="R599" s="60">
        <f t="shared" si="46"/>
        <v>250.26</v>
      </c>
      <c r="S599" s="60">
        <f t="shared" si="47"/>
        <v>264.28620000000001</v>
      </c>
      <c r="T599" s="65">
        <f t="shared" si="48"/>
        <v>0.51362967990046382</v>
      </c>
    </row>
    <row r="600" spans="1:20">
      <c r="A600" s="41">
        <f t="shared" si="49"/>
        <v>9</v>
      </c>
      <c r="B600" s="6" t="s">
        <v>741</v>
      </c>
      <c r="C600" s="20">
        <v>45909</v>
      </c>
      <c r="D600" s="6" t="s">
        <v>96</v>
      </c>
      <c r="E600" s="6" t="s">
        <v>89</v>
      </c>
      <c r="F600" s="6" t="s">
        <v>97</v>
      </c>
      <c r="G600" s="6" t="s">
        <v>151</v>
      </c>
      <c r="H600" s="6" t="s">
        <v>119</v>
      </c>
      <c r="I600" s="6" t="s">
        <v>141</v>
      </c>
      <c r="J600" s="25">
        <v>1</v>
      </c>
      <c r="K600" s="21">
        <v>2780.77</v>
      </c>
      <c r="L600" s="63">
        <v>0.05</v>
      </c>
      <c r="M600" s="21">
        <v>1940.4</v>
      </c>
      <c r="N600" s="6" t="s">
        <v>94</v>
      </c>
      <c r="O600" s="60">
        <f>Vendas2025[[#This Row],[Quantidade]]*Vendas2025[[#This Row],[Preço_Unitário_R$]]</f>
        <v>2780.77</v>
      </c>
      <c r="P600" s="60">
        <f>Vendas2025[[#This Row],[Receita_Bruta_R$]]*Vendas2025[[#This Row],[Desconto_pct]]</f>
        <v>139.0385</v>
      </c>
      <c r="Q600" s="60">
        <f t="shared" si="45"/>
        <v>2641.7314999999999</v>
      </c>
      <c r="R600" s="60">
        <f t="shared" si="46"/>
        <v>1940.4</v>
      </c>
      <c r="S600" s="60">
        <f t="shared" si="47"/>
        <v>701.33149999999978</v>
      </c>
      <c r="T600" s="65">
        <f t="shared" si="48"/>
        <v>0.26548174937536229</v>
      </c>
    </row>
    <row r="601" spans="1:20">
      <c r="A601" s="41">
        <f t="shared" si="49"/>
        <v>9</v>
      </c>
      <c r="B601" s="6" t="s">
        <v>742</v>
      </c>
      <c r="C601" s="20">
        <v>45910</v>
      </c>
      <c r="D601" s="6" t="s">
        <v>129</v>
      </c>
      <c r="E601" s="6" t="s">
        <v>103</v>
      </c>
      <c r="F601" s="6" t="s">
        <v>97</v>
      </c>
      <c r="G601" s="6" t="s">
        <v>177</v>
      </c>
      <c r="H601" s="6" t="s">
        <v>124</v>
      </c>
      <c r="I601" s="6" t="s">
        <v>199</v>
      </c>
      <c r="J601" s="25">
        <v>2</v>
      </c>
      <c r="K601" s="21">
        <v>323.12</v>
      </c>
      <c r="L601" s="63">
        <v>0.15</v>
      </c>
      <c r="M601" s="21">
        <v>152.44</v>
      </c>
      <c r="N601" s="6" t="s">
        <v>94</v>
      </c>
      <c r="O601" s="60">
        <f>Vendas2025[[#This Row],[Quantidade]]*Vendas2025[[#This Row],[Preço_Unitário_R$]]</f>
        <v>646.24</v>
      </c>
      <c r="P601" s="60">
        <f>Vendas2025[[#This Row],[Receita_Bruta_R$]]*Vendas2025[[#This Row],[Desconto_pct]]</f>
        <v>96.935999999999993</v>
      </c>
      <c r="Q601" s="60">
        <f t="shared" si="45"/>
        <v>549.30399999999997</v>
      </c>
      <c r="R601" s="60">
        <f t="shared" si="46"/>
        <v>304.88</v>
      </c>
      <c r="S601" s="60">
        <f t="shared" si="47"/>
        <v>244.42399999999998</v>
      </c>
      <c r="T601" s="65">
        <f t="shared" si="48"/>
        <v>0.44497036249508465</v>
      </c>
    </row>
    <row r="602" spans="1:20">
      <c r="A602" s="41">
        <f t="shared" si="49"/>
        <v>9</v>
      </c>
      <c r="B602" s="6" t="s">
        <v>743</v>
      </c>
      <c r="C602" s="20">
        <v>45910</v>
      </c>
      <c r="D602" s="6" t="s">
        <v>118</v>
      </c>
      <c r="E602" s="6" t="s">
        <v>114</v>
      </c>
      <c r="F602" s="6" t="s">
        <v>122</v>
      </c>
      <c r="G602" s="6" t="s">
        <v>98</v>
      </c>
      <c r="H602" s="6" t="s">
        <v>99</v>
      </c>
      <c r="I602" s="6" t="s">
        <v>100</v>
      </c>
      <c r="J602" s="25">
        <v>1</v>
      </c>
      <c r="K602" s="21">
        <v>393.07</v>
      </c>
      <c r="L602" s="63">
        <v>0.05</v>
      </c>
      <c r="M602" s="21">
        <v>236.42</v>
      </c>
      <c r="N602" s="6" t="s">
        <v>94</v>
      </c>
      <c r="O602" s="60">
        <f>Vendas2025[[#This Row],[Quantidade]]*Vendas2025[[#This Row],[Preço_Unitário_R$]]</f>
        <v>393.07</v>
      </c>
      <c r="P602" s="60">
        <f>Vendas2025[[#This Row],[Receita_Bruta_R$]]*Vendas2025[[#This Row],[Desconto_pct]]</f>
        <v>19.653500000000001</v>
      </c>
      <c r="Q602" s="60">
        <f t="shared" si="45"/>
        <v>373.41649999999998</v>
      </c>
      <c r="R602" s="60">
        <f t="shared" si="46"/>
        <v>236.42</v>
      </c>
      <c r="S602" s="60">
        <f t="shared" si="47"/>
        <v>136.9965</v>
      </c>
      <c r="T602" s="65">
        <f t="shared" si="48"/>
        <v>0.36687318316142969</v>
      </c>
    </row>
    <row r="603" spans="1:20">
      <c r="A603" s="41">
        <f t="shared" si="49"/>
        <v>9</v>
      </c>
      <c r="B603" s="6" t="s">
        <v>744</v>
      </c>
      <c r="C603" s="20">
        <v>45910</v>
      </c>
      <c r="D603" s="6" t="s">
        <v>88</v>
      </c>
      <c r="E603" s="6" t="s">
        <v>89</v>
      </c>
      <c r="F603" s="6" t="s">
        <v>122</v>
      </c>
      <c r="G603" s="6" t="s">
        <v>110</v>
      </c>
      <c r="H603" s="6" t="s">
        <v>106</v>
      </c>
      <c r="I603" s="6" t="s">
        <v>184</v>
      </c>
      <c r="J603" s="25">
        <v>1</v>
      </c>
      <c r="K603" s="21">
        <v>1233.3599999999999</v>
      </c>
      <c r="L603" s="63">
        <v>0.1</v>
      </c>
      <c r="M603" s="21">
        <v>882.88</v>
      </c>
      <c r="N603" s="6" t="s">
        <v>94</v>
      </c>
      <c r="O603" s="60">
        <f>Vendas2025[[#This Row],[Quantidade]]*Vendas2025[[#This Row],[Preço_Unitário_R$]]</f>
        <v>1233.3599999999999</v>
      </c>
      <c r="P603" s="60">
        <f>Vendas2025[[#This Row],[Receita_Bruta_R$]]*Vendas2025[[#This Row],[Desconto_pct]]</f>
        <v>123.336</v>
      </c>
      <c r="Q603" s="60">
        <f t="shared" si="45"/>
        <v>1110.0239999999999</v>
      </c>
      <c r="R603" s="60">
        <f t="shared" si="46"/>
        <v>882.88</v>
      </c>
      <c r="S603" s="60">
        <f t="shared" si="47"/>
        <v>227.14399999999989</v>
      </c>
      <c r="T603" s="65">
        <f t="shared" si="48"/>
        <v>0.20462980980591403</v>
      </c>
    </row>
    <row r="604" spans="1:20">
      <c r="A604" s="41">
        <f t="shared" si="49"/>
        <v>9</v>
      </c>
      <c r="B604" s="6" t="s">
        <v>745</v>
      </c>
      <c r="C604" s="20">
        <v>45910</v>
      </c>
      <c r="D604" s="6" t="s">
        <v>132</v>
      </c>
      <c r="E604" s="6" t="s">
        <v>89</v>
      </c>
      <c r="F604" s="6" t="s">
        <v>122</v>
      </c>
      <c r="G604" s="6" t="s">
        <v>154</v>
      </c>
      <c r="H604" s="6" t="s">
        <v>119</v>
      </c>
      <c r="I604" s="6" t="s">
        <v>120</v>
      </c>
      <c r="J604" s="25">
        <v>1</v>
      </c>
      <c r="K604" s="21">
        <v>2353.5300000000002</v>
      </c>
      <c r="L604" s="63">
        <v>0.05</v>
      </c>
      <c r="M604" s="21">
        <v>1639.2</v>
      </c>
      <c r="N604" s="6" t="s">
        <v>94</v>
      </c>
      <c r="O604" s="60">
        <f>Vendas2025[[#This Row],[Quantidade]]*Vendas2025[[#This Row],[Preço_Unitário_R$]]</f>
        <v>2353.5300000000002</v>
      </c>
      <c r="P604" s="60">
        <f>Vendas2025[[#This Row],[Receita_Bruta_R$]]*Vendas2025[[#This Row],[Desconto_pct]]</f>
        <v>117.67650000000002</v>
      </c>
      <c r="Q604" s="60">
        <f t="shared" si="45"/>
        <v>2235.8535000000002</v>
      </c>
      <c r="R604" s="60">
        <f t="shared" si="46"/>
        <v>1639.2</v>
      </c>
      <c r="S604" s="60">
        <f t="shared" si="47"/>
        <v>596.65350000000012</v>
      </c>
      <c r="T604" s="65">
        <f t="shared" si="48"/>
        <v>0.26685715320793607</v>
      </c>
    </row>
    <row r="605" spans="1:20">
      <c r="A605" s="41">
        <f t="shared" si="49"/>
        <v>9</v>
      </c>
      <c r="B605" s="6" t="s">
        <v>746</v>
      </c>
      <c r="C605" s="20">
        <v>45910</v>
      </c>
      <c r="D605" s="6" t="s">
        <v>88</v>
      </c>
      <c r="E605" s="6" t="s">
        <v>89</v>
      </c>
      <c r="F605" s="6" t="s">
        <v>122</v>
      </c>
      <c r="G605" s="6" t="s">
        <v>110</v>
      </c>
      <c r="H605" s="6" t="s">
        <v>124</v>
      </c>
      <c r="I605" s="6" t="s">
        <v>125</v>
      </c>
      <c r="J605" s="25">
        <v>1</v>
      </c>
      <c r="K605" s="21">
        <v>672.26</v>
      </c>
      <c r="L605" s="63">
        <v>0.03</v>
      </c>
      <c r="M605" s="21">
        <v>322.58</v>
      </c>
      <c r="N605" s="6" t="s">
        <v>94</v>
      </c>
      <c r="O605" s="60">
        <f>Vendas2025[[#This Row],[Quantidade]]*Vendas2025[[#This Row],[Preço_Unitário_R$]]</f>
        <v>672.26</v>
      </c>
      <c r="P605" s="60">
        <f>Vendas2025[[#This Row],[Receita_Bruta_R$]]*Vendas2025[[#This Row],[Desconto_pct]]</f>
        <v>20.1678</v>
      </c>
      <c r="Q605" s="60">
        <f t="shared" si="45"/>
        <v>652.09220000000005</v>
      </c>
      <c r="R605" s="60">
        <f t="shared" si="46"/>
        <v>322.58</v>
      </c>
      <c r="S605" s="60">
        <f t="shared" si="47"/>
        <v>329.51220000000006</v>
      </c>
      <c r="T605" s="65">
        <f t="shared" si="48"/>
        <v>0.50531535264491745</v>
      </c>
    </row>
    <row r="606" spans="1:20">
      <c r="A606" s="41">
        <f t="shared" si="49"/>
        <v>9</v>
      </c>
      <c r="B606" s="6" t="s">
        <v>747</v>
      </c>
      <c r="C606" s="20">
        <v>45910</v>
      </c>
      <c r="D606" s="6" t="s">
        <v>129</v>
      </c>
      <c r="E606" s="6" t="s">
        <v>103</v>
      </c>
      <c r="F606" s="6" t="s">
        <v>97</v>
      </c>
      <c r="G606" s="6" t="s">
        <v>151</v>
      </c>
      <c r="H606" s="6" t="s">
        <v>99</v>
      </c>
      <c r="I606" s="6" t="s">
        <v>173</v>
      </c>
      <c r="J606" s="25">
        <v>2</v>
      </c>
      <c r="K606" s="21">
        <v>4155.3500000000004</v>
      </c>
      <c r="L606" s="63">
        <v>0.1</v>
      </c>
      <c r="M606" s="21">
        <v>3363.39</v>
      </c>
      <c r="N606" s="6" t="s">
        <v>94</v>
      </c>
      <c r="O606" s="60">
        <f>Vendas2025[[#This Row],[Quantidade]]*Vendas2025[[#This Row],[Preço_Unitário_R$]]</f>
        <v>8310.7000000000007</v>
      </c>
      <c r="P606" s="60">
        <f>Vendas2025[[#This Row],[Receita_Bruta_R$]]*Vendas2025[[#This Row],[Desconto_pct]]</f>
        <v>831.07000000000016</v>
      </c>
      <c r="Q606" s="60">
        <f t="shared" si="45"/>
        <v>7479.630000000001</v>
      </c>
      <c r="R606" s="60">
        <f t="shared" si="46"/>
        <v>6726.78</v>
      </c>
      <c r="S606" s="60">
        <f t="shared" si="47"/>
        <v>752.85000000000127</v>
      </c>
      <c r="T606" s="65">
        <f t="shared" si="48"/>
        <v>0.10065337456531956</v>
      </c>
    </row>
    <row r="607" spans="1:20">
      <c r="A607" s="41">
        <f t="shared" si="49"/>
        <v>9</v>
      </c>
      <c r="B607" s="6" t="s">
        <v>748</v>
      </c>
      <c r="C607" s="20">
        <v>45911</v>
      </c>
      <c r="D607" s="6" t="s">
        <v>96</v>
      </c>
      <c r="E607" s="6" t="s">
        <v>89</v>
      </c>
      <c r="F607" s="6" t="s">
        <v>90</v>
      </c>
      <c r="G607" s="6" t="s">
        <v>115</v>
      </c>
      <c r="H607" s="6" t="s">
        <v>92</v>
      </c>
      <c r="I607" s="6" t="s">
        <v>93</v>
      </c>
      <c r="J607" s="25">
        <v>1</v>
      </c>
      <c r="K607" s="21">
        <v>222.46</v>
      </c>
      <c r="L607" s="63">
        <v>0.15</v>
      </c>
      <c r="M607" s="21">
        <v>94.59</v>
      </c>
      <c r="N607" s="6" t="s">
        <v>94</v>
      </c>
      <c r="O607" s="60">
        <f>Vendas2025[[#This Row],[Quantidade]]*Vendas2025[[#This Row],[Preço_Unitário_R$]]</f>
        <v>222.46</v>
      </c>
      <c r="P607" s="60">
        <f>Vendas2025[[#This Row],[Receita_Bruta_R$]]*Vendas2025[[#This Row],[Desconto_pct]]</f>
        <v>33.369</v>
      </c>
      <c r="Q607" s="60">
        <f t="shared" si="45"/>
        <v>189.09100000000001</v>
      </c>
      <c r="R607" s="60">
        <f t="shared" si="46"/>
        <v>94.59</v>
      </c>
      <c r="S607" s="60">
        <f t="shared" si="47"/>
        <v>94.501000000000005</v>
      </c>
      <c r="T607" s="65">
        <f t="shared" si="48"/>
        <v>0.49976466357468097</v>
      </c>
    </row>
    <row r="608" spans="1:20">
      <c r="A608" s="41">
        <f t="shared" si="49"/>
        <v>9</v>
      </c>
      <c r="B608" s="6" t="s">
        <v>749</v>
      </c>
      <c r="C608" s="20">
        <v>45912</v>
      </c>
      <c r="D608" s="6" t="s">
        <v>129</v>
      </c>
      <c r="E608" s="6" t="s">
        <v>103</v>
      </c>
      <c r="F608" s="6" t="s">
        <v>90</v>
      </c>
      <c r="G608" s="6" t="s">
        <v>110</v>
      </c>
      <c r="H608" s="6" t="s">
        <v>99</v>
      </c>
      <c r="I608" s="6" t="s">
        <v>163</v>
      </c>
      <c r="J608" s="25">
        <v>2</v>
      </c>
      <c r="K608" s="21">
        <v>1304.32</v>
      </c>
      <c r="L608" s="63">
        <v>0.2</v>
      </c>
      <c r="M608" s="21">
        <v>915.81</v>
      </c>
      <c r="N608" s="6" t="s">
        <v>108</v>
      </c>
      <c r="O608" s="60">
        <f>Vendas2025[[#This Row],[Quantidade]]*Vendas2025[[#This Row],[Preço_Unitário_R$]]</f>
        <v>2608.64</v>
      </c>
      <c r="P608" s="60">
        <f>Vendas2025[[#This Row],[Receita_Bruta_R$]]*Vendas2025[[#This Row],[Desconto_pct]]</f>
        <v>521.72799999999995</v>
      </c>
      <c r="Q608" s="60">
        <f t="shared" si="45"/>
        <v>0</v>
      </c>
      <c r="R608" s="60">
        <f t="shared" si="46"/>
        <v>0</v>
      </c>
      <c r="S608" s="60">
        <f t="shared" si="47"/>
        <v>0</v>
      </c>
      <c r="T608" s="65" t="str">
        <f t="shared" si="48"/>
        <v/>
      </c>
    </row>
    <row r="609" spans="1:20">
      <c r="A609" s="41">
        <f t="shared" si="49"/>
        <v>9</v>
      </c>
      <c r="B609" s="6" t="s">
        <v>750</v>
      </c>
      <c r="C609" s="20">
        <v>45913</v>
      </c>
      <c r="D609" s="6" t="s">
        <v>132</v>
      </c>
      <c r="E609" s="6" t="s">
        <v>89</v>
      </c>
      <c r="F609" s="6" t="s">
        <v>90</v>
      </c>
      <c r="G609" s="6" t="s">
        <v>123</v>
      </c>
      <c r="H609" s="6" t="s">
        <v>99</v>
      </c>
      <c r="I609" s="6" t="s">
        <v>163</v>
      </c>
      <c r="J609" s="25">
        <v>1</v>
      </c>
      <c r="K609" s="21">
        <v>1203.23</v>
      </c>
      <c r="L609" s="63">
        <v>0.15</v>
      </c>
      <c r="M609" s="21">
        <v>860.96</v>
      </c>
      <c r="N609" s="6" t="s">
        <v>94</v>
      </c>
      <c r="O609" s="60">
        <f>Vendas2025[[#This Row],[Quantidade]]*Vendas2025[[#This Row],[Preço_Unitário_R$]]</f>
        <v>1203.23</v>
      </c>
      <c r="P609" s="60">
        <f>Vendas2025[[#This Row],[Receita_Bruta_R$]]*Vendas2025[[#This Row],[Desconto_pct]]</f>
        <v>180.4845</v>
      </c>
      <c r="Q609" s="60">
        <f t="shared" si="45"/>
        <v>1022.7455</v>
      </c>
      <c r="R609" s="60">
        <f t="shared" si="46"/>
        <v>860.96</v>
      </c>
      <c r="S609" s="60">
        <f t="shared" si="47"/>
        <v>161.78549999999996</v>
      </c>
      <c r="T609" s="65">
        <f t="shared" si="48"/>
        <v>0.15818744741482604</v>
      </c>
    </row>
    <row r="610" spans="1:20">
      <c r="A610" s="41">
        <f t="shared" si="49"/>
        <v>9</v>
      </c>
      <c r="B610" s="6" t="s">
        <v>751</v>
      </c>
      <c r="C610" s="20">
        <v>45913</v>
      </c>
      <c r="D610" s="6" t="s">
        <v>129</v>
      </c>
      <c r="E610" s="6" t="s">
        <v>103</v>
      </c>
      <c r="F610" s="6" t="s">
        <v>90</v>
      </c>
      <c r="G610" s="6" t="s">
        <v>123</v>
      </c>
      <c r="H610" s="6" t="s">
        <v>99</v>
      </c>
      <c r="I610" s="6" t="s">
        <v>100</v>
      </c>
      <c r="J610" s="25">
        <v>1</v>
      </c>
      <c r="K610" s="21">
        <v>420.39</v>
      </c>
      <c r="L610" s="63">
        <v>0.15</v>
      </c>
      <c r="M610" s="21">
        <v>237.24</v>
      </c>
      <c r="N610" s="6" t="s">
        <v>94</v>
      </c>
      <c r="O610" s="60">
        <f>Vendas2025[[#This Row],[Quantidade]]*Vendas2025[[#This Row],[Preço_Unitário_R$]]</f>
        <v>420.39</v>
      </c>
      <c r="P610" s="60">
        <f>Vendas2025[[#This Row],[Receita_Bruta_R$]]*Vendas2025[[#This Row],[Desconto_pct]]</f>
        <v>63.058499999999995</v>
      </c>
      <c r="Q610" s="60">
        <f t="shared" si="45"/>
        <v>357.33150000000001</v>
      </c>
      <c r="R610" s="60">
        <f t="shared" si="46"/>
        <v>237.24</v>
      </c>
      <c r="S610" s="60">
        <f t="shared" si="47"/>
        <v>120.0915</v>
      </c>
      <c r="T610" s="65">
        <f t="shared" si="48"/>
        <v>0.3360786832395129</v>
      </c>
    </row>
    <row r="611" spans="1:20">
      <c r="A611" s="41">
        <f t="shared" si="49"/>
        <v>9</v>
      </c>
      <c r="B611" s="6" t="s">
        <v>752</v>
      </c>
      <c r="C611" s="20">
        <v>45914</v>
      </c>
      <c r="D611" s="6" t="s">
        <v>102</v>
      </c>
      <c r="E611" s="6" t="s">
        <v>103</v>
      </c>
      <c r="F611" s="6" t="s">
        <v>90</v>
      </c>
      <c r="G611" s="6" t="s">
        <v>115</v>
      </c>
      <c r="H611" s="6" t="s">
        <v>106</v>
      </c>
      <c r="I611" s="6" t="s">
        <v>184</v>
      </c>
      <c r="J611" s="25">
        <v>1</v>
      </c>
      <c r="K611" s="21">
        <v>1260.6300000000001</v>
      </c>
      <c r="L611" s="63">
        <v>0.25</v>
      </c>
      <c r="M611" s="21">
        <v>900.19</v>
      </c>
      <c r="N611" s="6" t="s">
        <v>94</v>
      </c>
      <c r="O611" s="60">
        <f>Vendas2025[[#This Row],[Quantidade]]*Vendas2025[[#This Row],[Preço_Unitário_R$]]</f>
        <v>1260.6300000000001</v>
      </c>
      <c r="P611" s="60">
        <f>Vendas2025[[#This Row],[Receita_Bruta_R$]]*Vendas2025[[#This Row],[Desconto_pct]]</f>
        <v>315.15750000000003</v>
      </c>
      <c r="Q611" s="60">
        <f t="shared" si="45"/>
        <v>945.47250000000008</v>
      </c>
      <c r="R611" s="60">
        <f t="shared" si="46"/>
        <v>900.19</v>
      </c>
      <c r="S611" s="60">
        <f t="shared" si="47"/>
        <v>45.282500000000027</v>
      </c>
      <c r="T611" s="65">
        <f t="shared" si="48"/>
        <v>4.7894042396791049E-2</v>
      </c>
    </row>
    <row r="612" spans="1:20">
      <c r="A612" s="41">
        <f t="shared" si="49"/>
        <v>9</v>
      </c>
      <c r="B612" s="6" t="s">
        <v>753</v>
      </c>
      <c r="C612" s="20">
        <v>45914</v>
      </c>
      <c r="D612" s="6" t="s">
        <v>88</v>
      </c>
      <c r="E612" s="6" t="s">
        <v>89</v>
      </c>
      <c r="F612" s="6" t="s">
        <v>97</v>
      </c>
      <c r="G612" s="6" t="s">
        <v>140</v>
      </c>
      <c r="H612" s="6" t="s">
        <v>99</v>
      </c>
      <c r="I612" s="6" t="s">
        <v>173</v>
      </c>
      <c r="J612" s="25">
        <v>1</v>
      </c>
      <c r="K612" s="21">
        <v>4172.41</v>
      </c>
      <c r="L612" s="63">
        <v>0</v>
      </c>
      <c r="M612" s="21">
        <v>3304.95</v>
      </c>
      <c r="N612" s="6" t="s">
        <v>94</v>
      </c>
      <c r="O612" s="60">
        <f>Vendas2025[[#This Row],[Quantidade]]*Vendas2025[[#This Row],[Preço_Unitário_R$]]</f>
        <v>4172.41</v>
      </c>
      <c r="P612" s="60">
        <f>Vendas2025[[#This Row],[Receita_Bruta_R$]]*Vendas2025[[#This Row],[Desconto_pct]]</f>
        <v>0</v>
      </c>
      <c r="Q612" s="60">
        <f t="shared" si="45"/>
        <v>4172.41</v>
      </c>
      <c r="R612" s="60">
        <f t="shared" si="46"/>
        <v>3304.95</v>
      </c>
      <c r="S612" s="60">
        <f t="shared" si="47"/>
        <v>867.46</v>
      </c>
      <c r="T612" s="65">
        <f t="shared" si="48"/>
        <v>0.20790382536711399</v>
      </c>
    </row>
    <row r="613" spans="1:20">
      <c r="A613" s="41">
        <f t="shared" si="49"/>
        <v>9</v>
      </c>
      <c r="B613" s="6" t="s">
        <v>754</v>
      </c>
      <c r="C613" s="20">
        <v>45915</v>
      </c>
      <c r="D613" s="6" t="s">
        <v>96</v>
      </c>
      <c r="E613" s="6" t="s">
        <v>89</v>
      </c>
      <c r="F613" s="6" t="s">
        <v>97</v>
      </c>
      <c r="G613" s="6" t="s">
        <v>127</v>
      </c>
      <c r="H613" s="6" t="s">
        <v>119</v>
      </c>
      <c r="I613" s="6" t="s">
        <v>155</v>
      </c>
      <c r="J613" s="25">
        <v>1</v>
      </c>
      <c r="K613" s="21">
        <v>355.81</v>
      </c>
      <c r="L613" s="63">
        <v>0.08</v>
      </c>
      <c r="M613" s="21">
        <v>206.48</v>
      </c>
      <c r="N613" s="6" t="s">
        <v>94</v>
      </c>
      <c r="O613" s="60">
        <f>Vendas2025[[#This Row],[Quantidade]]*Vendas2025[[#This Row],[Preço_Unitário_R$]]</f>
        <v>355.81</v>
      </c>
      <c r="P613" s="60">
        <f>Vendas2025[[#This Row],[Receita_Bruta_R$]]*Vendas2025[[#This Row],[Desconto_pct]]</f>
        <v>28.4648</v>
      </c>
      <c r="Q613" s="60">
        <f t="shared" si="45"/>
        <v>327.34519999999998</v>
      </c>
      <c r="R613" s="60">
        <f t="shared" si="46"/>
        <v>206.48</v>
      </c>
      <c r="S613" s="60">
        <f t="shared" si="47"/>
        <v>120.86519999999999</v>
      </c>
      <c r="T613" s="65">
        <f t="shared" si="48"/>
        <v>0.36922856971783913</v>
      </c>
    </row>
    <row r="614" spans="1:20">
      <c r="A614" s="41">
        <f t="shared" si="49"/>
        <v>9</v>
      </c>
      <c r="B614" s="6" t="s">
        <v>755</v>
      </c>
      <c r="C614" s="20">
        <v>45915</v>
      </c>
      <c r="D614" s="6" t="s">
        <v>118</v>
      </c>
      <c r="E614" s="6" t="s">
        <v>114</v>
      </c>
      <c r="F614" s="6" t="s">
        <v>97</v>
      </c>
      <c r="G614" s="6" t="s">
        <v>151</v>
      </c>
      <c r="H614" s="6" t="s">
        <v>106</v>
      </c>
      <c r="I614" s="6" t="s">
        <v>116</v>
      </c>
      <c r="J614" s="25">
        <v>2</v>
      </c>
      <c r="K614" s="21">
        <v>473.49</v>
      </c>
      <c r="L614" s="63">
        <v>0.05</v>
      </c>
      <c r="M614" s="21">
        <v>270.64</v>
      </c>
      <c r="N614" s="6" t="s">
        <v>94</v>
      </c>
      <c r="O614" s="60">
        <f>Vendas2025[[#This Row],[Quantidade]]*Vendas2025[[#This Row],[Preço_Unitário_R$]]</f>
        <v>946.98</v>
      </c>
      <c r="P614" s="60">
        <f>Vendas2025[[#This Row],[Receita_Bruta_R$]]*Vendas2025[[#This Row],[Desconto_pct]]</f>
        <v>47.349000000000004</v>
      </c>
      <c r="Q614" s="60">
        <f t="shared" si="45"/>
        <v>899.63099999999997</v>
      </c>
      <c r="R614" s="60">
        <f t="shared" si="46"/>
        <v>541.28</v>
      </c>
      <c r="S614" s="60">
        <f t="shared" si="47"/>
        <v>358.351</v>
      </c>
      <c r="T614" s="65">
        <f t="shared" si="48"/>
        <v>0.3983310935261235</v>
      </c>
    </row>
    <row r="615" spans="1:20">
      <c r="A615" s="41">
        <f t="shared" si="49"/>
        <v>9</v>
      </c>
      <c r="B615" s="6" t="s">
        <v>756</v>
      </c>
      <c r="C615" s="20">
        <v>45915</v>
      </c>
      <c r="D615" s="6" t="s">
        <v>102</v>
      </c>
      <c r="E615" s="6" t="s">
        <v>103</v>
      </c>
      <c r="F615" s="6" t="s">
        <v>104</v>
      </c>
      <c r="G615" s="6" t="s">
        <v>105</v>
      </c>
      <c r="H615" s="6" t="s">
        <v>106</v>
      </c>
      <c r="I615" s="6" t="s">
        <v>116</v>
      </c>
      <c r="J615" s="25">
        <v>2</v>
      </c>
      <c r="K615" s="21">
        <v>439.31</v>
      </c>
      <c r="L615" s="63">
        <v>0.05</v>
      </c>
      <c r="M615" s="21">
        <v>233.51</v>
      </c>
      <c r="N615" s="6" t="s">
        <v>94</v>
      </c>
      <c r="O615" s="60">
        <f>Vendas2025[[#This Row],[Quantidade]]*Vendas2025[[#This Row],[Preço_Unitário_R$]]</f>
        <v>878.62</v>
      </c>
      <c r="P615" s="60">
        <f>Vendas2025[[#This Row],[Receita_Bruta_R$]]*Vendas2025[[#This Row],[Desconto_pct]]</f>
        <v>43.931000000000004</v>
      </c>
      <c r="Q615" s="60">
        <f t="shared" si="45"/>
        <v>834.68899999999996</v>
      </c>
      <c r="R615" s="60">
        <f t="shared" si="46"/>
        <v>467.02</v>
      </c>
      <c r="S615" s="60">
        <f t="shared" si="47"/>
        <v>367.66899999999998</v>
      </c>
      <c r="T615" s="65">
        <f t="shared" si="48"/>
        <v>0.44048621702214835</v>
      </c>
    </row>
    <row r="616" spans="1:20">
      <c r="A616" s="41">
        <f t="shared" si="49"/>
        <v>9</v>
      </c>
      <c r="B616" s="6" t="s">
        <v>757</v>
      </c>
      <c r="C616" s="20">
        <v>45915</v>
      </c>
      <c r="D616" s="6" t="s">
        <v>88</v>
      </c>
      <c r="E616" s="6" t="s">
        <v>89</v>
      </c>
      <c r="F616" s="6" t="s">
        <v>97</v>
      </c>
      <c r="G616" s="6" t="s">
        <v>115</v>
      </c>
      <c r="H616" s="6" t="s">
        <v>106</v>
      </c>
      <c r="I616" s="6" t="s">
        <v>107</v>
      </c>
      <c r="J616" s="25">
        <v>1</v>
      </c>
      <c r="K616" s="21">
        <v>725.93</v>
      </c>
      <c r="L616" s="63">
        <v>0.1</v>
      </c>
      <c r="M616" s="21">
        <v>412.76</v>
      </c>
      <c r="N616" s="6" t="s">
        <v>94</v>
      </c>
      <c r="O616" s="60">
        <f>Vendas2025[[#This Row],[Quantidade]]*Vendas2025[[#This Row],[Preço_Unitário_R$]]</f>
        <v>725.93</v>
      </c>
      <c r="P616" s="60">
        <f>Vendas2025[[#This Row],[Receita_Bruta_R$]]*Vendas2025[[#This Row],[Desconto_pct]]</f>
        <v>72.593000000000004</v>
      </c>
      <c r="Q616" s="60">
        <f t="shared" si="45"/>
        <v>653.33699999999999</v>
      </c>
      <c r="R616" s="60">
        <f t="shared" si="46"/>
        <v>412.76</v>
      </c>
      <c r="S616" s="60">
        <f t="shared" si="47"/>
        <v>240.577</v>
      </c>
      <c r="T616" s="65">
        <f t="shared" si="48"/>
        <v>0.36822803545490307</v>
      </c>
    </row>
    <row r="617" spans="1:20">
      <c r="A617" s="41">
        <f t="shared" si="49"/>
        <v>9</v>
      </c>
      <c r="B617" s="6" t="s">
        <v>758</v>
      </c>
      <c r="C617" s="20">
        <v>45916</v>
      </c>
      <c r="D617" s="6" t="s">
        <v>96</v>
      </c>
      <c r="E617" s="6" t="s">
        <v>89</v>
      </c>
      <c r="F617" s="6" t="s">
        <v>90</v>
      </c>
      <c r="G617" s="6" t="s">
        <v>105</v>
      </c>
      <c r="H617" s="6" t="s">
        <v>119</v>
      </c>
      <c r="I617" s="6" t="s">
        <v>120</v>
      </c>
      <c r="J617" s="25">
        <v>2</v>
      </c>
      <c r="K617" s="21">
        <v>2178.17</v>
      </c>
      <c r="L617" s="63">
        <v>0.1</v>
      </c>
      <c r="M617" s="21">
        <v>1477.87</v>
      </c>
      <c r="N617" s="6" t="s">
        <v>94</v>
      </c>
      <c r="O617" s="60">
        <f>Vendas2025[[#This Row],[Quantidade]]*Vendas2025[[#This Row],[Preço_Unitário_R$]]</f>
        <v>4356.34</v>
      </c>
      <c r="P617" s="60">
        <f>Vendas2025[[#This Row],[Receita_Bruta_R$]]*Vendas2025[[#This Row],[Desconto_pct]]</f>
        <v>435.63400000000001</v>
      </c>
      <c r="Q617" s="60">
        <f t="shared" si="45"/>
        <v>3920.7060000000001</v>
      </c>
      <c r="R617" s="60">
        <f t="shared" si="46"/>
        <v>2955.74</v>
      </c>
      <c r="S617" s="60">
        <f t="shared" si="47"/>
        <v>964.96600000000035</v>
      </c>
      <c r="T617" s="65">
        <f t="shared" si="48"/>
        <v>0.24612046911959232</v>
      </c>
    </row>
    <row r="618" spans="1:20">
      <c r="A618" s="41">
        <f t="shared" si="49"/>
        <v>9</v>
      </c>
      <c r="B618" s="6" t="s">
        <v>759</v>
      </c>
      <c r="C618" s="20">
        <v>45916</v>
      </c>
      <c r="D618" s="6" t="s">
        <v>132</v>
      </c>
      <c r="E618" s="6" t="s">
        <v>89</v>
      </c>
      <c r="F618" s="6" t="s">
        <v>97</v>
      </c>
      <c r="G618" s="6" t="s">
        <v>127</v>
      </c>
      <c r="H618" s="6" t="s">
        <v>92</v>
      </c>
      <c r="I618" s="6" t="s">
        <v>93</v>
      </c>
      <c r="J618" s="25">
        <v>1</v>
      </c>
      <c r="K618" s="21">
        <v>233.09</v>
      </c>
      <c r="L618" s="63">
        <v>0</v>
      </c>
      <c r="M618" s="21">
        <v>102.19</v>
      </c>
      <c r="N618" s="6" t="s">
        <v>94</v>
      </c>
      <c r="O618" s="60">
        <f>Vendas2025[[#This Row],[Quantidade]]*Vendas2025[[#This Row],[Preço_Unitário_R$]]</f>
        <v>233.09</v>
      </c>
      <c r="P618" s="60">
        <f>Vendas2025[[#This Row],[Receita_Bruta_R$]]*Vendas2025[[#This Row],[Desconto_pct]]</f>
        <v>0</v>
      </c>
      <c r="Q618" s="60">
        <f t="shared" si="45"/>
        <v>233.09</v>
      </c>
      <c r="R618" s="60">
        <f t="shared" si="46"/>
        <v>102.19</v>
      </c>
      <c r="S618" s="60">
        <f t="shared" si="47"/>
        <v>130.9</v>
      </c>
      <c r="T618" s="65">
        <f t="shared" si="48"/>
        <v>0.56158565361019352</v>
      </c>
    </row>
    <row r="619" spans="1:20">
      <c r="A619" s="41">
        <f t="shared" si="49"/>
        <v>9</v>
      </c>
      <c r="B619" s="6" t="s">
        <v>760</v>
      </c>
      <c r="C619" s="20">
        <v>45916</v>
      </c>
      <c r="D619" s="6" t="s">
        <v>136</v>
      </c>
      <c r="E619" s="6" t="s">
        <v>137</v>
      </c>
      <c r="F619" s="6" t="s">
        <v>97</v>
      </c>
      <c r="G619" s="6" t="s">
        <v>127</v>
      </c>
      <c r="H619" s="6" t="s">
        <v>106</v>
      </c>
      <c r="I619" s="6" t="s">
        <v>107</v>
      </c>
      <c r="J619" s="25">
        <v>1</v>
      </c>
      <c r="K619" s="21">
        <v>743.67</v>
      </c>
      <c r="L619" s="63">
        <v>0.08</v>
      </c>
      <c r="M619" s="21">
        <v>433.14</v>
      </c>
      <c r="N619" s="6" t="s">
        <v>94</v>
      </c>
      <c r="O619" s="60">
        <f>Vendas2025[[#This Row],[Quantidade]]*Vendas2025[[#This Row],[Preço_Unitário_R$]]</f>
        <v>743.67</v>
      </c>
      <c r="P619" s="60">
        <f>Vendas2025[[#This Row],[Receita_Bruta_R$]]*Vendas2025[[#This Row],[Desconto_pct]]</f>
        <v>59.493600000000001</v>
      </c>
      <c r="Q619" s="60">
        <f t="shared" si="45"/>
        <v>684.17639999999994</v>
      </c>
      <c r="R619" s="60">
        <f t="shared" si="46"/>
        <v>433.14</v>
      </c>
      <c r="S619" s="60">
        <f t="shared" si="47"/>
        <v>251.03639999999996</v>
      </c>
      <c r="T619" s="65">
        <f t="shared" si="48"/>
        <v>0.36691765456978637</v>
      </c>
    </row>
    <row r="620" spans="1:20">
      <c r="A620" s="41">
        <f t="shared" si="49"/>
        <v>9</v>
      </c>
      <c r="B620" s="6" t="s">
        <v>761</v>
      </c>
      <c r="C620" s="20">
        <v>45916</v>
      </c>
      <c r="D620" s="6" t="s">
        <v>88</v>
      </c>
      <c r="E620" s="6" t="s">
        <v>89</v>
      </c>
      <c r="F620" s="6" t="s">
        <v>90</v>
      </c>
      <c r="G620" s="6" t="s">
        <v>123</v>
      </c>
      <c r="H620" s="6" t="s">
        <v>92</v>
      </c>
      <c r="I620" s="6" t="s">
        <v>93</v>
      </c>
      <c r="J620" s="25">
        <v>1</v>
      </c>
      <c r="K620" s="21">
        <v>257.83</v>
      </c>
      <c r="L620" s="63">
        <v>0.1</v>
      </c>
      <c r="M620" s="21">
        <v>108.28</v>
      </c>
      <c r="N620" s="6" t="s">
        <v>94</v>
      </c>
      <c r="O620" s="60">
        <f>Vendas2025[[#This Row],[Quantidade]]*Vendas2025[[#This Row],[Preço_Unitário_R$]]</f>
        <v>257.83</v>
      </c>
      <c r="P620" s="60">
        <f>Vendas2025[[#This Row],[Receita_Bruta_R$]]*Vendas2025[[#This Row],[Desconto_pct]]</f>
        <v>25.783000000000001</v>
      </c>
      <c r="Q620" s="60">
        <f t="shared" si="45"/>
        <v>232.04699999999997</v>
      </c>
      <c r="R620" s="60">
        <f t="shared" si="46"/>
        <v>108.28</v>
      </c>
      <c r="S620" s="60">
        <f t="shared" si="47"/>
        <v>123.76699999999997</v>
      </c>
      <c r="T620" s="65">
        <f t="shared" si="48"/>
        <v>0.53337039479071047</v>
      </c>
    </row>
    <row r="621" spans="1:20">
      <c r="A621" s="41">
        <f t="shared" si="49"/>
        <v>9</v>
      </c>
      <c r="B621" s="6" t="s">
        <v>762</v>
      </c>
      <c r="C621" s="20">
        <v>45916</v>
      </c>
      <c r="D621" s="6" t="s">
        <v>113</v>
      </c>
      <c r="E621" s="6" t="s">
        <v>114</v>
      </c>
      <c r="F621" s="6" t="s">
        <v>122</v>
      </c>
      <c r="G621" s="6" t="s">
        <v>154</v>
      </c>
      <c r="H621" s="6" t="s">
        <v>99</v>
      </c>
      <c r="I621" s="6" t="s">
        <v>158</v>
      </c>
      <c r="J621" s="25">
        <v>1</v>
      </c>
      <c r="K621" s="21">
        <v>202.84</v>
      </c>
      <c r="L621" s="63">
        <v>0.05</v>
      </c>
      <c r="M621" s="21">
        <v>96.82</v>
      </c>
      <c r="N621" s="6" t="s">
        <v>94</v>
      </c>
      <c r="O621" s="60">
        <f>Vendas2025[[#This Row],[Quantidade]]*Vendas2025[[#This Row],[Preço_Unitário_R$]]</f>
        <v>202.84</v>
      </c>
      <c r="P621" s="60">
        <f>Vendas2025[[#This Row],[Receita_Bruta_R$]]*Vendas2025[[#This Row],[Desconto_pct]]</f>
        <v>10.142000000000001</v>
      </c>
      <c r="Q621" s="60">
        <f t="shared" si="45"/>
        <v>192.69800000000001</v>
      </c>
      <c r="R621" s="60">
        <f t="shared" si="46"/>
        <v>96.82</v>
      </c>
      <c r="S621" s="60">
        <f t="shared" si="47"/>
        <v>95.878000000000014</v>
      </c>
      <c r="T621" s="65">
        <f t="shared" si="48"/>
        <v>0.49755576082782388</v>
      </c>
    </row>
    <row r="622" spans="1:20">
      <c r="A622" s="41">
        <f t="shared" si="49"/>
        <v>9</v>
      </c>
      <c r="B622" s="6" t="s">
        <v>763</v>
      </c>
      <c r="C622" s="20">
        <v>45917</v>
      </c>
      <c r="D622" s="6" t="s">
        <v>88</v>
      </c>
      <c r="E622" s="6" t="s">
        <v>89</v>
      </c>
      <c r="F622" s="6" t="s">
        <v>122</v>
      </c>
      <c r="G622" s="6" t="s">
        <v>140</v>
      </c>
      <c r="H622" s="6" t="s">
        <v>106</v>
      </c>
      <c r="I622" s="6" t="s">
        <v>184</v>
      </c>
      <c r="J622" s="25">
        <v>1</v>
      </c>
      <c r="K622" s="21">
        <v>1168.3599999999999</v>
      </c>
      <c r="L622" s="63">
        <v>0.03</v>
      </c>
      <c r="M622" s="21">
        <v>847.98</v>
      </c>
      <c r="N622" s="6" t="s">
        <v>94</v>
      </c>
      <c r="O622" s="60">
        <f>Vendas2025[[#This Row],[Quantidade]]*Vendas2025[[#This Row],[Preço_Unitário_R$]]</f>
        <v>1168.3599999999999</v>
      </c>
      <c r="P622" s="60">
        <f>Vendas2025[[#This Row],[Receita_Bruta_R$]]*Vendas2025[[#This Row],[Desconto_pct]]</f>
        <v>35.050799999999995</v>
      </c>
      <c r="Q622" s="60">
        <f t="shared" si="45"/>
        <v>1133.3091999999999</v>
      </c>
      <c r="R622" s="60">
        <f t="shared" si="46"/>
        <v>847.98</v>
      </c>
      <c r="S622" s="60">
        <f t="shared" si="47"/>
        <v>285.3291999999999</v>
      </c>
      <c r="T622" s="65">
        <f t="shared" si="48"/>
        <v>0.25176641996729571</v>
      </c>
    </row>
    <row r="623" spans="1:20">
      <c r="A623" s="41">
        <f t="shared" si="49"/>
        <v>9</v>
      </c>
      <c r="B623" s="6" t="s">
        <v>764</v>
      </c>
      <c r="C623" s="20">
        <v>45917</v>
      </c>
      <c r="D623" s="6" t="s">
        <v>129</v>
      </c>
      <c r="E623" s="6" t="s">
        <v>103</v>
      </c>
      <c r="F623" s="6" t="s">
        <v>97</v>
      </c>
      <c r="G623" s="6" t="s">
        <v>127</v>
      </c>
      <c r="H623" s="6" t="s">
        <v>99</v>
      </c>
      <c r="I623" s="6" t="s">
        <v>158</v>
      </c>
      <c r="J623" s="25">
        <v>1</v>
      </c>
      <c r="K623" s="21">
        <v>175.69</v>
      </c>
      <c r="L623" s="63">
        <v>0</v>
      </c>
      <c r="M623" s="21">
        <v>78.349999999999994</v>
      </c>
      <c r="N623" s="6" t="s">
        <v>94</v>
      </c>
      <c r="O623" s="60">
        <f>Vendas2025[[#This Row],[Quantidade]]*Vendas2025[[#This Row],[Preço_Unitário_R$]]</f>
        <v>175.69</v>
      </c>
      <c r="P623" s="60">
        <f>Vendas2025[[#This Row],[Receita_Bruta_R$]]*Vendas2025[[#This Row],[Desconto_pct]]</f>
        <v>0</v>
      </c>
      <c r="Q623" s="60">
        <f t="shared" si="45"/>
        <v>175.69</v>
      </c>
      <c r="R623" s="60">
        <f t="shared" si="46"/>
        <v>78.349999999999994</v>
      </c>
      <c r="S623" s="60">
        <f t="shared" si="47"/>
        <v>97.34</v>
      </c>
      <c r="T623" s="65">
        <f t="shared" si="48"/>
        <v>0.55404405486937225</v>
      </c>
    </row>
    <row r="624" spans="1:20">
      <c r="A624" s="41">
        <f t="shared" si="49"/>
        <v>9</v>
      </c>
      <c r="B624" s="6" t="s">
        <v>765</v>
      </c>
      <c r="C624" s="20">
        <v>45917</v>
      </c>
      <c r="D624" s="6" t="s">
        <v>132</v>
      </c>
      <c r="E624" s="6" t="s">
        <v>89</v>
      </c>
      <c r="F624" s="6" t="s">
        <v>97</v>
      </c>
      <c r="G624" s="6" t="s">
        <v>123</v>
      </c>
      <c r="H624" s="6" t="s">
        <v>124</v>
      </c>
      <c r="I624" s="6" t="s">
        <v>199</v>
      </c>
      <c r="J624" s="25">
        <v>1</v>
      </c>
      <c r="K624" s="21">
        <v>307.47000000000003</v>
      </c>
      <c r="L624" s="63">
        <v>0.05</v>
      </c>
      <c r="M624" s="21">
        <v>141.36000000000001</v>
      </c>
      <c r="N624" s="6" t="s">
        <v>108</v>
      </c>
      <c r="O624" s="60">
        <f>Vendas2025[[#This Row],[Quantidade]]*Vendas2025[[#This Row],[Preço_Unitário_R$]]</f>
        <v>307.47000000000003</v>
      </c>
      <c r="P624" s="60">
        <f>Vendas2025[[#This Row],[Receita_Bruta_R$]]*Vendas2025[[#This Row],[Desconto_pct]]</f>
        <v>15.373500000000002</v>
      </c>
      <c r="Q624" s="60">
        <f t="shared" si="45"/>
        <v>0</v>
      </c>
      <c r="R624" s="60">
        <f t="shared" si="46"/>
        <v>0</v>
      </c>
      <c r="S624" s="60">
        <f t="shared" si="47"/>
        <v>0</v>
      </c>
      <c r="T624" s="65" t="str">
        <f t="shared" si="48"/>
        <v/>
      </c>
    </row>
    <row r="625" spans="1:20">
      <c r="A625" s="41">
        <f t="shared" si="49"/>
        <v>9</v>
      </c>
      <c r="B625" s="6" t="s">
        <v>766</v>
      </c>
      <c r="C625" s="20">
        <v>45918</v>
      </c>
      <c r="D625" s="6" t="s">
        <v>132</v>
      </c>
      <c r="E625" s="6" t="s">
        <v>89</v>
      </c>
      <c r="F625" s="6" t="s">
        <v>122</v>
      </c>
      <c r="G625" s="6" t="s">
        <v>177</v>
      </c>
      <c r="H625" s="6" t="s">
        <v>119</v>
      </c>
      <c r="I625" s="6" t="s">
        <v>138</v>
      </c>
      <c r="J625" s="25">
        <v>1</v>
      </c>
      <c r="K625" s="21">
        <v>140.25</v>
      </c>
      <c r="L625" s="63">
        <v>0.15</v>
      </c>
      <c r="M625" s="21">
        <v>57.2</v>
      </c>
      <c r="N625" s="6" t="s">
        <v>94</v>
      </c>
      <c r="O625" s="60">
        <f>Vendas2025[[#This Row],[Quantidade]]*Vendas2025[[#This Row],[Preço_Unitário_R$]]</f>
        <v>140.25</v>
      </c>
      <c r="P625" s="60">
        <f>Vendas2025[[#This Row],[Receita_Bruta_R$]]*Vendas2025[[#This Row],[Desconto_pct]]</f>
        <v>21.037499999999998</v>
      </c>
      <c r="Q625" s="60">
        <f t="shared" si="45"/>
        <v>119.21250000000001</v>
      </c>
      <c r="R625" s="60">
        <f t="shared" si="46"/>
        <v>57.2</v>
      </c>
      <c r="S625" s="60">
        <f t="shared" si="47"/>
        <v>62.012500000000003</v>
      </c>
      <c r="T625" s="65">
        <f t="shared" si="48"/>
        <v>0.52018454440599771</v>
      </c>
    </row>
    <row r="626" spans="1:20">
      <c r="A626" s="41">
        <f t="shared" si="49"/>
        <v>9</v>
      </c>
      <c r="B626" s="6" t="s">
        <v>767</v>
      </c>
      <c r="C626" s="20">
        <v>45918</v>
      </c>
      <c r="D626" s="6" t="s">
        <v>136</v>
      </c>
      <c r="E626" s="6" t="s">
        <v>137</v>
      </c>
      <c r="F626" s="6" t="s">
        <v>122</v>
      </c>
      <c r="G626" s="6" t="s">
        <v>110</v>
      </c>
      <c r="H626" s="6" t="s">
        <v>124</v>
      </c>
      <c r="I626" s="6" t="s">
        <v>125</v>
      </c>
      <c r="J626" s="25">
        <v>3</v>
      </c>
      <c r="K626" s="21">
        <v>708.22</v>
      </c>
      <c r="L626" s="63">
        <v>0.03</v>
      </c>
      <c r="M626" s="21">
        <v>346.03</v>
      </c>
      <c r="N626" s="6" t="s">
        <v>94</v>
      </c>
      <c r="O626" s="60">
        <f>Vendas2025[[#This Row],[Quantidade]]*Vendas2025[[#This Row],[Preço_Unitário_R$]]</f>
        <v>2124.66</v>
      </c>
      <c r="P626" s="60">
        <f>Vendas2025[[#This Row],[Receita_Bruta_R$]]*Vendas2025[[#This Row],[Desconto_pct]]</f>
        <v>63.739799999999995</v>
      </c>
      <c r="Q626" s="60">
        <f t="shared" si="45"/>
        <v>2060.9202</v>
      </c>
      <c r="R626" s="60">
        <f t="shared" si="46"/>
        <v>1038.0899999999999</v>
      </c>
      <c r="S626" s="60">
        <f t="shared" si="47"/>
        <v>1022.8302000000001</v>
      </c>
      <c r="T626" s="65">
        <f t="shared" si="48"/>
        <v>0.49629781880928725</v>
      </c>
    </row>
    <row r="627" spans="1:20">
      <c r="A627" s="41">
        <f t="shared" si="49"/>
        <v>9</v>
      </c>
      <c r="B627" s="6" t="s">
        <v>768</v>
      </c>
      <c r="C627" s="20">
        <v>45919</v>
      </c>
      <c r="D627" s="6" t="s">
        <v>102</v>
      </c>
      <c r="E627" s="6" t="s">
        <v>103</v>
      </c>
      <c r="F627" s="6" t="s">
        <v>97</v>
      </c>
      <c r="G627" s="6" t="s">
        <v>127</v>
      </c>
      <c r="H627" s="6" t="s">
        <v>106</v>
      </c>
      <c r="I627" s="6" t="s">
        <v>184</v>
      </c>
      <c r="J627" s="25">
        <v>2</v>
      </c>
      <c r="K627" s="21">
        <v>1246.56</v>
      </c>
      <c r="L627" s="63">
        <v>0.05</v>
      </c>
      <c r="M627" s="21">
        <v>936.19</v>
      </c>
      <c r="N627" s="6" t="s">
        <v>94</v>
      </c>
      <c r="O627" s="60">
        <f>Vendas2025[[#This Row],[Quantidade]]*Vendas2025[[#This Row],[Preço_Unitário_R$]]</f>
        <v>2493.12</v>
      </c>
      <c r="P627" s="60">
        <f>Vendas2025[[#This Row],[Receita_Bruta_R$]]*Vendas2025[[#This Row],[Desconto_pct]]</f>
        <v>124.65600000000001</v>
      </c>
      <c r="Q627" s="60">
        <f t="shared" si="45"/>
        <v>2368.4639999999999</v>
      </c>
      <c r="R627" s="60">
        <f t="shared" si="46"/>
        <v>1872.38</v>
      </c>
      <c r="S627" s="60">
        <f t="shared" si="47"/>
        <v>496.08399999999983</v>
      </c>
      <c r="T627" s="65">
        <f t="shared" si="48"/>
        <v>0.20945389079166912</v>
      </c>
    </row>
    <row r="628" spans="1:20">
      <c r="A628" s="41">
        <f t="shared" si="49"/>
        <v>9</v>
      </c>
      <c r="B628" s="6" t="s">
        <v>769</v>
      </c>
      <c r="C628" s="20">
        <v>45919</v>
      </c>
      <c r="D628" s="6" t="s">
        <v>132</v>
      </c>
      <c r="E628" s="6" t="s">
        <v>89</v>
      </c>
      <c r="F628" s="6" t="s">
        <v>122</v>
      </c>
      <c r="G628" s="6" t="s">
        <v>140</v>
      </c>
      <c r="H628" s="6" t="s">
        <v>99</v>
      </c>
      <c r="I628" s="6" t="s">
        <v>163</v>
      </c>
      <c r="J628" s="25">
        <v>1</v>
      </c>
      <c r="K628" s="21">
        <v>1248.21</v>
      </c>
      <c r="L628" s="63">
        <v>0.05</v>
      </c>
      <c r="M628" s="21">
        <v>903.2</v>
      </c>
      <c r="N628" s="6" t="s">
        <v>94</v>
      </c>
      <c r="O628" s="60">
        <f>Vendas2025[[#This Row],[Quantidade]]*Vendas2025[[#This Row],[Preço_Unitário_R$]]</f>
        <v>1248.21</v>
      </c>
      <c r="P628" s="60">
        <f>Vendas2025[[#This Row],[Receita_Bruta_R$]]*Vendas2025[[#This Row],[Desconto_pct]]</f>
        <v>62.410500000000006</v>
      </c>
      <c r="Q628" s="60">
        <f t="shared" si="45"/>
        <v>1185.7995000000001</v>
      </c>
      <c r="R628" s="60">
        <f t="shared" si="46"/>
        <v>903.2</v>
      </c>
      <c r="S628" s="60">
        <f t="shared" si="47"/>
        <v>282.59950000000003</v>
      </c>
      <c r="T628" s="65">
        <f t="shared" si="48"/>
        <v>0.23831980026977581</v>
      </c>
    </row>
    <row r="629" spans="1:20">
      <c r="A629" s="41">
        <f t="shared" si="49"/>
        <v>9</v>
      </c>
      <c r="B629" s="6" t="s">
        <v>770</v>
      </c>
      <c r="C629" s="20">
        <v>45920</v>
      </c>
      <c r="D629" s="6" t="s">
        <v>129</v>
      </c>
      <c r="E629" s="6" t="s">
        <v>103</v>
      </c>
      <c r="F629" s="6" t="s">
        <v>97</v>
      </c>
      <c r="G629" s="6" t="s">
        <v>98</v>
      </c>
      <c r="H629" s="6" t="s">
        <v>124</v>
      </c>
      <c r="I629" s="6" t="s">
        <v>193</v>
      </c>
      <c r="J629" s="25">
        <v>1</v>
      </c>
      <c r="K629" s="21">
        <v>407.77</v>
      </c>
      <c r="L629" s="63">
        <v>0.1</v>
      </c>
      <c r="M629" s="21">
        <v>183.75</v>
      </c>
      <c r="N629" s="6" t="s">
        <v>94</v>
      </c>
      <c r="O629" s="60">
        <f>Vendas2025[[#This Row],[Quantidade]]*Vendas2025[[#This Row],[Preço_Unitário_R$]]</f>
        <v>407.77</v>
      </c>
      <c r="P629" s="60">
        <f>Vendas2025[[#This Row],[Receita_Bruta_R$]]*Vendas2025[[#This Row],[Desconto_pct]]</f>
        <v>40.777000000000001</v>
      </c>
      <c r="Q629" s="60">
        <f t="shared" si="45"/>
        <v>366.99299999999999</v>
      </c>
      <c r="R629" s="60">
        <f t="shared" si="46"/>
        <v>183.75</v>
      </c>
      <c r="S629" s="60">
        <f t="shared" si="47"/>
        <v>183.24299999999999</v>
      </c>
      <c r="T629" s="65">
        <f t="shared" si="48"/>
        <v>0.49930925113013053</v>
      </c>
    </row>
    <row r="630" spans="1:20">
      <c r="A630" s="41">
        <f t="shared" si="49"/>
        <v>9</v>
      </c>
      <c r="B630" s="6" t="s">
        <v>771</v>
      </c>
      <c r="C630" s="20">
        <v>45920</v>
      </c>
      <c r="D630" s="6" t="s">
        <v>96</v>
      </c>
      <c r="E630" s="6" t="s">
        <v>89</v>
      </c>
      <c r="F630" s="6" t="s">
        <v>90</v>
      </c>
      <c r="G630" s="6" t="s">
        <v>123</v>
      </c>
      <c r="H630" s="6" t="s">
        <v>99</v>
      </c>
      <c r="I630" s="6" t="s">
        <v>100</v>
      </c>
      <c r="J630" s="25">
        <v>1</v>
      </c>
      <c r="K630" s="21">
        <v>396.84</v>
      </c>
      <c r="L630" s="63">
        <v>0.2</v>
      </c>
      <c r="M630" s="21">
        <v>223.35</v>
      </c>
      <c r="N630" s="6" t="s">
        <v>94</v>
      </c>
      <c r="O630" s="60">
        <f>Vendas2025[[#This Row],[Quantidade]]*Vendas2025[[#This Row],[Preço_Unitário_R$]]</f>
        <v>396.84</v>
      </c>
      <c r="P630" s="60">
        <f>Vendas2025[[#This Row],[Receita_Bruta_R$]]*Vendas2025[[#This Row],[Desconto_pct]]</f>
        <v>79.367999999999995</v>
      </c>
      <c r="Q630" s="60">
        <f t="shared" si="45"/>
        <v>317.47199999999998</v>
      </c>
      <c r="R630" s="60">
        <f t="shared" si="46"/>
        <v>223.35</v>
      </c>
      <c r="S630" s="60">
        <f t="shared" si="47"/>
        <v>94.121999999999986</v>
      </c>
      <c r="T630" s="65">
        <f t="shared" si="48"/>
        <v>0.29647338977925608</v>
      </c>
    </row>
    <row r="631" spans="1:20">
      <c r="A631" s="41">
        <f t="shared" si="49"/>
        <v>9</v>
      </c>
      <c r="B631" s="6" t="s">
        <v>772</v>
      </c>
      <c r="C631" s="20">
        <v>45921</v>
      </c>
      <c r="D631" s="6" t="s">
        <v>132</v>
      </c>
      <c r="E631" s="6" t="s">
        <v>89</v>
      </c>
      <c r="F631" s="6" t="s">
        <v>97</v>
      </c>
      <c r="G631" s="6" t="s">
        <v>91</v>
      </c>
      <c r="H631" s="6" t="s">
        <v>92</v>
      </c>
      <c r="I631" s="6" t="s">
        <v>134</v>
      </c>
      <c r="J631" s="25">
        <v>1</v>
      </c>
      <c r="K631" s="21">
        <v>428.49</v>
      </c>
      <c r="L631" s="63">
        <v>0.15</v>
      </c>
      <c r="M631" s="21">
        <v>226.64</v>
      </c>
      <c r="N631" s="6" t="s">
        <v>94</v>
      </c>
      <c r="O631" s="60">
        <f>Vendas2025[[#This Row],[Quantidade]]*Vendas2025[[#This Row],[Preço_Unitário_R$]]</f>
        <v>428.49</v>
      </c>
      <c r="P631" s="60">
        <f>Vendas2025[[#This Row],[Receita_Bruta_R$]]*Vendas2025[[#This Row],[Desconto_pct]]</f>
        <v>64.273499999999999</v>
      </c>
      <c r="Q631" s="60">
        <f t="shared" si="45"/>
        <v>364.2165</v>
      </c>
      <c r="R631" s="60">
        <f t="shared" si="46"/>
        <v>226.64</v>
      </c>
      <c r="S631" s="60">
        <f t="shared" si="47"/>
        <v>137.57650000000001</v>
      </c>
      <c r="T631" s="65">
        <f t="shared" si="48"/>
        <v>0.37773274961458364</v>
      </c>
    </row>
    <row r="632" spans="1:20">
      <c r="A632" s="41">
        <f t="shared" si="49"/>
        <v>9</v>
      </c>
      <c r="B632" s="6" t="s">
        <v>773</v>
      </c>
      <c r="C632" s="20">
        <v>45921</v>
      </c>
      <c r="D632" s="6" t="s">
        <v>113</v>
      </c>
      <c r="E632" s="6" t="s">
        <v>114</v>
      </c>
      <c r="F632" s="6" t="s">
        <v>97</v>
      </c>
      <c r="G632" s="6" t="s">
        <v>110</v>
      </c>
      <c r="H632" s="6" t="s">
        <v>99</v>
      </c>
      <c r="I632" s="6" t="s">
        <v>130</v>
      </c>
      <c r="J632" s="25">
        <v>1</v>
      </c>
      <c r="K632" s="21">
        <v>236.47</v>
      </c>
      <c r="L632" s="63">
        <v>0.05</v>
      </c>
      <c r="M632" s="21">
        <v>109.89</v>
      </c>
      <c r="N632" s="6" t="s">
        <v>94</v>
      </c>
      <c r="O632" s="60">
        <f>Vendas2025[[#This Row],[Quantidade]]*Vendas2025[[#This Row],[Preço_Unitário_R$]]</f>
        <v>236.47</v>
      </c>
      <c r="P632" s="60">
        <f>Vendas2025[[#This Row],[Receita_Bruta_R$]]*Vendas2025[[#This Row],[Desconto_pct]]</f>
        <v>11.823500000000001</v>
      </c>
      <c r="Q632" s="60">
        <f t="shared" si="45"/>
        <v>224.6465</v>
      </c>
      <c r="R632" s="60">
        <f t="shared" si="46"/>
        <v>109.89</v>
      </c>
      <c r="S632" s="60">
        <f t="shared" si="47"/>
        <v>114.7565</v>
      </c>
      <c r="T632" s="65">
        <f t="shared" si="48"/>
        <v>0.51083146187454509</v>
      </c>
    </row>
    <row r="633" spans="1:20">
      <c r="A633" s="41">
        <f t="shared" si="49"/>
        <v>9</v>
      </c>
      <c r="B633" s="6" t="s">
        <v>774</v>
      </c>
      <c r="C633" s="20">
        <v>45922</v>
      </c>
      <c r="D633" s="6" t="s">
        <v>96</v>
      </c>
      <c r="E633" s="6" t="s">
        <v>89</v>
      </c>
      <c r="F633" s="6" t="s">
        <v>122</v>
      </c>
      <c r="G633" s="6" t="s">
        <v>140</v>
      </c>
      <c r="H633" s="6" t="s">
        <v>119</v>
      </c>
      <c r="I633" s="6" t="s">
        <v>155</v>
      </c>
      <c r="J633" s="25">
        <v>1</v>
      </c>
      <c r="K633" s="21">
        <v>354.27</v>
      </c>
      <c r="L633" s="63">
        <v>0.05</v>
      </c>
      <c r="M633" s="21">
        <v>190.53</v>
      </c>
      <c r="N633" s="6" t="s">
        <v>94</v>
      </c>
      <c r="O633" s="60">
        <f>Vendas2025[[#This Row],[Quantidade]]*Vendas2025[[#This Row],[Preço_Unitário_R$]]</f>
        <v>354.27</v>
      </c>
      <c r="P633" s="60">
        <f>Vendas2025[[#This Row],[Receita_Bruta_R$]]*Vendas2025[[#This Row],[Desconto_pct]]</f>
        <v>17.7135</v>
      </c>
      <c r="Q633" s="60">
        <f t="shared" si="45"/>
        <v>336.55649999999997</v>
      </c>
      <c r="R633" s="60">
        <f t="shared" si="46"/>
        <v>190.53</v>
      </c>
      <c r="S633" s="60">
        <f t="shared" si="47"/>
        <v>146.02649999999997</v>
      </c>
      <c r="T633" s="65">
        <f t="shared" si="48"/>
        <v>0.43388405810020009</v>
      </c>
    </row>
    <row r="634" spans="1:20">
      <c r="A634" s="41">
        <f t="shared" si="49"/>
        <v>9</v>
      </c>
      <c r="B634" s="6" t="s">
        <v>775</v>
      </c>
      <c r="C634" s="20">
        <v>45922</v>
      </c>
      <c r="D634" s="6" t="s">
        <v>132</v>
      </c>
      <c r="E634" s="6" t="s">
        <v>89</v>
      </c>
      <c r="F634" s="6" t="s">
        <v>122</v>
      </c>
      <c r="G634" s="6" t="s">
        <v>123</v>
      </c>
      <c r="H634" s="6" t="s">
        <v>99</v>
      </c>
      <c r="I634" s="6" t="s">
        <v>158</v>
      </c>
      <c r="J634" s="25">
        <v>1</v>
      </c>
      <c r="K634" s="21">
        <v>183.5</v>
      </c>
      <c r="L634" s="63">
        <v>0.1</v>
      </c>
      <c r="M634" s="21">
        <v>81.849999999999994</v>
      </c>
      <c r="N634" s="6" t="s">
        <v>94</v>
      </c>
      <c r="O634" s="60">
        <f>Vendas2025[[#This Row],[Quantidade]]*Vendas2025[[#This Row],[Preço_Unitário_R$]]</f>
        <v>183.5</v>
      </c>
      <c r="P634" s="60">
        <f>Vendas2025[[#This Row],[Receita_Bruta_R$]]*Vendas2025[[#This Row],[Desconto_pct]]</f>
        <v>18.350000000000001</v>
      </c>
      <c r="Q634" s="60">
        <f t="shared" si="45"/>
        <v>165.15</v>
      </c>
      <c r="R634" s="60">
        <f t="shared" si="46"/>
        <v>81.849999999999994</v>
      </c>
      <c r="S634" s="60">
        <f t="shared" si="47"/>
        <v>83.300000000000011</v>
      </c>
      <c r="T634" s="65">
        <f t="shared" si="48"/>
        <v>0.50438994853163799</v>
      </c>
    </row>
    <row r="635" spans="1:20">
      <c r="A635" s="41">
        <f t="shared" si="49"/>
        <v>9</v>
      </c>
      <c r="B635" s="6" t="s">
        <v>776</v>
      </c>
      <c r="C635" s="20">
        <v>45923</v>
      </c>
      <c r="D635" s="6" t="s">
        <v>102</v>
      </c>
      <c r="E635" s="6" t="s">
        <v>103</v>
      </c>
      <c r="F635" s="6" t="s">
        <v>97</v>
      </c>
      <c r="G635" s="6" t="s">
        <v>91</v>
      </c>
      <c r="H635" s="6" t="s">
        <v>92</v>
      </c>
      <c r="I635" s="6" t="s">
        <v>144</v>
      </c>
      <c r="J635" s="25">
        <v>1</v>
      </c>
      <c r="K635" s="21">
        <v>156.84</v>
      </c>
      <c r="L635" s="63">
        <v>0.1</v>
      </c>
      <c r="M635" s="21">
        <v>55.75</v>
      </c>
      <c r="N635" s="6" t="s">
        <v>94</v>
      </c>
      <c r="O635" s="60">
        <f>Vendas2025[[#This Row],[Quantidade]]*Vendas2025[[#This Row],[Preço_Unitário_R$]]</f>
        <v>156.84</v>
      </c>
      <c r="P635" s="60">
        <f>Vendas2025[[#This Row],[Receita_Bruta_R$]]*Vendas2025[[#This Row],[Desconto_pct]]</f>
        <v>15.684000000000001</v>
      </c>
      <c r="Q635" s="60">
        <f t="shared" si="45"/>
        <v>141.15600000000001</v>
      </c>
      <c r="R635" s="60">
        <f t="shared" si="46"/>
        <v>55.75</v>
      </c>
      <c r="S635" s="60">
        <f t="shared" si="47"/>
        <v>85.406000000000006</v>
      </c>
      <c r="T635" s="65">
        <f t="shared" si="48"/>
        <v>0.60504689846694437</v>
      </c>
    </row>
    <row r="636" spans="1:20">
      <c r="A636" s="41">
        <f t="shared" si="49"/>
        <v>9</v>
      </c>
      <c r="B636" s="6" t="s">
        <v>777</v>
      </c>
      <c r="C636" s="20">
        <v>45924</v>
      </c>
      <c r="D636" s="6" t="s">
        <v>118</v>
      </c>
      <c r="E636" s="6" t="s">
        <v>114</v>
      </c>
      <c r="F636" s="6" t="s">
        <v>90</v>
      </c>
      <c r="G636" s="6" t="s">
        <v>177</v>
      </c>
      <c r="H636" s="6" t="s">
        <v>106</v>
      </c>
      <c r="I636" s="6" t="s">
        <v>116</v>
      </c>
      <c r="J636" s="25">
        <v>1</v>
      </c>
      <c r="K636" s="21">
        <v>474.88</v>
      </c>
      <c r="L636" s="63">
        <v>0.25</v>
      </c>
      <c r="M636" s="21">
        <v>263.48</v>
      </c>
      <c r="N636" s="6" t="s">
        <v>108</v>
      </c>
      <c r="O636" s="60">
        <f>Vendas2025[[#This Row],[Quantidade]]*Vendas2025[[#This Row],[Preço_Unitário_R$]]</f>
        <v>474.88</v>
      </c>
      <c r="P636" s="60">
        <f>Vendas2025[[#This Row],[Receita_Bruta_R$]]*Vendas2025[[#This Row],[Desconto_pct]]</f>
        <v>118.72</v>
      </c>
      <c r="Q636" s="60">
        <f t="shared" si="45"/>
        <v>0</v>
      </c>
      <c r="R636" s="60">
        <f t="shared" si="46"/>
        <v>0</v>
      </c>
      <c r="S636" s="60">
        <f t="shared" si="47"/>
        <v>0</v>
      </c>
      <c r="T636" s="65" t="str">
        <f t="shared" si="48"/>
        <v/>
      </c>
    </row>
    <row r="637" spans="1:20">
      <c r="A637" s="41">
        <f t="shared" si="49"/>
        <v>9</v>
      </c>
      <c r="B637" s="6" t="s">
        <v>778</v>
      </c>
      <c r="C637" s="20">
        <v>45924</v>
      </c>
      <c r="D637" s="6" t="s">
        <v>113</v>
      </c>
      <c r="E637" s="6" t="s">
        <v>114</v>
      </c>
      <c r="F637" s="6" t="s">
        <v>97</v>
      </c>
      <c r="G637" s="6" t="s">
        <v>127</v>
      </c>
      <c r="H637" s="6" t="s">
        <v>92</v>
      </c>
      <c r="I637" s="6" t="s">
        <v>134</v>
      </c>
      <c r="J637" s="25">
        <v>1</v>
      </c>
      <c r="K637" s="21">
        <v>452.37</v>
      </c>
      <c r="L637" s="63">
        <v>0.08</v>
      </c>
      <c r="M637" s="21">
        <v>252.01</v>
      </c>
      <c r="N637" s="6" t="s">
        <v>94</v>
      </c>
      <c r="O637" s="60">
        <f>Vendas2025[[#This Row],[Quantidade]]*Vendas2025[[#This Row],[Preço_Unitário_R$]]</f>
        <v>452.37</v>
      </c>
      <c r="P637" s="60">
        <f>Vendas2025[[#This Row],[Receita_Bruta_R$]]*Vendas2025[[#This Row],[Desconto_pct]]</f>
        <v>36.189599999999999</v>
      </c>
      <c r="Q637" s="60">
        <f t="shared" si="45"/>
        <v>416.18040000000002</v>
      </c>
      <c r="R637" s="60">
        <f t="shared" si="46"/>
        <v>252.01</v>
      </c>
      <c r="S637" s="60">
        <f t="shared" si="47"/>
        <v>164.17040000000003</v>
      </c>
      <c r="T637" s="65">
        <f t="shared" si="48"/>
        <v>0.39446932147693647</v>
      </c>
    </row>
    <row r="638" spans="1:20">
      <c r="A638" s="41">
        <f t="shared" si="49"/>
        <v>9</v>
      </c>
      <c r="B638" s="6" t="s">
        <v>779</v>
      </c>
      <c r="C638" s="20">
        <v>45924</v>
      </c>
      <c r="D638" s="6" t="s">
        <v>96</v>
      </c>
      <c r="E638" s="6" t="s">
        <v>89</v>
      </c>
      <c r="F638" s="6" t="s">
        <v>104</v>
      </c>
      <c r="G638" s="6" t="s">
        <v>177</v>
      </c>
      <c r="H638" s="6" t="s">
        <v>92</v>
      </c>
      <c r="I638" s="6" t="s">
        <v>134</v>
      </c>
      <c r="J638" s="25">
        <v>1</v>
      </c>
      <c r="K638" s="21">
        <v>430.99</v>
      </c>
      <c r="L638" s="63">
        <v>0.1</v>
      </c>
      <c r="M638" s="21">
        <v>228.15</v>
      </c>
      <c r="N638" s="6" t="s">
        <v>94</v>
      </c>
      <c r="O638" s="60">
        <f>Vendas2025[[#This Row],[Quantidade]]*Vendas2025[[#This Row],[Preço_Unitário_R$]]</f>
        <v>430.99</v>
      </c>
      <c r="P638" s="60">
        <f>Vendas2025[[#This Row],[Receita_Bruta_R$]]*Vendas2025[[#This Row],[Desconto_pct]]</f>
        <v>43.099000000000004</v>
      </c>
      <c r="Q638" s="60">
        <f t="shared" si="45"/>
        <v>387.89100000000002</v>
      </c>
      <c r="R638" s="60">
        <f t="shared" si="46"/>
        <v>228.15</v>
      </c>
      <c r="S638" s="60">
        <f t="shared" si="47"/>
        <v>159.74100000000001</v>
      </c>
      <c r="T638" s="65">
        <f t="shared" si="48"/>
        <v>0.41181929975173437</v>
      </c>
    </row>
    <row r="639" spans="1:20">
      <c r="A639" s="41">
        <f t="shared" si="49"/>
        <v>9</v>
      </c>
      <c r="B639" s="6" t="s">
        <v>780</v>
      </c>
      <c r="C639" s="20">
        <v>45925</v>
      </c>
      <c r="D639" s="6" t="s">
        <v>88</v>
      </c>
      <c r="E639" s="6" t="s">
        <v>89</v>
      </c>
      <c r="F639" s="6" t="s">
        <v>97</v>
      </c>
      <c r="G639" s="6" t="s">
        <v>154</v>
      </c>
      <c r="H639" s="6" t="s">
        <v>92</v>
      </c>
      <c r="I639" s="6" t="s">
        <v>134</v>
      </c>
      <c r="J639" s="25">
        <v>1</v>
      </c>
      <c r="K639" s="21">
        <v>429.95</v>
      </c>
      <c r="L639" s="63">
        <v>0</v>
      </c>
      <c r="M639" s="21">
        <v>233.74</v>
      </c>
      <c r="N639" s="6" t="s">
        <v>94</v>
      </c>
      <c r="O639" s="60">
        <f>Vendas2025[[#This Row],[Quantidade]]*Vendas2025[[#This Row],[Preço_Unitário_R$]]</f>
        <v>429.95</v>
      </c>
      <c r="P639" s="60">
        <f>Vendas2025[[#This Row],[Receita_Bruta_R$]]*Vendas2025[[#This Row],[Desconto_pct]]</f>
        <v>0</v>
      </c>
      <c r="Q639" s="60">
        <f t="shared" si="45"/>
        <v>429.95</v>
      </c>
      <c r="R639" s="60">
        <f t="shared" si="46"/>
        <v>233.74</v>
      </c>
      <c r="S639" s="60">
        <f t="shared" si="47"/>
        <v>196.20999999999998</v>
      </c>
      <c r="T639" s="65">
        <f t="shared" si="48"/>
        <v>0.45635539016164667</v>
      </c>
    </row>
    <row r="640" spans="1:20">
      <c r="A640" s="41">
        <f t="shared" si="49"/>
        <v>9</v>
      </c>
      <c r="B640" s="6" t="s">
        <v>781</v>
      </c>
      <c r="C640" s="20">
        <v>45925</v>
      </c>
      <c r="D640" s="6" t="s">
        <v>88</v>
      </c>
      <c r="E640" s="6" t="s">
        <v>89</v>
      </c>
      <c r="F640" s="6" t="s">
        <v>122</v>
      </c>
      <c r="G640" s="6" t="s">
        <v>127</v>
      </c>
      <c r="H640" s="6" t="s">
        <v>106</v>
      </c>
      <c r="I640" s="6" t="s">
        <v>116</v>
      </c>
      <c r="J640" s="25">
        <v>1</v>
      </c>
      <c r="K640" s="21">
        <v>414.44</v>
      </c>
      <c r="L640" s="63">
        <v>0.05</v>
      </c>
      <c r="M640" s="21">
        <v>222.41</v>
      </c>
      <c r="N640" s="6" t="s">
        <v>94</v>
      </c>
      <c r="O640" s="60">
        <f>Vendas2025[[#This Row],[Quantidade]]*Vendas2025[[#This Row],[Preço_Unitário_R$]]</f>
        <v>414.44</v>
      </c>
      <c r="P640" s="60">
        <f>Vendas2025[[#This Row],[Receita_Bruta_R$]]*Vendas2025[[#This Row],[Desconto_pct]]</f>
        <v>20.722000000000001</v>
      </c>
      <c r="Q640" s="60">
        <f t="shared" si="45"/>
        <v>393.71800000000002</v>
      </c>
      <c r="R640" s="60">
        <f t="shared" si="46"/>
        <v>222.41</v>
      </c>
      <c r="S640" s="60">
        <f t="shared" si="47"/>
        <v>171.30800000000002</v>
      </c>
      <c r="T640" s="65">
        <f t="shared" si="48"/>
        <v>0.43510329728384278</v>
      </c>
    </row>
    <row r="641" spans="1:20">
      <c r="A641" s="41">
        <f t="shared" si="49"/>
        <v>9</v>
      </c>
      <c r="B641" s="6" t="s">
        <v>782</v>
      </c>
      <c r="C641" s="20">
        <v>45925</v>
      </c>
      <c r="D641" s="6" t="s">
        <v>88</v>
      </c>
      <c r="E641" s="6" t="s">
        <v>89</v>
      </c>
      <c r="F641" s="6" t="s">
        <v>122</v>
      </c>
      <c r="G641" s="6" t="s">
        <v>160</v>
      </c>
      <c r="H641" s="6" t="s">
        <v>124</v>
      </c>
      <c r="I641" s="6" t="s">
        <v>199</v>
      </c>
      <c r="J641" s="25">
        <v>2</v>
      </c>
      <c r="K641" s="21">
        <v>333.94</v>
      </c>
      <c r="L641" s="63">
        <v>0.05</v>
      </c>
      <c r="M641" s="21">
        <v>150.63</v>
      </c>
      <c r="N641" s="6" t="s">
        <v>94</v>
      </c>
      <c r="O641" s="60">
        <f>Vendas2025[[#This Row],[Quantidade]]*Vendas2025[[#This Row],[Preço_Unitário_R$]]</f>
        <v>667.88</v>
      </c>
      <c r="P641" s="60">
        <f>Vendas2025[[#This Row],[Receita_Bruta_R$]]*Vendas2025[[#This Row],[Desconto_pct]]</f>
        <v>33.393999999999998</v>
      </c>
      <c r="Q641" s="60">
        <f t="shared" si="45"/>
        <v>634.48599999999999</v>
      </c>
      <c r="R641" s="60">
        <f t="shared" si="46"/>
        <v>301.26</v>
      </c>
      <c r="S641" s="60">
        <f t="shared" si="47"/>
        <v>333.226</v>
      </c>
      <c r="T641" s="65">
        <f t="shared" si="48"/>
        <v>0.52519046913564682</v>
      </c>
    </row>
    <row r="642" spans="1:20">
      <c r="A642" s="41">
        <f t="shared" si="49"/>
        <v>9</v>
      </c>
      <c r="B642" s="6" t="s">
        <v>783</v>
      </c>
      <c r="C642" s="20">
        <v>45925</v>
      </c>
      <c r="D642" s="6" t="s">
        <v>129</v>
      </c>
      <c r="E642" s="6" t="s">
        <v>103</v>
      </c>
      <c r="F642" s="6" t="s">
        <v>122</v>
      </c>
      <c r="G642" s="6" t="s">
        <v>98</v>
      </c>
      <c r="H642" s="6" t="s">
        <v>119</v>
      </c>
      <c r="I642" s="6" t="s">
        <v>138</v>
      </c>
      <c r="J642" s="25">
        <v>2</v>
      </c>
      <c r="K642" s="21">
        <v>138.05000000000001</v>
      </c>
      <c r="L642" s="63">
        <v>0.1</v>
      </c>
      <c r="M642" s="21">
        <v>53.93</v>
      </c>
      <c r="N642" s="6" t="s">
        <v>94</v>
      </c>
      <c r="O642" s="60">
        <f>Vendas2025[[#This Row],[Quantidade]]*Vendas2025[[#This Row],[Preço_Unitário_R$]]</f>
        <v>276.10000000000002</v>
      </c>
      <c r="P642" s="60">
        <f>Vendas2025[[#This Row],[Receita_Bruta_R$]]*Vendas2025[[#This Row],[Desconto_pct]]</f>
        <v>27.610000000000003</v>
      </c>
      <c r="Q642" s="60">
        <f t="shared" ref="Q642:Q705" si="50">IF(N642="Concluída",O642-P642,0)</f>
        <v>248.49</v>
      </c>
      <c r="R642" s="60">
        <f t="shared" ref="R642:R705" si="51">IF(N642="Concluída",J642*M642,0)</f>
        <v>107.86</v>
      </c>
      <c r="S642" s="60">
        <f t="shared" ref="S642:S705" si="52">Q642-R642</f>
        <v>140.63</v>
      </c>
      <c r="T642" s="65">
        <f t="shared" ref="T642:T705" si="53">IF(Q642=0,"",S642/Q642)</f>
        <v>0.56593826713348627</v>
      </c>
    </row>
    <row r="643" spans="1:20">
      <c r="A643" s="41">
        <f t="shared" ref="A643:A706" si="54">MONTH(C643)</f>
        <v>9</v>
      </c>
      <c r="B643" s="6" t="s">
        <v>784</v>
      </c>
      <c r="C643" s="20">
        <v>45925</v>
      </c>
      <c r="D643" s="6" t="s">
        <v>96</v>
      </c>
      <c r="E643" s="6" t="s">
        <v>89</v>
      </c>
      <c r="F643" s="6" t="s">
        <v>97</v>
      </c>
      <c r="G643" s="6" t="s">
        <v>127</v>
      </c>
      <c r="H643" s="6" t="s">
        <v>119</v>
      </c>
      <c r="I643" s="6" t="s">
        <v>155</v>
      </c>
      <c r="J643" s="25">
        <v>1</v>
      </c>
      <c r="K643" s="21">
        <v>346.33</v>
      </c>
      <c r="L643" s="63">
        <v>0.1</v>
      </c>
      <c r="M643" s="21">
        <v>196.92</v>
      </c>
      <c r="N643" s="6" t="s">
        <v>94</v>
      </c>
      <c r="O643" s="60">
        <f>Vendas2025[[#This Row],[Quantidade]]*Vendas2025[[#This Row],[Preço_Unitário_R$]]</f>
        <v>346.33</v>
      </c>
      <c r="P643" s="60">
        <f>Vendas2025[[#This Row],[Receita_Bruta_R$]]*Vendas2025[[#This Row],[Desconto_pct]]</f>
        <v>34.633000000000003</v>
      </c>
      <c r="Q643" s="60">
        <f t="shared" si="50"/>
        <v>311.697</v>
      </c>
      <c r="R643" s="60">
        <f t="shared" si="51"/>
        <v>196.92</v>
      </c>
      <c r="S643" s="60">
        <f t="shared" si="52"/>
        <v>114.77700000000002</v>
      </c>
      <c r="T643" s="65">
        <f t="shared" si="53"/>
        <v>0.36823261051598194</v>
      </c>
    </row>
    <row r="644" spans="1:20">
      <c r="A644" s="41">
        <f t="shared" si="54"/>
        <v>9</v>
      </c>
      <c r="B644" s="6" t="s">
        <v>785</v>
      </c>
      <c r="C644" s="20">
        <v>45925</v>
      </c>
      <c r="D644" s="6" t="s">
        <v>102</v>
      </c>
      <c r="E644" s="6" t="s">
        <v>103</v>
      </c>
      <c r="F644" s="6" t="s">
        <v>97</v>
      </c>
      <c r="G644" s="6" t="s">
        <v>115</v>
      </c>
      <c r="H644" s="6" t="s">
        <v>92</v>
      </c>
      <c r="I644" s="6" t="s">
        <v>134</v>
      </c>
      <c r="J644" s="25">
        <v>1</v>
      </c>
      <c r="K644" s="21">
        <v>462.76</v>
      </c>
      <c r="L644" s="63">
        <v>0.08</v>
      </c>
      <c r="M644" s="21">
        <v>245.67</v>
      </c>
      <c r="N644" s="6" t="s">
        <v>94</v>
      </c>
      <c r="O644" s="60">
        <f>Vendas2025[[#This Row],[Quantidade]]*Vendas2025[[#This Row],[Preço_Unitário_R$]]</f>
        <v>462.76</v>
      </c>
      <c r="P644" s="60">
        <f>Vendas2025[[#This Row],[Receita_Bruta_R$]]*Vendas2025[[#This Row],[Desconto_pct]]</f>
        <v>37.020800000000001</v>
      </c>
      <c r="Q644" s="60">
        <f t="shared" si="50"/>
        <v>425.73919999999998</v>
      </c>
      <c r="R644" s="60">
        <f t="shared" si="51"/>
        <v>245.67</v>
      </c>
      <c r="S644" s="60">
        <f t="shared" si="52"/>
        <v>180.0692</v>
      </c>
      <c r="T644" s="65">
        <f t="shared" si="53"/>
        <v>0.42295658938617819</v>
      </c>
    </row>
    <row r="645" spans="1:20">
      <c r="A645" s="41">
        <f t="shared" si="54"/>
        <v>9</v>
      </c>
      <c r="B645" s="6" t="s">
        <v>786</v>
      </c>
      <c r="C645" s="20">
        <v>45925</v>
      </c>
      <c r="D645" s="6" t="s">
        <v>136</v>
      </c>
      <c r="E645" s="6" t="s">
        <v>137</v>
      </c>
      <c r="F645" s="6" t="s">
        <v>122</v>
      </c>
      <c r="G645" s="6" t="s">
        <v>127</v>
      </c>
      <c r="H645" s="6" t="s">
        <v>119</v>
      </c>
      <c r="I645" s="6" t="s">
        <v>138</v>
      </c>
      <c r="J645" s="25">
        <v>1</v>
      </c>
      <c r="K645" s="21">
        <v>134.62</v>
      </c>
      <c r="L645" s="63">
        <v>0.1</v>
      </c>
      <c r="M645" s="21">
        <v>51.86</v>
      </c>
      <c r="N645" s="6" t="s">
        <v>94</v>
      </c>
      <c r="O645" s="60">
        <f>Vendas2025[[#This Row],[Quantidade]]*Vendas2025[[#This Row],[Preço_Unitário_R$]]</f>
        <v>134.62</v>
      </c>
      <c r="P645" s="60">
        <f>Vendas2025[[#This Row],[Receita_Bruta_R$]]*Vendas2025[[#This Row],[Desconto_pct]]</f>
        <v>13.462000000000002</v>
      </c>
      <c r="Q645" s="60">
        <f t="shared" si="50"/>
        <v>121.158</v>
      </c>
      <c r="R645" s="60">
        <f t="shared" si="51"/>
        <v>51.86</v>
      </c>
      <c r="S645" s="60">
        <f t="shared" si="52"/>
        <v>69.298000000000002</v>
      </c>
      <c r="T645" s="65">
        <f t="shared" si="53"/>
        <v>0.57196388187325642</v>
      </c>
    </row>
    <row r="646" spans="1:20">
      <c r="A646" s="41">
        <f t="shared" si="54"/>
        <v>9</v>
      </c>
      <c r="B646" s="6" t="s">
        <v>787</v>
      </c>
      <c r="C646" s="20">
        <v>45926</v>
      </c>
      <c r="D646" s="6" t="s">
        <v>102</v>
      </c>
      <c r="E646" s="6" t="s">
        <v>103</v>
      </c>
      <c r="F646" s="6" t="s">
        <v>97</v>
      </c>
      <c r="G646" s="6" t="s">
        <v>177</v>
      </c>
      <c r="H646" s="6" t="s">
        <v>106</v>
      </c>
      <c r="I646" s="6" t="s">
        <v>170</v>
      </c>
      <c r="J646" s="25">
        <v>3</v>
      </c>
      <c r="K646" s="21">
        <v>555.29</v>
      </c>
      <c r="L646" s="63">
        <v>0</v>
      </c>
      <c r="M646" s="21">
        <v>296.19</v>
      </c>
      <c r="N646" s="6" t="s">
        <v>94</v>
      </c>
      <c r="O646" s="60">
        <f>Vendas2025[[#This Row],[Quantidade]]*Vendas2025[[#This Row],[Preço_Unitário_R$]]</f>
        <v>1665.87</v>
      </c>
      <c r="P646" s="60">
        <f>Vendas2025[[#This Row],[Receita_Bruta_R$]]*Vendas2025[[#This Row],[Desconto_pct]]</f>
        <v>0</v>
      </c>
      <c r="Q646" s="60">
        <f t="shared" si="50"/>
        <v>1665.87</v>
      </c>
      <c r="R646" s="60">
        <f t="shared" si="51"/>
        <v>888.56999999999994</v>
      </c>
      <c r="S646" s="60">
        <f t="shared" si="52"/>
        <v>777.3</v>
      </c>
      <c r="T646" s="65">
        <f t="shared" si="53"/>
        <v>0.46660303625132815</v>
      </c>
    </row>
    <row r="647" spans="1:20">
      <c r="A647" s="41">
        <f t="shared" si="54"/>
        <v>9</v>
      </c>
      <c r="B647" s="6" t="s">
        <v>788</v>
      </c>
      <c r="C647" s="20">
        <v>45926</v>
      </c>
      <c r="D647" s="6" t="s">
        <v>129</v>
      </c>
      <c r="E647" s="6" t="s">
        <v>103</v>
      </c>
      <c r="F647" s="6" t="s">
        <v>104</v>
      </c>
      <c r="G647" s="6" t="s">
        <v>98</v>
      </c>
      <c r="H647" s="6" t="s">
        <v>99</v>
      </c>
      <c r="I647" s="6" t="s">
        <v>173</v>
      </c>
      <c r="J647" s="25">
        <v>1</v>
      </c>
      <c r="K647" s="21">
        <v>4114.41</v>
      </c>
      <c r="L647" s="63">
        <v>0.1</v>
      </c>
      <c r="M647" s="21">
        <v>3216.82</v>
      </c>
      <c r="N647" s="6" t="s">
        <v>94</v>
      </c>
      <c r="O647" s="60">
        <f>Vendas2025[[#This Row],[Quantidade]]*Vendas2025[[#This Row],[Preço_Unitário_R$]]</f>
        <v>4114.41</v>
      </c>
      <c r="P647" s="60">
        <f>Vendas2025[[#This Row],[Receita_Bruta_R$]]*Vendas2025[[#This Row],[Desconto_pct]]</f>
        <v>411.44100000000003</v>
      </c>
      <c r="Q647" s="60">
        <f t="shared" si="50"/>
        <v>3702.9690000000001</v>
      </c>
      <c r="R647" s="60">
        <f t="shared" si="51"/>
        <v>3216.82</v>
      </c>
      <c r="S647" s="60">
        <f t="shared" si="52"/>
        <v>486.14899999999989</v>
      </c>
      <c r="T647" s="65">
        <f t="shared" si="53"/>
        <v>0.13128627325802616</v>
      </c>
    </row>
    <row r="648" spans="1:20">
      <c r="A648" s="41">
        <f t="shared" si="54"/>
        <v>9</v>
      </c>
      <c r="B648" s="6" t="s">
        <v>789</v>
      </c>
      <c r="C648" s="20">
        <v>45926</v>
      </c>
      <c r="D648" s="6" t="s">
        <v>132</v>
      </c>
      <c r="E648" s="6" t="s">
        <v>89</v>
      </c>
      <c r="F648" s="6" t="s">
        <v>122</v>
      </c>
      <c r="G648" s="6" t="s">
        <v>160</v>
      </c>
      <c r="H648" s="6" t="s">
        <v>124</v>
      </c>
      <c r="I648" s="6" t="s">
        <v>125</v>
      </c>
      <c r="J648" s="25">
        <v>1</v>
      </c>
      <c r="K648" s="21">
        <v>744.74</v>
      </c>
      <c r="L648" s="63">
        <v>0.15</v>
      </c>
      <c r="M648" s="21">
        <v>364.62</v>
      </c>
      <c r="N648" s="6" t="s">
        <v>94</v>
      </c>
      <c r="O648" s="60">
        <f>Vendas2025[[#This Row],[Quantidade]]*Vendas2025[[#This Row],[Preço_Unitário_R$]]</f>
        <v>744.74</v>
      </c>
      <c r="P648" s="60">
        <f>Vendas2025[[#This Row],[Receita_Bruta_R$]]*Vendas2025[[#This Row],[Desconto_pct]]</f>
        <v>111.711</v>
      </c>
      <c r="Q648" s="60">
        <f t="shared" si="50"/>
        <v>633.029</v>
      </c>
      <c r="R648" s="60">
        <f t="shared" si="51"/>
        <v>364.62</v>
      </c>
      <c r="S648" s="60">
        <f t="shared" si="52"/>
        <v>268.40899999999999</v>
      </c>
      <c r="T648" s="65">
        <f t="shared" si="53"/>
        <v>0.42400743093918286</v>
      </c>
    </row>
    <row r="649" spans="1:20">
      <c r="A649" s="41">
        <f t="shared" si="54"/>
        <v>9</v>
      </c>
      <c r="B649" s="6" t="s">
        <v>790</v>
      </c>
      <c r="C649" s="20">
        <v>45927</v>
      </c>
      <c r="D649" s="6" t="s">
        <v>96</v>
      </c>
      <c r="E649" s="6" t="s">
        <v>89</v>
      </c>
      <c r="F649" s="6" t="s">
        <v>104</v>
      </c>
      <c r="G649" s="6" t="s">
        <v>91</v>
      </c>
      <c r="H649" s="6" t="s">
        <v>92</v>
      </c>
      <c r="I649" s="6" t="s">
        <v>144</v>
      </c>
      <c r="J649" s="25">
        <v>2</v>
      </c>
      <c r="K649" s="21">
        <v>146</v>
      </c>
      <c r="L649" s="63">
        <v>0.1</v>
      </c>
      <c r="M649" s="21">
        <v>49.06</v>
      </c>
      <c r="N649" s="6" t="s">
        <v>94</v>
      </c>
      <c r="O649" s="60">
        <f>Vendas2025[[#This Row],[Quantidade]]*Vendas2025[[#This Row],[Preço_Unitário_R$]]</f>
        <v>292</v>
      </c>
      <c r="P649" s="60">
        <f>Vendas2025[[#This Row],[Receita_Bruta_R$]]*Vendas2025[[#This Row],[Desconto_pct]]</f>
        <v>29.200000000000003</v>
      </c>
      <c r="Q649" s="60">
        <f t="shared" si="50"/>
        <v>262.8</v>
      </c>
      <c r="R649" s="60">
        <f t="shared" si="51"/>
        <v>98.12</v>
      </c>
      <c r="S649" s="60">
        <f t="shared" si="52"/>
        <v>164.68</v>
      </c>
      <c r="T649" s="65">
        <f t="shared" si="53"/>
        <v>0.6266362252663622</v>
      </c>
    </row>
    <row r="650" spans="1:20">
      <c r="A650" s="41">
        <f t="shared" si="54"/>
        <v>9</v>
      </c>
      <c r="B650" s="6" t="s">
        <v>791</v>
      </c>
      <c r="C650" s="20">
        <v>45927</v>
      </c>
      <c r="D650" s="6" t="s">
        <v>132</v>
      </c>
      <c r="E650" s="6" t="s">
        <v>89</v>
      </c>
      <c r="F650" s="6" t="s">
        <v>90</v>
      </c>
      <c r="G650" s="6" t="s">
        <v>160</v>
      </c>
      <c r="H650" s="6" t="s">
        <v>99</v>
      </c>
      <c r="I650" s="6" t="s">
        <v>163</v>
      </c>
      <c r="J650" s="25">
        <v>1</v>
      </c>
      <c r="K650" s="21">
        <v>1364.25</v>
      </c>
      <c r="L650" s="63">
        <v>0.2</v>
      </c>
      <c r="M650" s="21">
        <v>957.43</v>
      </c>
      <c r="N650" s="6" t="s">
        <v>94</v>
      </c>
      <c r="O650" s="60">
        <f>Vendas2025[[#This Row],[Quantidade]]*Vendas2025[[#This Row],[Preço_Unitário_R$]]</f>
        <v>1364.25</v>
      </c>
      <c r="P650" s="60">
        <f>Vendas2025[[#This Row],[Receita_Bruta_R$]]*Vendas2025[[#This Row],[Desconto_pct]]</f>
        <v>272.85000000000002</v>
      </c>
      <c r="Q650" s="60">
        <f t="shared" si="50"/>
        <v>1091.4000000000001</v>
      </c>
      <c r="R650" s="60">
        <f t="shared" si="51"/>
        <v>957.43</v>
      </c>
      <c r="S650" s="60">
        <f t="shared" si="52"/>
        <v>133.97000000000014</v>
      </c>
      <c r="T650" s="65">
        <f t="shared" si="53"/>
        <v>0.12275059556532905</v>
      </c>
    </row>
    <row r="651" spans="1:20">
      <c r="A651" s="41">
        <f t="shared" si="54"/>
        <v>9</v>
      </c>
      <c r="B651" s="6" t="s">
        <v>792</v>
      </c>
      <c r="C651" s="20">
        <v>45928</v>
      </c>
      <c r="D651" s="6" t="s">
        <v>113</v>
      </c>
      <c r="E651" s="6" t="s">
        <v>114</v>
      </c>
      <c r="F651" s="6" t="s">
        <v>122</v>
      </c>
      <c r="G651" s="6" t="s">
        <v>115</v>
      </c>
      <c r="H651" s="6" t="s">
        <v>106</v>
      </c>
      <c r="I651" s="6" t="s">
        <v>116</v>
      </c>
      <c r="J651" s="25">
        <v>1</v>
      </c>
      <c r="K651" s="21">
        <v>442.19</v>
      </c>
      <c r="L651" s="63">
        <v>0.05</v>
      </c>
      <c r="M651" s="21">
        <v>249.89</v>
      </c>
      <c r="N651" s="6" t="s">
        <v>94</v>
      </c>
      <c r="O651" s="60">
        <f>Vendas2025[[#This Row],[Quantidade]]*Vendas2025[[#This Row],[Preço_Unitário_R$]]</f>
        <v>442.19</v>
      </c>
      <c r="P651" s="60">
        <f>Vendas2025[[#This Row],[Receita_Bruta_R$]]*Vendas2025[[#This Row],[Desconto_pct]]</f>
        <v>22.109500000000001</v>
      </c>
      <c r="Q651" s="60">
        <f t="shared" si="50"/>
        <v>420.08049999999997</v>
      </c>
      <c r="R651" s="60">
        <f t="shared" si="51"/>
        <v>249.89</v>
      </c>
      <c r="S651" s="60">
        <f t="shared" si="52"/>
        <v>170.19049999999999</v>
      </c>
      <c r="T651" s="65">
        <f t="shared" si="53"/>
        <v>0.40513782477406113</v>
      </c>
    </row>
    <row r="652" spans="1:20">
      <c r="A652" s="41">
        <f t="shared" si="54"/>
        <v>9</v>
      </c>
      <c r="B652" s="6" t="s">
        <v>793</v>
      </c>
      <c r="C652" s="20">
        <v>45928</v>
      </c>
      <c r="D652" s="6" t="s">
        <v>88</v>
      </c>
      <c r="E652" s="6" t="s">
        <v>89</v>
      </c>
      <c r="F652" s="6" t="s">
        <v>122</v>
      </c>
      <c r="G652" s="6" t="s">
        <v>151</v>
      </c>
      <c r="H652" s="6" t="s">
        <v>119</v>
      </c>
      <c r="I652" s="6" t="s">
        <v>155</v>
      </c>
      <c r="J652" s="25">
        <v>1</v>
      </c>
      <c r="K652" s="21">
        <v>353.38</v>
      </c>
      <c r="L652" s="63">
        <v>0.1</v>
      </c>
      <c r="M652" s="21">
        <v>190.65</v>
      </c>
      <c r="N652" s="6" t="s">
        <v>94</v>
      </c>
      <c r="O652" s="60">
        <f>Vendas2025[[#This Row],[Quantidade]]*Vendas2025[[#This Row],[Preço_Unitário_R$]]</f>
        <v>353.38</v>
      </c>
      <c r="P652" s="60">
        <f>Vendas2025[[#This Row],[Receita_Bruta_R$]]*Vendas2025[[#This Row],[Desconto_pct]]</f>
        <v>35.338000000000001</v>
      </c>
      <c r="Q652" s="60">
        <f t="shared" si="50"/>
        <v>318.04199999999997</v>
      </c>
      <c r="R652" s="60">
        <f t="shared" si="51"/>
        <v>190.65</v>
      </c>
      <c r="S652" s="60">
        <f t="shared" si="52"/>
        <v>127.39199999999997</v>
      </c>
      <c r="T652" s="65">
        <f t="shared" si="53"/>
        <v>0.40055087063972677</v>
      </c>
    </row>
    <row r="653" spans="1:20">
      <c r="A653" s="41">
        <f t="shared" si="54"/>
        <v>9</v>
      </c>
      <c r="B653" s="6" t="s">
        <v>794</v>
      </c>
      <c r="C653" s="20">
        <v>45928</v>
      </c>
      <c r="D653" s="6" t="s">
        <v>132</v>
      </c>
      <c r="E653" s="6" t="s">
        <v>89</v>
      </c>
      <c r="F653" s="6" t="s">
        <v>122</v>
      </c>
      <c r="G653" s="6" t="s">
        <v>177</v>
      </c>
      <c r="H653" s="6" t="s">
        <v>124</v>
      </c>
      <c r="I653" s="6" t="s">
        <v>193</v>
      </c>
      <c r="J653" s="25">
        <v>1</v>
      </c>
      <c r="K653" s="21">
        <v>378.72</v>
      </c>
      <c r="L653" s="63">
        <v>0.1</v>
      </c>
      <c r="M653" s="21">
        <v>171.65</v>
      </c>
      <c r="N653" s="6" t="s">
        <v>94</v>
      </c>
      <c r="O653" s="60">
        <f>Vendas2025[[#This Row],[Quantidade]]*Vendas2025[[#This Row],[Preço_Unitário_R$]]</f>
        <v>378.72</v>
      </c>
      <c r="P653" s="60">
        <f>Vendas2025[[#This Row],[Receita_Bruta_R$]]*Vendas2025[[#This Row],[Desconto_pct]]</f>
        <v>37.872000000000007</v>
      </c>
      <c r="Q653" s="60">
        <f t="shared" si="50"/>
        <v>340.84800000000001</v>
      </c>
      <c r="R653" s="60">
        <f t="shared" si="51"/>
        <v>171.65</v>
      </c>
      <c r="S653" s="60">
        <f t="shared" si="52"/>
        <v>169.19800000000001</v>
      </c>
      <c r="T653" s="65">
        <f t="shared" si="53"/>
        <v>0.49640308876684036</v>
      </c>
    </row>
    <row r="654" spans="1:20">
      <c r="A654" s="41">
        <f t="shared" si="54"/>
        <v>9</v>
      </c>
      <c r="B654" s="6" t="s">
        <v>795</v>
      </c>
      <c r="C654" s="20">
        <v>45928</v>
      </c>
      <c r="D654" s="6" t="s">
        <v>96</v>
      </c>
      <c r="E654" s="6" t="s">
        <v>89</v>
      </c>
      <c r="F654" s="6" t="s">
        <v>122</v>
      </c>
      <c r="G654" s="6" t="s">
        <v>98</v>
      </c>
      <c r="H654" s="6" t="s">
        <v>106</v>
      </c>
      <c r="I654" s="6" t="s">
        <v>170</v>
      </c>
      <c r="J654" s="25">
        <v>1</v>
      </c>
      <c r="K654" s="21">
        <v>546.13</v>
      </c>
      <c r="L654" s="63">
        <v>0.03</v>
      </c>
      <c r="M654" s="21">
        <v>275.69</v>
      </c>
      <c r="N654" s="6" t="s">
        <v>94</v>
      </c>
      <c r="O654" s="60">
        <f>Vendas2025[[#This Row],[Quantidade]]*Vendas2025[[#This Row],[Preço_Unitário_R$]]</f>
        <v>546.13</v>
      </c>
      <c r="P654" s="60">
        <f>Vendas2025[[#This Row],[Receita_Bruta_R$]]*Vendas2025[[#This Row],[Desconto_pct]]</f>
        <v>16.383900000000001</v>
      </c>
      <c r="Q654" s="60">
        <f t="shared" si="50"/>
        <v>529.74609999999996</v>
      </c>
      <c r="R654" s="60">
        <f t="shared" si="51"/>
        <v>275.69</v>
      </c>
      <c r="S654" s="60">
        <f t="shared" si="52"/>
        <v>254.05609999999996</v>
      </c>
      <c r="T654" s="65">
        <f t="shared" si="53"/>
        <v>0.4795808784623426</v>
      </c>
    </row>
    <row r="655" spans="1:20">
      <c r="A655" s="41">
        <f t="shared" si="54"/>
        <v>10</v>
      </c>
      <c r="B655" s="6" t="s">
        <v>796</v>
      </c>
      <c r="C655" s="20">
        <v>45931</v>
      </c>
      <c r="D655" s="6" t="s">
        <v>88</v>
      </c>
      <c r="E655" s="6" t="s">
        <v>89</v>
      </c>
      <c r="F655" s="6" t="s">
        <v>104</v>
      </c>
      <c r="G655" s="6" t="s">
        <v>91</v>
      </c>
      <c r="H655" s="6" t="s">
        <v>119</v>
      </c>
      <c r="I655" s="6" t="s">
        <v>141</v>
      </c>
      <c r="J655" s="25">
        <v>1</v>
      </c>
      <c r="K655" s="21">
        <v>2692.2</v>
      </c>
      <c r="L655" s="63">
        <v>0.03</v>
      </c>
      <c r="M655" s="21">
        <v>1816.49</v>
      </c>
      <c r="N655" s="6" t="s">
        <v>94</v>
      </c>
      <c r="O655" s="60">
        <f>Vendas2025[[#This Row],[Quantidade]]*Vendas2025[[#This Row],[Preço_Unitário_R$]]</f>
        <v>2692.2</v>
      </c>
      <c r="P655" s="60">
        <f>Vendas2025[[#This Row],[Receita_Bruta_R$]]*Vendas2025[[#This Row],[Desconto_pct]]</f>
        <v>80.765999999999991</v>
      </c>
      <c r="Q655" s="60">
        <f t="shared" si="50"/>
        <v>2611.4339999999997</v>
      </c>
      <c r="R655" s="60">
        <f t="shared" si="51"/>
        <v>1816.49</v>
      </c>
      <c r="S655" s="60">
        <f t="shared" si="52"/>
        <v>794.94399999999973</v>
      </c>
      <c r="T655" s="65">
        <f t="shared" si="53"/>
        <v>0.30440899521106018</v>
      </c>
    </row>
    <row r="656" spans="1:20">
      <c r="A656" s="41">
        <f t="shared" si="54"/>
        <v>10</v>
      </c>
      <c r="B656" s="6" t="s">
        <v>797</v>
      </c>
      <c r="C656" s="20">
        <v>45932</v>
      </c>
      <c r="D656" s="6" t="s">
        <v>129</v>
      </c>
      <c r="E656" s="6" t="s">
        <v>103</v>
      </c>
      <c r="F656" s="6" t="s">
        <v>97</v>
      </c>
      <c r="G656" s="6" t="s">
        <v>140</v>
      </c>
      <c r="H656" s="6" t="s">
        <v>106</v>
      </c>
      <c r="I656" s="6" t="s">
        <v>107</v>
      </c>
      <c r="J656" s="25">
        <v>2</v>
      </c>
      <c r="K656" s="21">
        <v>648.62</v>
      </c>
      <c r="L656" s="63">
        <v>0.05</v>
      </c>
      <c r="M656" s="21">
        <v>380.38</v>
      </c>
      <c r="N656" s="6" t="s">
        <v>94</v>
      </c>
      <c r="O656" s="60">
        <f>Vendas2025[[#This Row],[Quantidade]]*Vendas2025[[#This Row],[Preço_Unitário_R$]]</f>
        <v>1297.24</v>
      </c>
      <c r="P656" s="60">
        <f>Vendas2025[[#This Row],[Receita_Bruta_R$]]*Vendas2025[[#This Row],[Desconto_pct]]</f>
        <v>64.862000000000009</v>
      </c>
      <c r="Q656" s="60">
        <f t="shared" si="50"/>
        <v>1232.3779999999999</v>
      </c>
      <c r="R656" s="60">
        <f t="shared" si="51"/>
        <v>760.76</v>
      </c>
      <c r="S656" s="60">
        <f t="shared" si="52"/>
        <v>471.61799999999994</v>
      </c>
      <c r="T656" s="65">
        <f t="shared" si="53"/>
        <v>0.38268940211526004</v>
      </c>
    </row>
    <row r="657" spans="1:20">
      <c r="A657" s="41">
        <f t="shared" si="54"/>
        <v>10</v>
      </c>
      <c r="B657" s="6" t="s">
        <v>798</v>
      </c>
      <c r="C657" s="20">
        <v>45933</v>
      </c>
      <c r="D657" s="6" t="s">
        <v>132</v>
      </c>
      <c r="E657" s="6" t="s">
        <v>89</v>
      </c>
      <c r="F657" s="6" t="s">
        <v>97</v>
      </c>
      <c r="G657" s="6" t="s">
        <v>140</v>
      </c>
      <c r="H657" s="6" t="s">
        <v>124</v>
      </c>
      <c r="I657" s="6" t="s">
        <v>193</v>
      </c>
      <c r="J657" s="25">
        <v>1</v>
      </c>
      <c r="K657" s="21">
        <v>358.21</v>
      </c>
      <c r="L657" s="63">
        <v>0.08</v>
      </c>
      <c r="M657" s="21">
        <v>163.47999999999999</v>
      </c>
      <c r="N657" s="6" t="s">
        <v>94</v>
      </c>
      <c r="O657" s="60">
        <f>Vendas2025[[#This Row],[Quantidade]]*Vendas2025[[#This Row],[Preço_Unitário_R$]]</f>
        <v>358.21</v>
      </c>
      <c r="P657" s="60">
        <f>Vendas2025[[#This Row],[Receita_Bruta_R$]]*Vendas2025[[#This Row],[Desconto_pct]]</f>
        <v>28.6568</v>
      </c>
      <c r="Q657" s="60">
        <f t="shared" si="50"/>
        <v>329.5532</v>
      </c>
      <c r="R657" s="60">
        <f t="shared" si="51"/>
        <v>163.47999999999999</v>
      </c>
      <c r="S657" s="60">
        <f t="shared" si="52"/>
        <v>166.07320000000001</v>
      </c>
      <c r="T657" s="65">
        <f t="shared" si="53"/>
        <v>0.50393441787244064</v>
      </c>
    </row>
    <row r="658" spans="1:20">
      <c r="A658" s="41">
        <f t="shared" si="54"/>
        <v>10</v>
      </c>
      <c r="B658" s="6" t="s">
        <v>799</v>
      </c>
      <c r="C658" s="20">
        <v>45933</v>
      </c>
      <c r="D658" s="6" t="s">
        <v>113</v>
      </c>
      <c r="E658" s="6" t="s">
        <v>114</v>
      </c>
      <c r="F658" s="6" t="s">
        <v>97</v>
      </c>
      <c r="G658" s="6" t="s">
        <v>110</v>
      </c>
      <c r="H658" s="6" t="s">
        <v>99</v>
      </c>
      <c r="I658" s="6" t="s">
        <v>173</v>
      </c>
      <c r="J658" s="25">
        <v>1</v>
      </c>
      <c r="K658" s="21">
        <v>3865.12</v>
      </c>
      <c r="L658" s="63">
        <v>0.05</v>
      </c>
      <c r="M658" s="21">
        <v>3123.76</v>
      </c>
      <c r="N658" s="6" t="s">
        <v>94</v>
      </c>
      <c r="O658" s="60">
        <f>Vendas2025[[#This Row],[Quantidade]]*Vendas2025[[#This Row],[Preço_Unitário_R$]]</f>
        <v>3865.12</v>
      </c>
      <c r="P658" s="60">
        <f>Vendas2025[[#This Row],[Receita_Bruta_R$]]*Vendas2025[[#This Row],[Desconto_pct]]</f>
        <v>193.256</v>
      </c>
      <c r="Q658" s="60">
        <f t="shared" si="50"/>
        <v>3671.864</v>
      </c>
      <c r="R658" s="60">
        <f t="shared" si="51"/>
        <v>3123.76</v>
      </c>
      <c r="S658" s="60">
        <f t="shared" si="52"/>
        <v>548.10399999999981</v>
      </c>
      <c r="T658" s="65">
        <f t="shared" si="53"/>
        <v>0.14927132377451882</v>
      </c>
    </row>
    <row r="659" spans="1:20">
      <c r="A659" s="41">
        <f t="shared" si="54"/>
        <v>10</v>
      </c>
      <c r="B659" s="6" t="s">
        <v>800</v>
      </c>
      <c r="C659" s="20">
        <v>45933</v>
      </c>
      <c r="D659" s="6" t="s">
        <v>96</v>
      </c>
      <c r="E659" s="6" t="s">
        <v>89</v>
      </c>
      <c r="F659" s="6" t="s">
        <v>122</v>
      </c>
      <c r="G659" s="6" t="s">
        <v>91</v>
      </c>
      <c r="H659" s="6" t="s">
        <v>106</v>
      </c>
      <c r="I659" s="6" t="s">
        <v>184</v>
      </c>
      <c r="J659" s="25">
        <v>1</v>
      </c>
      <c r="K659" s="21">
        <v>1249.9000000000001</v>
      </c>
      <c r="L659" s="63">
        <v>0.1</v>
      </c>
      <c r="M659" s="21">
        <v>895.7</v>
      </c>
      <c r="N659" s="6" t="s">
        <v>94</v>
      </c>
      <c r="O659" s="60">
        <f>Vendas2025[[#This Row],[Quantidade]]*Vendas2025[[#This Row],[Preço_Unitário_R$]]</f>
        <v>1249.9000000000001</v>
      </c>
      <c r="P659" s="60">
        <f>Vendas2025[[#This Row],[Receita_Bruta_R$]]*Vendas2025[[#This Row],[Desconto_pct]]</f>
        <v>124.99000000000001</v>
      </c>
      <c r="Q659" s="60">
        <f t="shared" si="50"/>
        <v>1124.9100000000001</v>
      </c>
      <c r="R659" s="60">
        <f t="shared" si="51"/>
        <v>895.7</v>
      </c>
      <c r="S659" s="60">
        <f t="shared" si="52"/>
        <v>229.21000000000004</v>
      </c>
      <c r="T659" s="65">
        <f t="shared" si="53"/>
        <v>0.20375852290405455</v>
      </c>
    </row>
    <row r="660" spans="1:20">
      <c r="A660" s="41">
        <f t="shared" si="54"/>
        <v>10</v>
      </c>
      <c r="B660" s="6" t="s">
        <v>801</v>
      </c>
      <c r="C660" s="20">
        <v>45934</v>
      </c>
      <c r="D660" s="6" t="s">
        <v>132</v>
      </c>
      <c r="E660" s="6" t="s">
        <v>89</v>
      </c>
      <c r="F660" s="6" t="s">
        <v>122</v>
      </c>
      <c r="G660" s="6" t="s">
        <v>140</v>
      </c>
      <c r="H660" s="6" t="s">
        <v>119</v>
      </c>
      <c r="I660" s="6" t="s">
        <v>120</v>
      </c>
      <c r="J660" s="25">
        <v>2</v>
      </c>
      <c r="K660" s="21">
        <v>2204.2800000000002</v>
      </c>
      <c r="L660" s="63">
        <v>0.03</v>
      </c>
      <c r="M660" s="21">
        <v>1579.59</v>
      </c>
      <c r="N660" s="6" t="s">
        <v>94</v>
      </c>
      <c r="O660" s="60">
        <f>Vendas2025[[#This Row],[Quantidade]]*Vendas2025[[#This Row],[Preço_Unitário_R$]]</f>
        <v>4408.5600000000004</v>
      </c>
      <c r="P660" s="60">
        <f>Vendas2025[[#This Row],[Receita_Bruta_R$]]*Vendas2025[[#This Row],[Desconto_pct]]</f>
        <v>132.2568</v>
      </c>
      <c r="Q660" s="60">
        <f t="shared" si="50"/>
        <v>4276.3032000000003</v>
      </c>
      <c r="R660" s="60">
        <f t="shared" si="51"/>
        <v>3159.18</v>
      </c>
      <c r="S660" s="60">
        <f t="shared" si="52"/>
        <v>1117.1232000000005</v>
      </c>
      <c r="T660" s="65">
        <f t="shared" si="53"/>
        <v>0.26123573277030504</v>
      </c>
    </row>
    <row r="661" spans="1:20">
      <c r="A661" s="41">
        <f t="shared" si="54"/>
        <v>10</v>
      </c>
      <c r="B661" s="6" t="s">
        <v>802</v>
      </c>
      <c r="C661" s="20">
        <v>45934</v>
      </c>
      <c r="D661" s="6" t="s">
        <v>118</v>
      </c>
      <c r="E661" s="6" t="s">
        <v>114</v>
      </c>
      <c r="F661" s="6" t="s">
        <v>122</v>
      </c>
      <c r="G661" s="6" t="s">
        <v>151</v>
      </c>
      <c r="H661" s="6" t="s">
        <v>106</v>
      </c>
      <c r="I661" s="6" t="s">
        <v>184</v>
      </c>
      <c r="J661" s="25">
        <v>2</v>
      </c>
      <c r="K661" s="21">
        <v>1145.72</v>
      </c>
      <c r="L661" s="63">
        <v>0.1</v>
      </c>
      <c r="M661" s="21">
        <v>834.23</v>
      </c>
      <c r="N661" s="6" t="s">
        <v>94</v>
      </c>
      <c r="O661" s="60">
        <f>Vendas2025[[#This Row],[Quantidade]]*Vendas2025[[#This Row],[Preço_Unitário_R$]]</f>
        <v>2291.44</v>
      </c>
      <c r="P661" s="60">
        <f>Vendas2025[[#This Row],[Receita_Bruta_R$]]*Vendas2025[[#This Row],[Desconto_pct]]</f>
        <v>229.14400000000001</v>
      </c>
      <c r="Q661" s="60">
        <f t="shared" si="50"/>
        <v>2062.2960000000003</v>
      </c>
      <c r="R661" s="60">
        <f t="shared" si="51"/>
        <v>1668.46</v>
      </c>
      <c r="S661" s="60">
        <f t="shared" si="52"/>
        <v>393.83600000000024</v>
      </c>
      <c r="T661" s="65">
        <f t="shared" si="53"/>
        <v>0.19096967651588337</v>
      </c>
    </row>
    <row r="662" spans="1:20">
      <c r="A662" s="41">
        <f t="shared" si="54"/>
        <v>10</v>
      </c>
      <c r="B662" s="6" t="s">
        <v>803</v>
      </c>
      <c r="C662" s="20">
        <v>45935</v>
      </c>
      <c r="D662" s="6" t="s">
        <v>96</v>
      </c>
      <c r="E662" s="6" t="s">
        <v>89</v>
      </c>
      <c r="F662" s="6" t="s">
        <v>122</v>
      </c>
      <c r="G662" s="6" t="s">
        <v>98</v>
      </c>
      <c r="H662" s="6" t="s">
        <v>106</v>
      </c>
      <c r="I662" s="6" t="s">
        <v>116</v>
      </c>
      <c r="J662" s="25">
        <v>1</v>
      </c>
      <c r="K662" s="21">
        <v>481.01</v>
      </c>
      <c r="L662" s="63">
        <v>0.1</v>
      </c>
      <c r="M662" s="21">
        <v>259.77</v>
      </c>
      <c r="N662" s="6" t="s">
        <v>94</v>
      </c>
      <c r="O662" s="60">
        <f>Vendas2025[[#This Row],[Quantidade]]*Vendas2025[[#This Row],[Preço_Unitário_R$]]</f>
        <v>481.01</v>
      </c>
      <c r="P662" s="60">
        <f>Vendas2025[[#This Row],[Receita_Bruta_R$]]*Vendas2025[[#This Row],[Desconto_pct]]</f>
        <v>48.100999999999999</v>
      </c>
      <c r="Q662" s="60">
        <f t="shared" si="50"/>
        <v>432.90899999999999</v>
      </c>
      <c r="R662" s="60">
        <f t="shared" si="51"/>
        <v>259.77</v>
      </c>
      <c r="S662" s="60">
        <f t="shared" si="52"/>
        <v>173.13900000000001</v>
      </c>
      <c r="T662" s="65">
        <f t="shared" si="53"/>
        <v>0.39994317512456434</v>
      </c>
    </row>
    <row r="663" spans="1:20">
      <c r="A663" s="41">
        <f t="shared" si="54"/>
        <v>10</v>
      </c>
      <c r="B663" s="6" t="s">
        <v>804</v>
      </c>
      <c r="C663" s="20">
        <v>45935</v>
      </c>
      <c r="D663" s="6" t="s">
        <v>129</v>
      </c>
      <c r="E663" s="6" t="s">
        <v>103</v>
      </c>
      <c r="F663" s="6" t="s">
        <v>97</v>
      </c>
      <c r="G663" s="6" t="s">
        <v>98</v>
      </c>
      <c r="H663" s="6" t="s">
        <v>92</v>
      </c>
      <c r="I663" s="6" t="s">
        <v>144</v>
      </c>
      <c r="J663" s="25">
        <v>1</v>
      </c>
      <c r="K663" s="21">
        <v>146.41999999999999</v>
      </c>
      <c r="L663" s="63">
        <v>0.08</v>
      </c>
      <c r="M663" s="21">
        <v>51.64</v>
      </c>
      <c r="N663" s="6" t="s">
        <v>94</v>
      </c>
      <c r="O663" s="60">
        <f>Vendas2025[[#This Row],[Quantidade]]*Vendas2025[[#This Row],[Preço_Unitário_R$]]</f>
        <v>146.41999999999999</v>
      </c>
      <c r="P663" s="60">
        <f>Vendas2025[[#This Row],[Receita_Bruta_R$]]*Vendas2025[[#This Row],[Desconto_pct]]</f>
        <v>11.7136</v>
      </c>
      <c r="Q663" s="60">
        <f t="shared" si="50"/>
        <v>134.70639999999997</v>
      </c>
      <c r="R663" s="60">
        <f t="shared" si="51"/>
        <v>51.64</v>
      </c>
      <c r="S663" s="60">
        <f t="shared" si="52"/>
        <v>83.066399999999973</v>
      </c>
      <c r="T663" s="65">
        <f t="shared" si="53"/>
        <v>0.61664776135358079</v>
      </c>
    </row>
    <row r="664" spans="1:20">
      <c r="A664" s="41">
        <f t="shared" si="54"/>
        <v>10</v>
      </c>
      <c r="B664" s="6" t="s">
        <v>805</v>
      </c>
      <c r="C664" s="20">
        <v>45935</v>
      </c>
      <c r="D664" s="6" t="s">
        <v>88</v>
      </c>
      <c r="E664" s="6" t="s">
        <v>89</v>
      </c>
      <c r="F664" s="6" t="s">
        <v>97</v>
      </c>
      <c r="G664" s="6" t="s">
        <v>127</v>
      </c>
      <c r="H664" s="6" t="s">
        <v>124</v>
      </c>
      <c r="I664" s="6" t="s">
        <v>199</v>
      </c>
      <c r="J664" s="25">
        <v>1</v>
      </c>
      <c r="K664" s="21">
        <v>335.24</v>
      </c>
      <c r="L664" s="63">
        <v>0</v>
      </c>
      <c r="M664" s="21">
        <v>160.33000000000001</v>
      </c>
      <c r="N664" s="6" t="s">
        <v>108</v>
      </c>
      <c r="O664" s="60">
        <f>Vendas2025[[#This Row],[Quantidade]]*Vendas2025[[#This Row],[Preço_Unitário_R$]]</f>
        <v>335.24</v>
      </c>
      <c r="P664" s="60">
        <f>Vendas2025[[#This Row],[Receita_Bruta_R$]]*Vendas2025[[#This Row],[Desconto_pct]]</f>
        <v>0</v>
      </c>
      <c r="Q664" s="60">
        <f t="shared" si="50"/>
        <v>0</v>
      </c>
      <c r="R664" s="60">
        <f t="shared" si="51"/>
        <v>0</v>
      </c>
      <c r="S664" s="60">
        <f t="shared" si="52"/>
        <v>0</v>
      </c>
      <c r="T664" s="65" t="str">
        <f t="shared" si="53"/>
        <v/>
      </c>
    </row>
    <row r="665" spans="1:20">
      <c r="A665" s="41">
        <f t="shared" si="54"/>
        <v>10</v>
      </c>
      <c r="B665" s="6" t="s">
        <v>806</v>
      </c>
      <c r="C665" s="20">
        <v>45935</v>
      </c>
      <c r="D665" s="6" t="s">
        <v>118</v>
      </c>
      <c r="E665" s="6" t="s">
        <v>114</v>
      </c>
      <c r="F665" s="6" t="s">
        <v>97</v>
      </c>
      <c r="G665" s="6" t="s">
        <v>105</v>
      </c>
      <c r="H665" s="6" t="s">
        <v>106</v>
      </c>
      <c r="I665" s="6" t="s">
        <v>170</v>
      </c>
      <c r="J665" s="25">
        <v>1</v>
      </c>
      <c r="K665" s="21">
        <v>504.12</v>
      </c>
      <c r="L665" s="63">
        <v>0.15</v>
      </c>
      <c r="M665" s="21">
        <v>267.57</v>
      </c>
      <c r="N665" s="6" t="s">
        <v>94</v>
      </c>
      <c r="O665" s="60">
        <f>Vendas2025[[#This Row],[Quantidade]]*Vendas2025[[#This Row],[Preço_Unitário_R$]]</f>
        <v>504.12</v>
      </c>
      <c r="P665" s="60">
        <f>Vendas2025[[#This Row],[Receita_Bruta_R$]]*Vendas2025[[#This Row],[Desconto_pct]]</f>
        <v>75.617999999999995</v>
      </c>
      <c r="Q665" s="60">
        <f t="shared" si="50"/>
        <v>428.50200000000001</v>
      </c>
      <c r="R665" s="60">
        <f t="shared" si="51"/>
        <v>267.57</v>
      </c>
      <c r="S665" s="60">
        <f t="shared" si="52"/>
        <v>160.93200000000002</v>
      </c>
      <c r="T665" s="65">
        <f t="shared" si="53"/>
        <v>0.37556884215242875</v>
      </c>
    </row>
    <row r="666" spans="1:20">
      <c r="A666" s="41">
        <f t="shared" si="54"/>
        <v>10</v>
      </c>
      <c r="B666" s="6" t="s">
        <v>807</v>
      </c>
      <c r="C666" s="20">
        <v>45935</v>
      </c>
      <c r="D666" s="6" t="s">
        <v>102</v>
      </c>
      <c r="E666" s="6" t="s">
        <v>103</v>
      </c>
      <c r="F666" s="6" t="s">
        <v>122</v>
      </c>
      <c r="G666" s="6" t="s">
        <v>110</v>
      </c>
      <c r="H666" s="6" t="s">
        <v>99</v>
      </c>
      <c r="I666" s="6" t="s">
        <v>163</v>
      </c>
      <c r="J666" s="25">
        <v>1</v>
      </c>
      <c r="K666" s="21">
        <v>1378.65</v>
      </c>
      <c r="L666" s="63">
        <v>0.03</v>
      </c>
      <c r="M666" s="21">
        <v>934.67</v>
      </c>
      <c r="N666" s="6" t="s">
        <v>94</v>
      </c>
      <c r="O666" s="60">
        <f>Vendas2025[[#This Row],[Quantidade]]*Vendas2025[[#This Row],[Preço_Unitário_R$]]</f>
        <v>1378.65</v>
      </c>
      <c r="P666" s="60">
        <f>Vendas2025[[#This Row],[Receita_Bruta_R$]]*Vendas2025[[#This Row],[Desconto_pct]]</f>
        <v>41.359500000000004</v>
      </c>
      <c r="Q666" s="60">
        <f t="shared" si="50"/>
        <v>1337.2905000000001</v>
      </c>
      <c r="R666" s="60">
        <f t="shared" si="51"/>
        <v>934.67</v>
      </c>
      <c r="S666" s="60">
        <f t="shared" si="52"/>
        <v>402.62050000000011</v>
      </c>
      <c r="T666" s="65">
        <f t="shared" si="53"/>
        <v>0.30107183143827021</v>
      </c>
    </row>
    <row r="667" spans="1:20">
      <c r="A667" s="41">
        <f t="shared" si="54"/>
        <v>10</v>
      </c>
      <c r="B667" s="6" t="s">
        <v>808</v>
      </c>
      <c r="C667" s="20">
        <v>45936</v>
      </c>
      <c r="D667" s="6" t="s">
        <v>118</v>
      </c>
      <c r="E667" s="6" t="s">
        <v>114</v>
      </c>
      <c r="F667" s="6" t="s">
        <v>97</v>
      </c>
      <c r="G667" s="6" t="s">
        <v>123</v>
      </c>
      <c r="H667" s="6" t="s">
        <v>99</v>
      </c>
      <c r="I667" s="6" t="s">
        <v>158</v>
      </c>
      <c r="J667" s="25">
        <v>1</v>
      </c>
      <c r="K667" s="21">
        <v>198.29</v>
      </c>
      <c r="L667" s="63">
        <v>0.05</v>
      </c>
      <c r="M667" s="21">
        <v>91.24</v>
      </c>
      <c r="N667" s="6" t="s">
        <v>94</v>
      </c>
      <c r="O667" s="60">
        <f>Vendas2025[[#This Row],[Quantidade]]*Vendas2025[[#This Row],[Preço_Unitário_R$]]</f>
        <v>198.29</v>
      </c>
      <c r="P667" s="60">
        <f>Vendas2025[[#This Row],[Receita_Bruta_R$]]*Vendas2025[[#This Row],[Desconto_pct]]</f>
        <v>9.9145000000000003</v>
      </c>
      <c r="Q667" s="60">
        <f t="shared" si="50"/>
        <v>188.37549999999999</v>
      </c>
      <c r="R667" s="60">
        <f t="shared" si="51"/>
        <v>91.24</v>
      </c>
      <c r="S667" s="60">
        <f t="shared" si="52"/>
        <v>97.135499999999993</v>
      </c>
      <c r="T667" s="65">
        <f t="shared" si="53"/>
        <v>0.51564826636160221</v>
      </c>
    </row>
    <row r="668" spans="1:20">
      <c r="A668" s="41">
        <f t="shared" si="54"/>
        <v>10</v>
      </c>
      <c r="B668" s="6" t="s">
        <v>809</v>
      </c>
      <c r="C668" s="20">
        <v>45936</v>
      </c>
      <c r="D668" s="6" t="s">
        <v>88</v>
      </c>
      <c r="E668" s="6" t="s">
        <v>89</v>
      </c>
      <c r="F668" s="6" t="s">
        <v>122</v>
      </c>
      <c r="G668" s="6" t="s">
        <v>160</v>
      </c>
      <c r="H668" s="6" t="s">
        <v>99</v>
      </c>
      <c r="I668" s="6" t="s">
        <v>130</v>
      </c>
      <c r="J668" s="25">
        <v>1</v>
      </c>
      <c r="K668" s="21">
        <v>256.81</v>
      </c>
      <c r="L668" s="63">
        <v>0.05</v>
      </c>
      <c r="M668" s="21">
        <v>126.09</v>
      </c>
      <c r="N668" s="6" t="s">
        <v>94</v>
      </c>
      <c r="O668" s="60">
        <f>Vendas2025[[#This Row],[Quantidade]]*Vendas2025[[#This Row],[Preço_Unitário_R$]]</f>
        <v>256.81</v>
      </c>
      <c r="P668" s="60">
        <f>Vendas2025[[#This Row],[Receita_Bruta_R$]]*Vendas2025[[#This Row],[Desconto_pct]]</f>
        <v>12.8405</v>
      </c>
      <c r="Q668" s="60">
        <f t="shared" si="50"/>
        <v>243.96950000000001</v>
      </c>
      <c r="R668" s="60">
        <f t="shared" si="51"/>
        <v>126.09</v>
      </c>
      <c r="S668" s="60">
        <f t="shared" si="52"/>
        <v>117.87950000000001</v>
      </c>
      <c r="T668" s="65">
        <f t="shared" si="53"/>
        <v>0.48317310155572724</v>
      </c>
    </row>
    <row r="669" spans="1:20">
      <c r="A669" s="41">
        <f t="shared" si="54"/>
        <v>10</v>
      </c>
      <c r="B669" s="6" t="s">
        <v>810</v>
      </c>
      <c r="C669" s="20">
        <v>45937</v>
      </c>
      <c r="D669" s="6" t="s">
        <v>129</v>
      </c>
      <c r="E669" s="6" t="s">
        <v>103</v>
      </c>
      <c r="F669" s="6" t="s">
        <v>97</v>
      </c>
      <c r="G669" s="6" t="s">
        <v>154</v>
      </c>
      <c r="H669" s="6" t="s">
        <v>92</v>
      </c>
      <c r="I669" s="6" t="s">
        <v>134</v>
      </c>
      <c r="J669" s="25">
        <v>1</v>
      </c>
      <c r="K669" s="21">
        <v>435.97</v>
      </c>
      <c r="L669" s="63">
        <v>0.05</v>
      </c>
      <c r="M669" s="21">
        <v>246.93</v>
      </c>
      <c r="N669" s="6" t="s">
        <v>94</v>
      </c>
      <c r="O669" s="60">
        <f>Vendas2025[[#This Row],[Quantidade]]*Vendas2025[[#This Row],[Preço_Unitário_R$]]</f>
        <v>435.97</v>
      </c>
      <c r="P669" s="60">
        <f>Vendas2025[[#This Row],[Receita_Bruta_R$]]*Vendas2025[[#This Row],[Desconto_pct]]</f>
        <v>21.798500000000004</v>
      </c>
      <c r="Q669" s="60">
        <f t="shared" si="50"/>
        <v>414.17150000000004</v>
      </c>
      <c r="R669" s="60">
        <f t="shared" si="51"/>
        <v>246.93</v>
      </c>
      <c r="S669" s="60">
        <f t="shared" si="52"/>
        <v>167.24150000000003</v>
      </c>
      <c r="T669" s="65">
        <f t="shared" si="53"/>
        <v>0.40379770215961264</v>
      </c>
    </row>
    <row r="670" spans="1:20">
      <c r="A670" s="41">
        <f t="shared" si="54"/>
        <v>10</v>
      </c>
      <c r="B670" s="6" t="s">
        <v>811</v>
      </c>
      <c r="C670" s="20">
        <v>45937</v>
      </c>
      <c r="D670" s="6" t="s">
        <v>102</v>
      </c>
      <c r="E670" s="6" t="s">
        <v>103</v>
      </c>
      <c r="F670" s="6" t="s">
        <v>97</v>
      </c>
      <c r="G670" s="6" t="s">
        <v>98</v>
      </c>
      <c r="H670" s="6" t="s">
        <v>119</v>
      </c>
      <c r="I670" s="6" t="s">
        <v>120</v>
      </c>
      <c r="J670" s="25">
        <v>1</v>
      </c>
      <c r="K670" s="21">
        <v>2129.87</v>
      </c>
      <c r="L670" s="63">
        <v>0.08</v>
      </c>
      <c r="M670" s="21">
        <v>1435.61</v>
      </c>
      <c r="N670" s="6" t="s">
        <v>94</v>
      </c>
      <c r="O670" s="60">
        <f>Vendas2025[[#This Row],[Quantidade]]*Vendas2025[[#This Row],[Preço_Unitário_R$]]</f>
        <v>2129.87</v>
      </c>
      <c r="P670" s="60">
        <f>Vendas2025[[#This Row],[Receita_Bruta_R$]]*Vendas2025[[#This Row],[Desconto_pct]]</f>
        <v>170.3896</v>
      </c>
      <c r="Q670" s="60">
        <f t="shared" si="50"/>
        <v>1959.4803999999999</v>
      </c>
      <c r="R670" s="60">
        <f t="shared" si="51"/>
        <v>1435.61</v>
      </c>
      <c r="S670" s="60">
        <f t="shared" si="52"/>
        <v>523.87040000000002</v>
      </c>
      <c r="T670" s="65">
        <f t="shared" si="53"/>
        <v>0.267351691805644</v>
      </c>
    </row>
    <row r="671" spans="1:20">
      <c r="A671" s="41">
        <f t="shared" si="54"/>
        <v>10</v>
      </c>
      <c r="B671" s="6" t="s">
        <v>812</v>
      </c>
      <c r="C671" s="20">
        <v>45937</v>
      </c>
      <c r="D671" s="6" t="s">
        <v>118</v>
      </c>
      <c r="E671" s="6" t="s">
        <v>114</v>
      </c>
      <c r="F671" s="6" t="s">
        <v>97</v>
      </c>
      <c r="G671" s="6" t="s">
        <v>140</v>
      </c>
      <c r="H671" s="6" t="s">
        <v>99</v>
      </c>
      <c r="I671" s="6" t="s">
        <v>163</v>
      </c>
      <c r="J671" s="25">
        <v>1</v>
      </c>
      <c r="K671" s="21">
        <v>1368.79</v>
      </c>
      <c r="L671" s="63">
        <v>0</v>
      </c>
      <c r="M671" s="21">
        <v>935.61</v>
      </c>
      <c r="N671" s="6" t="s">
        <v>94</v>
      </c>
      <c r="O671" s="60">
        <f>Vendas2025[[#This Row],[Quantidade]]*Vendas2025[[#This Row],[Preço_Unitário_R$]]</f>
        <v>1368.79</v>
      </c>
      <c r="P671" s="60">
        <f>Vendas2025[[#This Row],[Receita_Bruta_R$]]*Vendas2025[[#This Row],[Desconto_pct]]</f>
        <v>0</v>
      </c>
      <c r="Q671" s="60">
        <f t="shared" si="50"/>
        <v>1368.79</v>
      </c>
      <c r="R671" s="60">
        <f t="shared" si="51"/>
        <v>935.61</v>
      </c>
      <c r="S671" s="60">
        <f t="shared" si="52"/>
        <v>433.17999999999995</v>
      </c>
      <c r="T671" s="65">
        <f t="shared" si="53"/>
        <v>0.31646929039516652</v>
      </c>
    </row>
    <row r="672" spans="1:20">
      <c r="A672" s="41">
        <f t="shared" si="54"/>
        <v>10</v>
      </c>
      <c r="B672" s="6" t="s">
        <v>813</v>
      </c>
      <c r="C672" s="20">
        <v>45937</v>
      </c>
      <c r="D672" s="6" t="s">
        <v>88</v>
      </c>
      <c r="E672" s="6" t="s">
        <v>89</v>
      </c>
      <c r="F672" s="6" t="s">
        <v>122</v>
      </c>
      <c r="G672" s="6" t="s">
        <v>160</v>
      </c>
      <c r="H672" s="6" t="s">
        <v>119</v>
      </c>
      <c r="I672" s="6" t="s">
        <v>138</v>
      </c>
      <c r="J672" s="25">
        <v>1</v>
      </c>
      <c r="K672" s="21">
        <v>134.94</v>
      </c>
      <c r="L672" s="63">
        <v>0.2</v>
      </c>
      <c r="M672" s="21">
        <v>52.88</v>
      </c>
      <c r="N672" s="6" t="s">
        <v>94</v>
      </c>
      <c r="O672" s="60">
        <f>Vendas2025[[#This Row],[Quantidade]]*Vendas2025[[#This Row],[Preço_Unitário_R$]]</f>
        <v>134.94</v>
      </c>
      <c r="P672" s="60">
        <f>Vendas2025[[#This Row],[Receita_Bruta_R$]]*Vendas2025[[#This Row],[Desconto_pct]]</f>
        <v>26.988</v>
      </c>
      <c r="Q672" s="60">
        <f t="shared" si="50"/>
        <v>107.952</v>
      </c>
      <c r="R672" s="60">
        <f t="shared" si="51"/>
        <v>52.88</v>
      </c>
      <c r="S672" s="60">
        <f t="shared" si="52"/>
        <v>55.071999999999996</v>
      </c>
      <c r="T672" s="65">
        <f t="shared" si="53"/>
        <v>0.51015266044167773</v>
      </c>
    </row>
    <row r="673" spans="1:20">
      <c r="A673" s="41">
        <f t="shared" si="54"/>
        <v>10</v>
      </c>
      <c r="B673" s="6" t="s">
        <v>814</v>
      </c>
      <c r="C673" s="20">
        <v>45937</v>
      </c>
      <c r="D673" s="6" t="s">
        <v>129</v>
      </c>
      <c r="E673" s="6" t="s">
        <v>103</v>
      </c>
      <c r="F673" s="6" t="s">
        <v>97</v>
      </c>
      <c r="G673" s="6" t="s">
        <v>123</v>
      </c>
      <c r="H673" s="6" t="s">
        <v>124</v>
      </c>
      <c r="I673" s="6" t="s">
        <v>125</v>
      </c>
      <c r="J673" s="25">
        <v>1</v>
      </c>
      <c r="K673" s="21">
        <v>668.5</v>
      </c>
      <c r="L673" s="63">
        <v>0.05</v>
      </c>
      <c r="M673" s="21">
        <v>321.13</v>
      </c>
      <c r="N673" s="6" t="s">
        <v>94</v>
      </c>
      <c r="O673" s="60">
        <f>Vendas2025[[#This Row],[Quantidade]]*Vendas2025[[#This Row],[Preço_Unitário_R$]]</f>
        <v>668.5</v>
      </c>
      <c r="P673" s="60">
        <f>Vendas2025[[#This Row],[Receita_Bruta_R$]]*Vendas2025[[#This Row],[Desconto_pct]]</f>
        <v>33.425000000000004</v>
      </c>
      <c r="Q673" s="60">
        <f t="shared" si="50"/>
        <v>635.07500000000005</v>
      </c>
      <c r="R673" s="60">
        <f t="shared" si="51"/>
        <v>321.13</v>
      </c>
      <c r="S673" s="60">
        <f t="shared" si="52"/>
        <v>313.94500000000005</v>
      </c>
      <c r="T673" s="65">
        <f t="shared" si="53"/>
        <v>0.49434318781246311</v>
      </c>
    </row>
    <row r="674" spans="1:20">
      <c r="A674" s="41">
        <f t="shared" si="54"/>
        <v>10</v>
      </c>
      <c r="B674" s="6" t="s">
        <v>815</v>
      </c>
      <c r="C674" s="20">
        <v>45937</v>
      </c>
      <c r="D674" s="6" t="s">
        <v>129</v>
      </c>
      <c r="E674" s="6" t="s">
        <v>103</v>
      </c>
      <c r="F674" s="6" t="s">
        <v>104</v>
      </c>
      <c r="G674" s="6" t="s">
        <v>160</v>
      </c>
      <c r="H674" s="6" t="s">
        <v>106</v>
      </c>
      <c r="I674" s="6" t="s">
        <v>111</v>
      </c>
      <c r="J674" s="25">
        <v>1</v>
      </c>
      <c r="K674" s="21">
        <v>270.26</v>
      </c>
      <c r="L674" s="63">
        <v>0.1</v>
      </c>
      <c r="M674" s="21">
        <v>118.21</v>
      </c>
      <c r="N674" s="6" t="s">
        <v>94</v>
      </c>
      <c r="O674" s="60">
        <f>Vendas2025[[#This Row],[Quantidade]]*Vendas2025[[#This Row],[Preço_Unitário_R$]]</f>
        <v>270.26</v>
      </c>
      <c r="P674" s="60">
        <f>Vendas2025[[#This Row],[Receita_Bruta_R$]]*Vendas2025[[#This Row],[Desconto_pct]]</f>
        <v>27.026</v>
      </c>
      <c r="Q674" s="60">
        <f t="shared" si="50"/>
        <v>243.23399999999998</v>
      </c>
      <c r="R674" s="60">
        <f t="shared" si="51"/>
        <v>118.21</v>
      </c>
      <c r="S674" s="60">
        <f t="shared" si="52"/>
        <v>125.02399999999999</v>
      </c>
      <c r="T674" s="65">
        <f t="shared" si="53"/>
        <v>0.51400708782489291</v>
      </c>
    </row>
    <row r="675" spans="1:20">
      <c r="A675" s="41">
        <f t="shared" si="54"/>
        <v>10</v>
      </c>
      <c r="B675" s="6" t="s">
        <v>816</v>
      </c>
      <c r="C675" s="20">
        <v>45938</v>
      </c>
      <c r="D675" s="6" t="s">
        <v>102</v>
      </c>
      <c r="E675" s="6" t="s">
        <v>103</v>
      </c>
      <c r="F675" s="6" t="s">
        <v>122</v>
      </c>
      <c r="G675" s="6" t="s">
        <v>98</v>
      </c>
      <c r="H675" s="6" t="s">
        <v>92</v>
      </c>
      <c r="I675" s="6" t="s">
        <v>144</v>
      </c>
      <c r="J675" s="25">
        <v>1</v>
      </c>
      <c r="K675" s="21">
        <v>138.81</v>
      </c>
      <c r="L675" s="63">
        <v>0.15</v>
      </c>
      <c r="M675" s="21">
        <v>46.8</v>
      </c>
      <c r="N675" s="6" t="s">
        <v>94</v>
      </c>
      <c r="O675" s="60">
        <f>Vendas2025[[#This Row],[Quantidade]]*Vendas2025[[#This Row],[Preço_Unitário_R$]]</f>
        <v>138.81</v>
      </c>
      <c r="P675" s="60">
        <f>Vendas2025[[#This Row],[Receita_Bruta_R$]]*Vendas2025[[#This Row],[Desconto_pct]]</f>
        <v>20.8215</v>
      </c>
      <c r="Q675" s="60">
        <f t="shared" si="50"/>
        <v>117.9885</v>
      </c>
      <c r="R675" s="60">
        <f t="shared" si="51"/>
        <v>46.8</v>
      </c>
      <c r="S675" s="60">
        <f t="shared" si="52"/>
        <v>71.188500000000005</v>
      </c>
      <c r="T675" s="65">
        <f t="shared" si="53"/>
        <v>0.60335117405509864</v>
      </c>
    </row>
    <row r="676" spans="1:20">
      <c r="A676" s="41">
        <f t="shared" si="54"/>
        <v>10</v>
      </c>
      <c r="B676" s="6" t="s">
        <v>817</v>
      </c>
      <c r="C676" s="20">
        <v>45938</v>
      </c>
      <c r="D676" s="6" t="s">
        <v>118</v>
      </c>
      <c r="E676" s="6" t="s">
        <v>114</v>
      </c>
      <c r="F676" s="6" t="s">
        <v>90</v>
      </c>
      <c r="G676" s="6" t="s">
        <v>127</v>
      </c>
      <c r="H676" s="6" t="s">
        <v>99</v>
      </c>
      <c r="I676" s="6" t="s">
        <v>130</v>
      </c>
      <c r="J676" s="25">
        <v>1</v>
      </c>
      <c r="K676" s="21">
        <v>250.78</v>
      </c>
      <c r="L676" s="63">
        <v>0.2</v>
      </c>
      <c r="M676" s="21">
        <v>119.23</v>
      </c>
      <c r="N676" s="6" t="s">
        <v>94</v>
      </c>
      <c r="O676" s="60">
        <f>Vendas2025[[#This Row],[Quantidade]]*Vendas2025[[#This Row],[Preço_Unitário_R$]]</f>
        <v>250.78</v>
      </c>
      <c r="P676" s="60">
        <f>Vendas2025[[#This Row],[Receita_Bruta_R$]]*Vendas2025[[#This Row],[Desconto_pct]]</f>
        <v>50.156000000000006</v>
      </c>
      <c r="Q676" s="60">
        <f t="shared" si="50"/>
        <v>200.624</v>
      </c>
      <c r="R676" s="60">
        <f t="shared" si="51"/>
        <v>119.23</v>
      </c>
      <c r="S676" s="60">
        <f t="shared" si="52"/>
        <v>81.393999999999991</v>
      </c>
      <c r="T676" s="65">
        <f t="shared" si="53"/>
        <v>0.40570420288699255</v>
      </c>
    </row>
    <row r="677" spans="1:20">
      <c r="A677" s="41">
        <f t="shared" si="54"/>
        <v>10</v>
      </c>
      <c r="B677" s="6" t="s">
        <v>818</v>
      </c>
      <c r="C677" s="20">
        <v>45939</v>
      </c>
      <c r="D677" s="6" t="s">
        <v>102</v>
      </c>
      <c r="E677" s="6" t="s">
        <v>103</v>
      </c>
      <c r="F677" s="6" t="s">
        <v>104</v>
      </c>
      <c r="G677" s="6" t="s">
        <v>91</v>
      </c>
      <c r="H677" s="6" t="s">
        <v>124</v>
      </c>
      <c r="I677" s="6" t="s">
        <v>199</v>
      </c>
      <c r="J677" s="25">
        <v>3</v>
      </c>
      <c r="K677" s="21">
        <v>304.57</v>
      </c>
      <c r="L677" s="63">
        <v>0</v>
      </c>
      <c r="M677" s="21">
        <v>134.87</v>
      </c>
      <c r="N677" s="6" t="s">
        <v>94</v>
      </c>
      <c r="O677" s="60">
        <f>Vendas2025[[#This Row],[Quantidade]]*Vendas2025[[#This Row],[Preço_Unitário_R$]]</f>
        <v>913.71</v>
      </c>
      <c r="P677" s="60">
        <f>Vendas2025[[#This Row],[Receita_Bruta_R$]]*Vendas2025[[#This Row],[Desconto_pct]]</f>
        <v>0</v>
      </c>
      <c r="Q677" s="60">
        <f t="shared" si="50"/>
        <v>913.71</v>
      </c>
      <c r="R677" s="60">
        <f t="shared" si="51"/>
        <v>404.61</v>
      </c>
      <c r="S677" s="60">
        <f t="shared" si="52"/>
        <v>509.1</v>
      </c>
      <c r="T677" s="65">
        <f t="shared" si="53"/>
        <v>0.55717897363496072</v>
      </c>
    </row>
    <row r="678" spans="1:20">
      <c r="A678" s="41">
        <f t="shared" si="54"/>
        <v>10</v>
      </c>
      <c r="B678" s="6" t="s">
        <v>819</v>
      </c>
      <c r="C678" s="20">
        <v>45939</v>
      </c>
      <c r="D678" s="6" t="s">
        <v>88</v>
      </c>
      <c r="E678" s="6" t="s">
        <v>89</v>
      </c>
      <c r="F678" s="6" t="s">
        <v>90</v>
      </c>
      <c r="G678" s="6" t="s">
        <v>140</v>
      </c>
      <c r="H678" s="6" t="s">
        <v>92</v>
      </c>
      <c r="I678" s="6" t="s">
        <v>93</v>
      </c>
      <c r="J678" s="25">
        <v>1</v>
      </c>
      <c r="K678" s="21">
        <v>240.09</v>
      </c>
      <c r="L678" s="63">
        <v>0.05</v>
      </c>
      <c r="M678" s="21">
        <v>105.99</v>
      </c>
      <c r="N678" s="6" t="s">
        <v>94</v>
      </c>
      <c r="O678" s="60">
        <f>Vendas2025[[#This Row],[Quantidade]]*Vendas2025[[#This Row],[Preço_Unitário_R$]]</f>
        <v>240.09</v>
      </c>
      <c r="P678" s="60">
        <f>Vendas2025[[#This Row],[Receita_Bruta_R$]]*Vendas2025[[#This Row],[Desconto_pct]]</f>
        <v>12.0045</v>
      </c>
      <c r="Q678" s="60">
        <f t="shared" si="50"/>
        <v>228.0855</v>
      </c>
      <c r="R678" s="60">
        <f t="shared" si="51"/>
        <v>105.99</v>
      </c>
      <c r="S678" s="60">
        <f t="shared" si="52"/>
        <v>122.0955</v>
      </c>
      <c r="T678" s="65">
        <f t="shared" si="53"/>
        <v>0.53530583925764685</v>
      </c>
    </row>
    <row r="679" spans="1:20">
      <c r="A679" s="41">
        <f t="shared" si="54"/>
        <v>10</v>
      </c>
      <c r="B679" s="6" t="s">
        <v>820</v>
      </c>
      <c r="C679" s="20">
        <v>45939</v>
      </c>
      <c r="D679" s="6" t="s">
        <v>136</v>
      </c>
      <c r="E679" s="6" t="s">
        <v>137</v>
      </c>
      <c r="F679" s="6" t="s">
        <v>90</v>
      </c>
      <c r="G679" s="6" t="s">
        <v>140</v>
      </c>
      <c r="H679" s="6" t="s">
        <v>99</v>
      </c>
      <c r="I679" s="6" t="s">
        <v>158</v>
      </c>
      <c r="J679" s="25">
        <v>1</v>
      </c>
      <c r="K679" s="21">
        <v>180.54</v>
      </c>
      <c r="L679" s="63">
        <v>0.1</v>
      </c>
      <c r="M679" s="21">
        <v>79.88</v>
      </c>
      <c r="N679" s="6" t="s">
        <v>94</v>
      </c>
      <c r="O679" s="60">
        <f>Vendas2025[[#This Row],[Quantidade]]*Vendas2025[[#This Row],[Preço_Unitário_R$]]</f>
        <v>180.54</v>
      </c>
      <c r="P679" s="60">
        <f>Vendas2025[[#This Row],[Receita_Bruta_R$]]*Vendas2025[[#This Row],[Desconto_pct]]</f>
        <v>18.053999999999998</v>
      </c>
      <c r="Q679" s="60">
        <f t="shared" si="50"/>
        <v>162.48599999999999</v>
      </c>
      <c r="R679" s="60">
        <f t="shared" si="51"/>
        <v>79.88</v>
      </c>
      <c r="S679" s="60">
        <f t="shared" si="52"/>
        <v>82.605999999999995</v>
      </c>
      <c r="T679" s="65">
        <f t="shared" si="53"/>
        <v>0.5083884150019079</v>
      </c>
    </row>
    <row r="680" spans="1:20">
      <c r="A680" s="41">
        <f t="shared" si="54"/>
        <v>10</v>
      </c>
      <c r="B680" s="6" t="s">
        <v>821</v>
      </c>
      <c r="C680" s="20">
        <v>45940</v>
      </c>
      <c r="D680" s="6" t="s">
        <v>113</v>
      </c>
      <c r="E680" s="6" t="s">
        <v>114</v>
      </c>
      <c r="F680" s="6" t="s">
        <v>122</v>
      </c>
      <c r="G680" s="6" t="s">
        <v>177</v>
      </c>
      <c r="H680" s="6" t="s">
        <v>106</v>
      </c>
      <c r="I680" s="6" t="s">
        <v>116</v>
      </c>
      <c r="J680" s="25">
        <v>2</v>
      </c>
      <c r="K680" s="21">
        <v>425.81</v>
      </c>
      <c r="L680" s="63">
        <v>0.1</v>
      </c>
      <c r="M680" s="21">
        <v>234.58</v>
      </c>
      <c r="N680" s="6" t="s">
        <v>94</v>
      </c>
      <c r="O680" s="60">
        <f>Vendas2025[[#This Row],[Quantidade]]*Vendas2025[[#This Row],[Preço_Unitário_R$]]</f>
        <v>851.62</v>
      </c>
      <c r="P680" s="60">
        <f>Vendas2025[[#This Row],[Receita_Bruta_R$]]*Vendas2025[[#This Row],[Desconto_pct]]</f>
        <v>85.162000000000006</v>
      </c>
      <c r="Q680" s="60">
        <f t="shared" si="50"/>
        <v>766.45799999999997</v>
      </c>
      <c r="R680" s="60">
        <f t="shared" si="51"/>
        <v>469.16</v>
      </c>
      <c r="S680" s="60">
        <f t="shared" si="52"/>
        <v>297.29799999999994</v>
      </c>
      <c r="T680" s="65">
        <f t="shared" si="53"/>
        <v>0.3878855723340352</v>
      </c>
    </row>
    <row r="681" spans="1:20">
      <c r="A681" s="41">
        <f t="shared" si="54"/>
        <v>10</v>
      </c>
      <c r="B681" s="6" t="s">
        <v>822</v>
      </c>
      <c r="C681" s="20">
        <v>45940</v>
      </c>
      <c r="D681" s="6" t="s">
        <v>118</v>
      </c>
      <c r="E681" s="6" t="s">
        <v>114</v>
      </c>
      <c r="F681" s="6" t="s">
        <v>122</v>
      </c>
      <c r="G681" s="6" t="s">
        <v>160</v>
      </c>
      <c r="H681" s="6" t="s">
        <v>99</v>
      </c>
      <c r="I681" s="6" t="s">
        <v>173</v>
      </c>
      <c r="J681" s="25">
        <v>2</v>
      </c>
      <c r="K681" s="21">
        <v>4073.49</v>
      </c>
      <c r="L681" s="63">
        <v>0.1</v>
      </c>
      <c r="M681" s="21">
        <v>3137.5</v>
      </c>
      <c r="N681" s="6" t="s">
        <v>94</v>
      </c>
      <c r="O681" s="60">
        <f>Vendas2025[[#This Row],[Quantidade]]*Vendas2025[[#This Row],[Preço_Unitário_R$]]</f>
        <v>8146.98</v>
      </c>
      <c r="P681" s="60">
        <f>Vendas2025[[#This Row],[Receita_Bruta_R$]]*Vendas2025[[#This Row],[Desconto_pct]]</f>
        <v>814.69799999999998</v>
      </c>
      <c r="Q681" s="60">
        <f t="shared" si="50"/>
        <v>7332.2819999999992</v>
      </c>
      <c r="R681" s="60">
        <f t="shared" si="51"/>
        <v>6275</v>
      </c>
      <c r="S681" s="60">
        <f t="shared" si="52"/>
        <v>1057.2819999999992</v>
      </c>
      <c r="T681" s="65">
        <f t="shared" si="53"/>
        <v>0.1441954905716937</v>
      </c>
    </row>
    <row r="682" spans="1:20">
      <c r="A682" s="41">
        <f t="shared" si="54"/>
        <v>10</v>
      </c>
      <c r="B682" s="6" t="s">
        <v>823</v>
      </c>
      <c r="C682" s="20">
        <v>45941</v>
      </c>
      <c r="D682" s="6" t="s">
        <v>136</v>
      </c>
      <c r="E682" s="6" t="s">
        <v>137</v>
      </c>
      <c r="F682" s="6" t="s">
        <v>97</v>
      </c>
      <c r="G682" s="6" t="s">
        <v>127</v>
      </c>
      <c r="H682" s="6" t="s">
        <v>106</v>
      </c>
      <c r="I682" s="6" t="s">
        <v>170</v>
      </c>
      <c r="J682" s="25">
        <v>1</v>
      </c>
      <c r="K682" s="21">
        <v>495.84</v>
      </c>
      <c r="L682" s="63">
        <v>0</v>
      </c>
      <c r="M682" s="21">
        <v>254.4</v>
      </c>
      <c r="N682" s="6" t="s">
        <v>94</v>
      </c>
      <c r="O682" s="60">
        <f>Vendas2025[[#This Row],[Quantidade]]*Vendas2025[[#This Row],[Preço_Unitário_R$]]</f>
        <v>495.84</v>
      </c>
      <c r="P682" s="60">
        <f>Vendas2025[[#This Row],[Receita_Bruta_R$]]*Vendas2025[[#This Row],[Desconto_pct]]</f>
        <v>0</v>
      </c>
      <c r="Q682" s="60">
        <f t="shared" si="50"/>
        <v>495.84</v>
      </c>
      <c r="R682" s="60">
        <f t="shared" si="51"/>
        <v>254.4</v>
      </c>
      <c r="S682" s="60">
        <f t="shared" si="52"/>
        <v>241.43999999999997</v>
      </c>
      <c r="T682" s="65">
        <f t="shared" si="53"/>
        <v>0.48693126815101639</v>
      </c>
    </row>
    <row r="683" spans="1:20">
      <c r="A683" s="41">
        <f t="shared" si="54"/>
        <v>10</v>
      </c>
      <c r="B683" s="6" t="s">
        <v>824</v>
      </c>
      <c r="C683" s="20">
        <v>45941</v>
      </c>
      <c r="D683" s="6" t="s">
        <v>96</v>
      </c>
      <c r="E683" s="6" t="s">
        <v>89</v>
      </c>
      <c r="F683" s="6" t="s">
        <v>122</v>
      </c>
      <c r="G683" s="6" t="s">
        <v>154</v>
      </c>
      <c r="H683" s="6" t="s">
        <v>106</v>
      </c>
      <c r="I683" s="6" t="s">
        <v>107</v>
      </c>
      <c r="J683" s="25">
        <v>1</v>
      </c>
      <c r="K683" s="21">
        <v>679.53</v>
      </c>
      <c r="L683" s="63">
        <v>0.1</v>
      </c>
      <c r="M683" s="21">
        <v>389.57</v>
      </c>
      <c r="N683" s="6" t="s">
        <v>94</v>
      </c>
      <c r="O683" s="60">
        <f>Vendas2025[[#This Row],[Quantidade]]*Vendas2025[[#This Row],[Preço_Unitário_R$]]</f>
        <v>679.53</v>
      </c>
      <c r="P683" s="60">
        <f>Vendas2025[[#This Row],[Receita_Bruta_R$]]*Vendas2025[[#This Row],[Desconto_pct]]</f>
        <v>67.953000000000003</v>
      </c>
      <c r="Q683" s="60">
        <f t="shared" si="50"/>
        <v>611.577</v>
      </c>
      <c r="R683" s="60">
        <f t="shared" si="51"/>
        <v>389.57</v>
      </c>
      <c r="S683" s="60">
        <f t="shared" si="52"/>
        <v>222.00700000000001</v>
      </c>
      <c r="T683" s="65">
        <f t="shared" si="53"/>
        <v>0.36300743814760855</v>
      </c>
    </row>
    <row r="684" spans="1:20">
      <c r="A684" s="41">
        <f t="shared" si="54"/>
        <v>10</v>
      </c>
      <c r="B684" s="6" t="s">
        <v>825</v>
      </c>
      <c r="C684" s="20">
        <v>45941</v>
      </c>
      <c r="D684" s="6" t="s">
        <v>132</v>
      </c>
      <c r="E684" s="6" t="s">
        <v>89</v>
      </c>
      <c r="F684" s="6" t="s">
        <v>122</v>
      </c>
      <c r="G684" s="6" t="s">
        <v>98</v>
      </c>
      <c r="H684" s="6" t="s">
        <v>99</v>
      </c>
      <c r="I684" s="6" t="s">
        <v>100</v>
      </c>
      <c r="J684" s="25">
        <v>1</v>
      </c>
      <c r="K684" s="21">
        <v>408.14</v>
      </c>
      <c r="L684" s="63">
        <v>0.05</v>
      </c>
      <c r="M684" s="21">
        <v>238.15</v>
      </c>
      <c r="N684" s="6" t="s">
        <v>94</v>
      </c>
      <c r="O684" s="60">
        <f>Vendas2025[[#This Row],[Quantidade]]*Vendas2025[[#This Row],[Preço_Unitário_R$]]</f>
        <v>408.14</v>
      </c>
      <c r="P684" s="60">
        <f>Vendas2025[[#This Row],[Receita_Bruta_R$]]*Vendas2025[[#This Row],[Desconto_pct]]</f>
        <v>20.407</v>
      </c>
      <c r="Q684" s="60">
        <f t="shared" si="50"/>
        <v>387.733</v>
      </c>
      <c r="R684" s="60">
        <f t="shared" si="51"/>
        <v>238.15</v>
      </c>
      <c r="S684" s="60">
        <f t="shared" si="52"/>
        <v>149.583</v>
      </c>
      <c r="T684" s="65">
        <f t="shared" si="53"/>
        <v>0.38578867416495372</v>
      </c>
    </row>
    <row r="685" spans="1:20">
      <c r="A685" s="41">
        <f t="shared" si="54"/>
        <v>10</v>
      </c>
      <c r="B685" s="6" t="s">
        <v>826</v>
      </c>
      <c r="C685" s="20">
        <v>45942</v>
      </c>
      <c r="D685" s="6" t="s">
        <v>118</v>
      </c>
      <c r="E685" s="6" t="s">
        <v>114</v>
      </c>
      <c r="F685" s="6" t="s">
        <v>97</v>
      </c>
      <c r="G685" s="6" t="s">
        <v>123</v>
      </c>
      <c r="H685" s="6" t="s">
        <v>99</v>
      </c>
      <c r="I685" s="6" t="s">
        <v>100</v>
      </c>
      <c r="J685" s="25">
        <v>2</v>
      </c>
      <c r="K685" s="21">
        <v>409.38</v>
      </c>
      <c r="L685" s="63">
        <v>0.15</v>
      </c>
      <c r="M685" s="21">
        <v>230.86</v>
      </c>
      <c r="N685" s="6" t="s">
        <v>94</v>
      </c>
      <c r="O685" s="60">
        <f>Vendas2025[[#This Row],[Quantidade]]*Vendas2025[[#This Row],[Preço_Unitário_R$]]</f>
        <v>818.76</v>
      </c>
      <c r="P685" s="60">
        <f>Vendas2025[[#This Row],[Receita_Bruta_R$]]*Vendas2025[[#This Row],[Desconto_pct]]</f>
        <v>122.81399999999999</v>
      </c>
      <c r="Q685" s="60">
        <f t="shared" si="50"/>
        <v>695.94600000000003</v>
      </c>
      <c r="R685" s="60">
        <f t="shared" si="51"/>
        <v>461.72</v>
      </c>
      <c r="S685" s="60">
        <f t="shared" si="52"/>
        <v>234.226</v>
      </c>
      <c r="T685" s="65">
        <f t="shared" si="53"/>
        <v>0.33655772143240997</v>
      </c>
    </row>
    <row r="686" spans="1:20">
      <c r="A686" s="41">
        <f t="shared" si="54"/>
        <v>10</v>
      </c>
      <c r="B686" s="6" t="s">
        <v>827</v>
      </c>
      <c r="C686" s="20">
        <v>45942</v>
      </c>
      <c r="D686" s="6" t="s">
        <v>113</v>
      </c>
      <c r="E686" s="6" t="s">
        <v>114</v>
      </c>
      <c r="F686" s="6" t="s">
        <v>122</v>
      </c>
      <c r="G686" s="6" t="s">
        <v>151</v>
      </c>
      <c r="H686" s="6" t="s">
        <v>124</v>
      </c>
      <c r="I686" s="6" t="s">
        <v>125</v>
      </c>
      <c r="J686" s="25">
        <v>2</v>
      </c>
      <c r="K686" s="21">
        <v>749.66</v>
      </c>
      <c r="L686" s="63">
        <v>0.05</v>
      </c>
      <c r="M686" s="21">
        <v>355.12</v>
      </c>
      <c r="N686" s="6" t="s">
        <v>94</v>
      </c>
      <c r="O686" s="60">
        <f>Vendas2025[[#This Row],[Quantidade]]*Vendas2025[[#This Row],[Preço_Unitário_R$]]</f>
        <v>1499.32</v>
      </c>
      <c r="P686" s="60">
        <f>Vendas2025[[#This Row],[Receita_Bruta_R$]]*Vendas2025[[#This Row],[Desconto_pct]]</f>
        <v>74.965999999999994</v>
      </c>
      <c r="Q686" s="60">
        <f t="shared" si="50"/>
        <v>1424.354</v>
      </c>
      <c r="R686" s="60">
        <f t="shared" si="51"/>
        <v>710.24</v>
      </c>
      <c r="S686" s="60">
        <f t="shared" si="52"/>
        <v>714.11400000000003</v>
      </c>
      <c r="T686" s="65">
        <f t="shared" si="53"/>
        <v>0.50135991474029629</v>
      </c>
    </row>
    <row r="687" spans="1:20">
      <c r="A687" s="41">
        <f t="shared" si="54"/>
        <v>10</v>
      </c>
      <c r="B687" s="6" t="s">
        <v>828</v>
      </c>
      <c r="C687" s="20">
        <v>45942</v>
      </c>
      <c r="D687" s="6" t="s">
        <v>88</v>
      </c>
      <c r="E687" s="6" t="s">
        <v>89</v>
      </c>
      <c r="F687" s="6" t="s">
        <v>90</v>
      </c>
      <c r="G687" s="6" t="s">
        <v>115</v>
      </c>
      <c r="H687" s="6" t="s">
        <v>124</v>
      </c>
      <c r="I687" s="6" t="s">
        <v>125</v>
      </c>
      <c r="J687" s="25">
        <v>1</v>
      </c>
      <c r="K687" s="21">
        <v>730.47</v>
      </c>
      <c r="L687" s="63">
        <v>0.15</v>
      </c>
      <c r="M687" s="21">
        <v>361.89</v>
      </c>
      <c r="N687" s="6" t="s">
        <v>94</v>
      </c>
      <c r="O687" s="60">
        <f>Vendas2025[[#This Row],[Quantidade]]*Vendas2025[[#This Row],[Preço_Unitário_R$]]</f>
        <v>730.47</v>
      </c>
      <c r="P687" s="60">
        <f>Vendas2025[[#This Row],[Receita_Bruta_R$]]*Vendas2025[[#This Row],[Desconto_pct]]</f>
        <v>109.5705</v>
      </c>
      <c r="Q687" s="60">
        <f t="shared" si="50"/>
        <v>620.89949999999999</v>
      </c>
      <c r="R687" s="60">
        <f t="shared" si="51"/>
        <v>361.89</v>
      </c>
      <c r="S687" s="60">
        <f t="shared" si="52"/>
        <v>259.0095</v>
      </c>
      <c r="T687" s="65">
        <f t="shared" si="53"/>
        <v>0.41715205117736448</v>
      </c>
    </row>
    <row r="688" spans="1:20">
      <c r="A688" s="41">
        <f t="shared" si="54"/>
        <v>10</v>
      </c>
      <c r="B688" s="6" t="s">
        <v>829</v>
      </c>
      <c r="C688" s="20">
        <v>45943</v>
      </c>
      <c r="D688" s="6" t="s">
        <v>132</v>
      </c>
      <c r="E688" s="6" t="s">
        <v>89</v>
      </c>
      <c r="F688" s="6" t="s">
        <v>90</v>
      </c>
      <c r="G688" s="6" t="s">
        <v>110</v>
      </c>
      <c r="H688" s="6" t="s">
        <v>106</v>
      </c>
      <c r="I688" s="6" t="s">
        <v>111</v>
      </c>
      <c r="J688" s="25">
        <v>1</v>
      </c>
      <c r="K688" s="21">
        <v>301.99</v>
      </c>
      <c r="L688" s="63">
        <v>0.15</v>
      </c>
      <c r="M688" s="21">
        <v>132.62</v>
      </c>
      <c r="N688" s="6" t="s">
        <v>94</v>
      </c>
      <c r="O688" s="60">
        <f>Vendas2025[[#This Row],[Quantidade]]*Vendas2025[[#This Row],[Preço_Unitário_R$]]</f>
        <v>301.99</v>
      </c>
      <c r="P688" s="60">
        <f>Vendas2025[[#This Row],[Receita_Bruta_R$]]*Vendas2025[[#This Row],[Desconto_pct]]</f>
        <v>45.298499999999997</v>
      </c>
      <c r="Q688" s="60">
        <f t="shared" si="50"/>
        <v>256.69150000000002</v>
      </c>
      <c r="R688" s="60">
        <f t="shared" si="51"/>
        <v>132.62</v>
      </c>
      <c r="S688" s="60">
        <f t="shared" si="52"/>
        <v>124.07150000000001</v>
      </c>
      <c r="T688" s="65">
        <f t="shared" si="53"/>
        <v>0.48334868899048083</v>
      </c>
    </row>
    <row r="689" spans="1:20">
      <c r="A689" s="41">
        <f t="shared" si="54"/>
        <v>10</v>
      </c>
      <c r="B689" s="6" t="s">
        <v>830</v>
      </c>
      <c r="C689" s="20">
        <v>45943</v>
      </c>
      <c r="D689" s="6" t="s">
        <v>118</v>
      </c>
      <c r="E689" s="6" t="s">
        <v>114</v>
      </c>
      <c r="F689" s="6" t="s">
        <v>97</v>
      </c>
      <c r="G689" s="6" t="s">
        <v>105</v>
      </c>
      <c r="H689" s="6" t="s">
        <v>106</v>
      </c>
      <c r="I689" s="6" t="s">
        <v>116</v>
      </c>
      <c r="J689" s="25">
        <v>1</v>
      </c>
      <c r="K689" s="21">
        <v>449.92</v>
      </c>
      <c r="L689" s="63">
        <v>0.15</v>
      </c>
      <c r="M689" s="21">
        <v>238.05</v>
      </c>
      <c r="N689" s="6" t="s">
        <v>94</v>
      </c>
      <c r="O689" s="60">
        <f>Vendas2025[[#This Row],[Quantidade]]*Vendas2025[[#This Row],[Preço_Unitário_R$]]</f>
        <v>449.92</v>
      </c>
      <c r="P689" s="60">
        <f>Vendas2025[[#This Row],[Receita_Bruta_R$]]*Vendas2025[[#This Row],[Desconto_pct]]</f>
        <v>67.488</v>
      </c>
      <c r="Q689" s="60">
        <f t="shared" si="50"/>
        <v>382.43200000000002</v>
      </c>
      <c r="R689" s="60">
        <f t="shared" si="51"/>
        <v>238.05</v>
      </c>
      <c r="S689" s="60">
        <f t="shared" si="52"/>
        <v>144.38200000000001</v>
      </c>
      <c r="T689" s="65">
        <f t="shared" si="53"/>
        <v>0.37753639862772992</v>
      </c>
    </row>
    <row r="690" spans="1:20">
      <c r="A690" s="41">
        <f t="shared" si="54"/>
        <v>10</v>
      </c>
      <c r="B690" s="6" t="s">
        <v>831</v>
      </c>
      <c r="C690" s="20">
        <v>45943</v>
      </c>
      <c r="D690" s="6" t="s">
        <v>132</v>
      </c>
      <c r="E690" s="6" t="s">
        <v>89</v>
      </c>
      <c r="F690" s="6" t="s">
        <v>90</v>
      </c>
      <c r="G690" s="6" t="s">
        <v>127</v>
      </c>
      <c r="H690" s="6" t="s">
        <v>99</v>
      </c>
      <c r="I690" s="6" t="s">
        <v>130</v>
      </c>
      <c r="J690" s="25">
        <v>2</v>
      </c>
      <c r="K690" s="21">
        <v>256.36</v>
      </c>
      <c r="L690" s="63">
        <v>0.25</v>
      </c>
      <c r="M690" s="21">
        <v>120.03</v>
      </c>
      <c r="N690" s="6" t="s">
        <v>94</v>
      </c>
      <c r="O690" s="60">
        <f>Vendas2025[[#This Row],[Quantidade]]*Vendas2025[[#This Row],[Preço_Unitário_R$]]</f>
        <v>512.72</v>
      </c>
      <c r="P690" s="60">
        <f>Vendas2025[[#This Row],[Receita_Bruta_R$]]*Vendas2025[[#This Row],[Desconto_pct]]</f>
        <v>128.18</v>
      </c>
      <c r="Q690" s="60">
        <f t="shared" si="50"/>
        <v>384.54</v>
      </c>
      <c r="R690" s="60">
        <f t="shared" si="51"/>
        <v>240.06</v>
      </c>
      <c r="S690" s="60">
        <f t="shared" si="52"/>
        <v>144.48000000000002</v>
      </c>
      <c r="T690" s="65">
        <f t="shared" si="53"/>
        <v>0.3757216414417226</v>
      </c>
    </row>
    <row r="691" spans="1:20">
      <c r="A691" s="41">
        <f t="shared" si="54"/>
        <v>10</v>
      </c>
      <c r="B691" s="6" t="s">
        <v>832</v>
      </c>
      <c r="C691" s="20">
        <v>45943</v>
      </c>
      <c r="D691" s="6" t="s">
        <v>118</v>
      </c>
      <c r="E691" s="6" t="s">
        <v>114</v>
      </c>
      <c r="F691" s="6" t="s">
        <v>97</v>
      </c>
      <c r="G691" s="6" t="s">
        <v>177</v>
      </c>
      <c r="H691" s="6" t="s">
        <v>99</v>
      </c>
      <c r="I691" s="6" t="s">
        <v>100</v>
      </c>
      <c r="J691" s="25">
        <v>1</v>
      </c>
      <c r="K691" s="21">
        <v>394.63</v>
      </c>
      <c r="L691" s="63">
        <v>0.05</v>
      </c>
      <c r="M691" s="21">
        <v>234.89</v>
      </c>
      <c r="N691" s="6" t="s">
        <v>94</v>
      </c>
      <c r="O691" s="60">
        <f>Vendas2025[[#This Row],[Quantidade]]*Vendas2025[[#This Row],[Preço_Unitário_R$]]</f>
        <v>394.63</v>
      </c>
      <c r="P691" s="60">
        <f>Vendas2025[[#This Row],[Receita_Bruta_R$]]*Vendas2025[[#This Row],[Desconto_pct]]</f>
        <v>19.7315</v>
      </c>
      <c r="Q691" s="60">
        <f t="shared" si="50"/>
        <v>374.89850000000001</v>
      </c>
      <c r="R691" s="60">
        <f t="shared" si="51"/>
        <v>234.89</v>
      </c>
      <c r="S691" s="60">
        <f t="shared" si="52"/>
        <v>140.00850000000003</v>
      </c>
      <c r="T691" s="65">
        <f t="shared" si="53"/>
        <v>0.3734570823836319</v>
      </c>
    </row>
    <row r="692" spans="1:20">
      <c r="A692" s="41">
        <f t="shared" si="54"/>
        <v>10</v>
      </c>
      <c r="B692" s="6" t="s">
        <v>833</v>
      </c>
      <c r="C692" s="20">
        <v>45944</v>
      </c>
      <c r="D692" s="6" t="s">
        <v>136</v>
      </c>
      <c r="E692" s="6" t="s">
        <v>137</v>
      </c>
      <c r="F692" s="6" t="s">
        <v>97</v>
      </c>
      <c r="G692" s="6" t="s">
        <v>140</v>
      </c>
      <c r="H692" s="6" t="s">
        <v>106</v>
      </c>
      <c r="I692" s="6" t="s">
        <v>116</v>
      </c>
      <c r="J692" s="25">
        <v>2</v>
      </c>
      <c r="K692" s="21">
        <v>483.21</v>
      </c>
      <c r="L692" s="63">
        <v>0.15</v>
      </c>
      <c r="M692" s="21">
        <v>271.27999999999997</v>
      </c>
      <c r="N692" s="6" t="s">
        <v>94</v>
      </c>
      <c r="O692" s="60">
        <f>Vendas2025[[#This Row],[Quantidade]]*Vendas2025[[#This Row],[Preço_Unitário_R$]]</f>
        <v>966.42</v>
      </c>
      <c r="P692" s="60">
        <f>Vendas2025[[#This Row],[Receita_Bruta_R$]]*Vendas2025[[#This Row],[Desconto_pct]]</f>
        <v>144.96299999999999</v>
      </c>
      <c r="Q692" s="60">
        <f t="shared" si="50"/>
        <v>821.45699999999999</v>
      </c>
      <c r="R692" s="60">
        <f t="shared" si="51"/>
        <v>542.55999999999995</v>
      </c>
      <c r="S692" s="60">
        <f t="shared" si="52"/>
        <v>278.89700000000005</v>
      </c>
      <c r="T692" s="65">
        <f t="shared" si="53"/>
        <v>0.33951503243626879</v>
      </c>
    </row>
    <row r="693" spans="1:20">
      <c r="A693" s="41">
        <f t="shared" si="54"/>
        <v>10</v>
      </c>
      <c r="B693" s="6" t="s">
        <v>834</v>
      </c>
      <c r="C693" s="20">
        <v>45944</v>
      </c>
      <c r="D693" s="6" t="s">
        <v>132</v>
      </c>
      <c r="E693" s="6" t="s">
        <v>89</v>
      </c>
      <c r="F693" s="6" t="s">
        <v>97</v>
      </c>
      <c r="G693" s="6" t="s">
        <v>140</v>
      </c>
      <c r="H693" s="6" t="s">
        <v>92</v>
      </c>
      <c r="I693" s="6" t="s">
        <v>144</v>
      </c>
      <c r="J693" s="25">
        <v>1</v>
      </c>
      <c r="K693" s="21">
        <v>160.91</v>
      </c>
      <c r="L693" s="63">
        <v>0.1</v>
      </c>
      <c r="M693" s="21">
        <v>55.19</v>
      </c>
      <c r="N693" s="6" t="s">
        <v>94</v>
      </c>
      <c r="O693" s="60">
        <f>Vendas2025[[#This Row],[Quantidade]]*Vendas2025[[#This Row],[Preço_Unitário_R$]]</f>
        <v>160.91</v>
      </c>
      <c r="P693" s="60">
        <f>Vendas2025[[#This Row],[Receita_Bruta_R$]]*Vendas2025[[#This Row],[Desconto_pct]]</f>
        <v>16.091000000000001</v>
      </c>
      <c r="Q693" s="60">
        <f t="shared" si="50"/>
        <v>144.81899999999999</v>
      </c>
      <c r="R693" s="60">
        <f t="shared" si="51"/>
        <v>55.19</v>
      </c>
      <c r="S693" s="60">
        <f t="shared" si="52"/>
        <v>89.628999999999991</v>
      </c>
      <c r="T693" s="65">
        <f t="shared" si="53"/>
        <v>0.61890359690372121</v>
      </c>
    </row>
    <row r="694" spans="1:20">
      <c r="A694" s="41">
        <f t="shared" si="54"/>
        <v>10</v>
      </c>
      <c r="B694" s="6" t="s">
        <v>835</v>
      </c>
      <c r="C694" s="20">
        <v>45945</v>
      </c>
      <c r="D694" s="6" t="s">
        <v>118</v>
      </c>
      <c r="E694" s="6" t="s">
        <v>114</v>
      </c>
      <c r="F694" s="6" t="s">
        <v>104</v>
      </c>
      <c r="G694" s="6" t="s">
        <v>91</v>
      </c>
      <c r="H694" s="6" t="s">
        <v>99</v>
      </c>
      <c r="I694" s="6" t="s">
        <v>163</v>
      </c>
      <c r="J694" s="25">
        <v>2</v>
      </c>
      <c r="K694" s="21">
        <v>1241.27</v>
      </c>
      <c r="L694" s="63">
        <v>0.12</v>
      </c>
      <c r="M694" s="21">
        <v>900.91</v>
      </c>
      <c r="N694" s="6" t="s">
        <v>94</v>
      </c>
      <c r="O694" s="60">
        <f>Vendas2025[[#This Row],[Quantidade]]*Vendas2025[[#This Row],[Preço_Unitário_R$]]</f>
        <v>2482.54</v>
      </c>
      <c r="P694" s="60">
        <f>Vendas2025[[#This Row],[Receita_Bruta_R$]]*Vendas2025[[#This Row],[Desconto_pct]]</f>
        <v>297.90479999999997</v>
      </c>
      <c r="Q694" s="60">
        <f t="shared" si="50"/>
        <v>2184.6352000000002</v>
      </c>
      <c r="R694" s="60">
        <f t="shared" si="51"/>
        <v>1801.82</v>
      </c>
      <c r="S694" s="60">
        <f t="shared" si="52"/>
        <v>382.81520000000023</v>
      </c>
      <c r="T694" s="65">
        <f t="shared" si="53"/>
        <v>0.17523072044247945</v>
      </c>
    </row>
    <row r="695" spans="1:20">
      <c r="A695" s="41">
        <f t="shared" si="54"/>
        <v>10</v>
      </c>
      <c r="B695" s="6" t="s">
        <v>836</v>
      </c>
      <c r="C695" s="20">
        <v>45946</v>
      </c>
      <c r="D695" s="6" t="s">
        <v>88</v>
      </c>
      <c r="E695" s="6" t="s">
        <v>89</v>
      </c>
      <c r="F695" s="6" t="s">
        <v>90</v>
      </c>
      <c r="G695" s="6" t="s">
        <v>98</v>
      </c>
      <c r="H695" s="6" t="s">
        <v>92</v>
      </c>
      <c r="I695" s="6" t="s">
        <v>93</v>
      </c>
      <c r="J695" s="25">
        <v>2</v>
      </c>
      <c r="K695" s="21">
        <v>250.04</v>
      </c>
      <c r="L695" s="63">
        <v>0.05</v>
      </c>
      <c r="M695" s="21">
        <v>108.64</v>
      </c>
      <c r="N695" s="6" t="s">
        <v>94</v>
      </c>
      <c r="O695" s="60">
        <f>Vendas2025[[#This Row],[Quantidade]]*Vendas2025[[#This Row],[Preço_Unitário_R$]]</f>
        <v>500.08</v>
      </c>
      <c r="P695" s="60">
        <f>Vendas2025[[#This Row],[Receita_Bruta_R$]]*Vendas2025[[#This Row],[Desconto_pct]]</f>
        <v>25.004000000000001</v>
      </c>
      <c r="Q695" s="60">
        <f t="shared" si="50"/>
        <v>475.07599999999996</v>
      </c>
      <c r="R695" s="60">
        <f t="shared" si="51"/>
        <v>217.28</v>
      </c>
      <c r="S695" s="60">
        <f t="shared" si="52"/>
        <v>257.79599999999994</v>
      </c>
      <c r="T695" s="65">
        <f t="shared" si="53"/>
        <v>0.54264159839688797</v>
      </c>
    </row>
    <row r="696" spans="1:20">
      <c r="A696" s="41">
        <f t="shared" si="54"/>
        <v>10</v>
      </c>
      <c r="B696" s="6" t="s">
        <v>837</v>
      </c>
      <c r="C696" s="20">
        <v>45946</v>
      </c>
      <c r="D696" s="6" t="s">
        <v>113</v>
      </c>
      <c r="E696" s="6" t="s">
        <v>114</v>
      </c>
      <c r="F696" s="6" t="s">
        <v>97</v>
      </c>
      <c r="G696" s="6" t="s">
        <v>127</v>
      </c>
      <c r="H696" s="6" t="s">
        <v>99</v>
      </c>
      <c r="I696" s="6" t="s">
        <v>163</v>
      </c>
      <c r="J696" s="25">
        <v>1</v>
      </c>
      <c r="K696" s="21">
        <v>1373.19</v>
      </c>
      <c r="L696" s="63">
        <v>0.05</v>
      </c>
      <c r="M696" s="21">
        <v>952.5</v>
      </c>
      <c r="N696" s="6" t="s">
        <v>94</v>
      </c>
      <c r="O696" s="60">
        <f>Vendas2025[[#This Row],[Quantidade]]*Vendas2025[[#This Row],[Preço_Unitário_R$]]</f>
        <v>1373.19</v>
      </c>
      <c r="P696" s="60">
        <f>Vendas2025[[#This Row],[Receita_Bruta_R$]]*Vendas2025[[#This Row],[Desconto_pct]]</f>
        <v>68.659500000000008</v>
      </c>
      <c r="Q696" s="60">
        <f t="shared" si="50"/>
        <v>1304.5305000000001</v>
      </c>
      <c r="R696" s="60">
        <f t="shared" si="51"/>
        <v>952.5</v>
      </c>
      <c r="S696" s="60">
        <f t="shared" si="52"/>
        <v>352.03050000000007</v>
      </c>
      <c r="T696" s="65">
        <f t="shared" si="53"/>
        <v>0.2698522571913804</v>
      </c>
    </row>
    <row r="697" spans="1:20">
      <c r="A697" s="41">
        <f t="shared" si="54"/>
        <v>10</v>
      </c>
      <c r="B697" s="6" t="s">
        <v>838</v>
      </c>
      <c r="C697" s="20">
        <v>45946</v>
      </c>
      <c r="D697" s="6" t="s">
        <v>136</v>
      </c>
      <c r="E697" s="6" t="s">
        <v>137</v>
      </c>
      <c r="F697" s="6" t="s">
        <v>97</v>
      </c>
      <c r="G697" s="6" t="s">
        <v>177</v>
      </c>
      <c r="H697" s="6" t="s">
        <v>106</v>
      </c>
      <c r="I697" s="6" t="s">
        <v>111</v>
      </c>
      <c r="J697" s="25">
        <v>2</v>
      </c>
      <c r="K697" s="21">
        <v>269.97000000000003</v>
      </c>
      <c r="L697" s="63">
        <v>0.1</v>
      </c>
      <c r="M697" s="21">
        <v>115.51</v>
      </c>
      <c r="N697" s="6" t="s">
        <v>94</v>
      </c>
      <c r="O697" s="60">
        <f>Vendas2025[[#This Row],[Quantidade]]*Vendas2025[[#This Row],[Preço_Unitário_R$]]</f>
        <v>539.94000000000005</v>
      </c>
      <c r="P697" s="60">
        <f>Vendas2025[[#This Row],[Receita_Bruta_R$]]*Vendas2025[[#This Row],[Desconto_pct]]</f>
        <v>53.994000000000007</v>
      </c>
      <c r="Q697" s="60">
        <f t="shared" si="50"/>
        <v>485.94600000000003</v>
      </c>
      <c r="R697" s="60">
        <f t="shared" si="51"/>
        <v>231.02</v>
      </c>
      <c r="S697" s="60">
        <f t="shared" si="52"/>
        <v>254.92600000000002</v>
      </c>
      <c r="T697" s="65">
        <f t="shared" si="53"/>
        <v>0.52459738324834448</v>
      </c>
    </row>
    <row r="698" spans="1:20">
      <c r="A698" s="41">
        <f t="shared" si="54"/>
        <v>10</v>
      </c>
      <c r="B698" s="6" t="s">
        <v>839</v>
      </c>
      <c r="C698" s="20">
        <v>45947</v>
      </c>
      <c r="D698" s="6" t="s">
        <v>136</v>
      </c>
      <c r="E698" s="6" t="s">
        <v>137</v>
      </c>
      <c r="F698" s="6" t="s">
        <v>122</v>
      </c>
      <c r="G698" s="6" t="s">
        <v>154</v>
      </c>
      <c r="H698" s="6" t="s">
        <v>106</v>
      </c>
      <c r="I698" s="6" t="s">
        <v>116</v>
      </c>
      <c r="J698" s="25">
        <v>1</v>
      </c>
      <c r="K698" s="21">
        <v>433.48</v>
      </c>
      <c r="L698" s="63">
        <v>0.15</v>
      </c>
      <c r="M698" s="21">
        <v>230.62</v>
      </c>
      <c r="N698" s="6" t="s">
        <v>94</v>
      </c>
      <c r="O698" s="60">
        <f>Vendas2025[[#This Row],[Quantidade]]*Vendas2025[[#This Row],[Preço_Unitário_R$]]</f>
        <v>433.48</v>
      </c>
      <c r="P698" s="60">
        <f>Vendas2025[[#This Row],[Receita_Bruta_R$]]*Vendas2025[[#This Row],[Desconto_pct]]</f>
        <v>65.022000000000006</v>
      </c>
      <c r="Q698" s="60">
        <f t="shared" si="50"/>
        <v>368.45800000000003</v>
      </c>
      <c r="R698" s="60">
        <f t="shared" si="51"/>
        <v>230.62</v>
      </c>
      <c r="S698" s="60">
        <f t="shared" si="52"/>
        <v>137.83800000000002</v>
      </c>
      <c r="T698" s="65">
        <f t="shared" si="53"/>
        <v>0.37409419798185956</v>
      </c>
    </row>
    <row r="699" spans="1:20">
      <c r="A699" s="41">
        <f t="shared" si="54"/>
        <v>10</v>
      </c>
      <c r="B699" s="6" t="s">
        <v>840</v>
      </c>
      <c r="C699" s="20">
        <v>45947</v>
      </c>
      <c r="D699" s="6" t="s">
        <v>129</v>
      </c>
      <c r="E699" s="6" t="s">
        <v>103</v>
      </c>
      <c r="F699" s="6" t="s">
        <v>122</v>
      </c>
      <c r="G699" s="6" t="s">
        <v>177</v>
      </c>
      <c r="H699" s="6" t="s">
        <v>124</v>
      </c>
      <c r="I699" s="6" t="s">
        <v>125</v>
      </c>
      <c r="J699" s="25">
        <v>1</v>
      </c>
      <c r="K699" s="21">
        <v>716.12</v>
      </c>
      <c r="L699" s="63">
        <v>0.2</v>
      </c>
      <c r="M699" s="21">
        <v>338.17</v>
      </c>
      <c r="N699" s="6" t="s">
        <v>94</v>
      </c>
      <c r="O699" s="60">
        <f>Vendas2025[[#This Row],[Quantidade]]*Vendas2025[[#This Row],[Preço_Unitário_R$]]</f>
        <v>716.12</v>
      </c>
      <c r="P699" s="60">
        <f>Vendas2025[[#This Row],[Receita_Bruta_R$]]*Vendas2025[[#This Row],[Desconto_pct]]</f>
        <v>143.22400000000002</v>
      </c>
      <c r="Q699" s="60">
        <f t="shared" si="50"/>
        <v>572.89599999999996</v>
      </c>
      <c r="R699" s="60">
        <f t="shared" si="51"/>
        <v>338.17</v>
      </c>
      <c r="S699" s="60">
        <f t="shared" si="52"/>
        <v>234.72599999999994</v>
      </c>
      <c r="T699" s="65">
        <f t="shared" si="53"/>
        <v>0.40971834329441986</v>
      </c>
    </row>
    <row r="700" spans="1:20">
      <c r="A700" s="41">
        <f t="shared" si="54"/>
        <v>10</v>
      </c>
      <c r="B700" s="6" t="s">
        <v>841</v>
      </c>
      <c r="C700" s="20">
        <v>45947</v>
      </c>
      <c r="D700" s="6" t="s">
        <v>129</v>
      </c>
      <c r="E700" s="6" t="s">
        <v>103</v>
      </c>
      <c r="F700" s="6" t="s">
        <v>97</v>
      </c>
      <c r="G700" s="6" t="s">
        <v>177</v>
      </c>
      <c r="H700" s="6" t="s">
        <v>99</v>
      </c>
      <c r="I700" s="6" t="s">
        <v>163</v>
      </c>
      <c r="J700" s="25">
        <v>1</v>
      </c>
      <c r="K700" s="21">
        <v>1320.7</v>
      </c>
      <c r="L700" s="63">
        <v>0.15</v>
      </c>
      <c r="M700" s="21">
        <v>899.8</v>
      </c>
      <c r="N700" s="6" t="s">
        <v>94</v>
      </c>
      <c r="O700" s="60">
        <f>Vendas2025[[#This Row],[Quantidade]]*Vendas2025[[#This Row],[Preço_Unitário_R$]]</f>
        <v>1320.7</v>
      </c>
      <c r="P700" s="60">
        <f>Vendas2025[[#This Row],[Receita_Bruta_R$]]*Vendas2025[[#This Row],[Desconto_pct]]</f>
        <v>198.10499999999999</v>
      </c>
      <c r="Q700" s="60">
        <f t="shared" si="50"/>
        <v>1122.595</v>
      </c>
      <c r="R700" s="60">
        <f t="shared" si="51"/>
        <v>899.8</v>
      </c>
      <c r="S700" s="60">
        <f t="shared" si="52"/>
        <v>222.79500000000007</v>
      </c>
      <c r="T700" s="65">
        <f t="shared" si="53"/>
        <v>0.1984642725114579</v>
      </c>
    </row>
    <row r="701" spans="1:20">
      <c r="A701" s="41">
        <f t="shared" si="54"/>
        <v>10</v>
      </c>
      <c r="B701" s="6" t="s">
        <v>842</v>
      </c>
      <c r="C701" s="20">
        <v>45948</v>
      </c>
      <c r="D701" s="6" t="s">
        <v>136</v>
      </c>
      <c r="E701" s="6" t="s">
        <v>137</v>
      </c>
      <c r="F701" s="6" t="s">
        <v>97</v>
      </c>
      <c r="G701" s="6" t="s">
        <v>110</v>
      </c>
      <c r="H701" s="6" t="s">
        <v>106</v>
      </c>
      <c r="I701" s="6" t="s">
        <v>107</v>
      </c>
      <c r="J701" s="25">
        <v>1</v>
      </c>
      <c r="K701" s="21">
        <v>738.36</v>
      </c>
      <c r="L701" s="63">
        <v>0.1</v>
      </c>
      <c r="M701" s="21">
        <v>415.05</v>
      </c>
      <c r="N701" s="6" t="s">
        <v>94</v>
      </c>
      <c r="O701" s="60">
        <f>Vendas2025[[#This Row],[Quantidade]]*Vendas2025[[#This Row],[Preço_Unitário_R$]]</f>
        <v>738.36</v>
      </c>
      <c r="P701" s="60">
        <f>Vendas2025[[#This Row],[Receita_Bruta_R$]]*Vendas2025[[#This Row],[Desconto_pct]]</f>
        <v>73.835999999999999</v>
      </c>
      <c r="Q701" s="60">
        <f t="shared" si="50"/>
        <v>664.524</v>
      </c>
      <c r="R701" s="60">
        <f t="shared" si="51"/>
        <v>415.05</v>
      </c>
      <c r="S701" s="60">
        <f t="shared" si="52"/>
        <v>249.47399999999999</v>
      </c>
      <c r="T701" s="65">
        <f t="shared" si="53"/>
        <v>0.37541759214114162</v>
      </c>
    </row>
    <row r="702" spans="1:20">
      <c r="A702" s="41">
        <f t="shared" si="54"/>
        <v>10</v>
      </c>
      <c r="B702" s="6" t="s">
        <v>843</v>
      </c>
      <c r="C702" s="20">
        <v>45948</v>
      </c>
      <c r="D702" s="6" t="s">
        <v>96</v>
      </c>
      <c r="E702" s="6" t="s">
        <v>89</v>
      </c>
      <c r="F702" s="6" t="s">
        <v>90</v>
      </c>
      <c r="G702" s="6" t="s">
        <v>105</v>
      </c>
      <c r="H702" s="6" t="s">
        <v>124</v>
      </c>
      <c r="I702" s="6" t="s">
        <v>125</v>
      </c>
      <c r="J702" s="25">
        <v>1</v>
      </c>
      <c r="K702" s="21">
        <v>731.76</v>
      </c>
      <c r="L702" s="63">
        <v>0.25</v>
      </c>
      <c r="M702" s="21">
        <v>341.66</v>
      </c>
      <c r="N702" s="6" t="s">
        <v>94</v>
      </c>
      <c r="O702" s="60">
        <f>Vendas2025[[#This Row],[Quantidade]]*Vendas2025[[#This Row],[Preço_Unitário_R$]]</f>
        <v>731.76</v>
      </c>
      <c r="P702" s="60">
        <f>Vendas2025[[#This Row],[Receita_Bruta_R$]]*Vendas2025[[#This Row],[Desconto_pct]]</f>
        <v>182.94</v>
      </c>
      <c r="Q702" s="60">
        <f t="shared" si="50"/>
        <v>548.81999999999994</v>
      </c>
      <c r="R702" s="60">
        <f t="shared" si="51"/>
        <v>341.66</v>
      </c>
      <c r="S702" s="60">
        <f t="shared" si="52"/>
        <v>207.15999999999991</v>
      </c>
      <c r="T702" s="65">
        <f t="shared" si="53"/>
        <v>0.37746437812033079</v>
      </c>
    </row>
    <row r="703" spans="1:20">
      <c r="A703" s="41">
        <f t="shared" si="54"/>
        <v>10</v>
      </c>
      <c r="B703" s="6" t="s">
        <v>844</v>
      </c>
      <c r="C703" s="20">
        <v>45949</v>
      </c>
      <c r="D703" s="6" t="s">
        <v>136</v>
      </c>
      <c r="E703" s="6" t="s">
        <v>137</v>
      </c>
      <c r="F703" s="6" t="s">
        <v>97</v>
      </c>
      <c r="G703" s="6" t="s">
        <v>110</v>
      </c>
      <c r="H703" s="6" t="s">
        <v>106</v>
      </c>
      <c r="I703" s="6" t="s">
        <v>170</v>
      </c>
      <c r="J703" s="25">
        <v>2</v>
      </c>
      <c r="K703" s="21">
        <v>517.78</v>
      </c>
      <c r="L703" s="63">
        <v>0.15</v>
      </c>
      <c r="M703" s="21">
        <v>265.12</v>
      </c>
      <c r="N703" s="6" t="s">
        <v>94</v>
      </c>
      <c r="O703" s="60">
        <f>Vendas2025[[#This Row],[Quantidade]]*Vendas2025[[#This Row],[Preço_Unitário_R$]]</f>
        <v>1035.56</v>
      </c>
      <c r="P703" s="60">
        <f>Vendas2025[[#This Row],[Receita_Bruta_R$]]*Vendas2025[[#This Row],[Desconto_pct]]</f>
        <v>155.33399999999997</v>
      </c>
      <c r="Q703" s="60">
        <f t="shared" si="50"/>
        <v>880.226</v>
      </c>
      <c r="R703" s="60">
        <f t="shared" si="51"/>
        <v>530.24</v>
      </c>
      <c r="S703" s="60">
        <f t="shared" si="52"/>
        <v>349.98599999999999</v>
      </c>
      <c r="T703" s="65">
        <f t="shared" si="53"/>
        <v>0.39760925035161421</v>
      </c>
    </row>
    <row r="704" spans="1:20">
      <c r="A704" s="41">
        <f t="shared" si="54"/>
        <v>10</v>
      </c>
      <c r="B704" s="6" t="s">
        <v>845</v>
      </c>
      <c r="C704" s="20">
        <v>45949</v>
      </c>
      <c r="D704" s="6" t="s">
        <v>129</v>
      </c>
      <c r="E704" s="6" t="s">
        <v>103</v>
      </c>
      <c r="F704" s="6" t="s">
        <v>97</v>
      </c>
      <c r="G704" s="6" t="s">
        <v>177</v>
      </c>
      <c r="H704" s="6" t="s">
        <v>106</v>
      </c>
      <c r="I704" s="6" t="s">
        <v>116</v>
      </c>
      <c r="J704" s="25">
        <v>1</v>
      </c>
      <c r="K704" s="21">
        <v>450.7</v>
      </c>
      <c r="L704" s="63">
        <v>0.1</v>
      </c>
      <c r="M704" s="21">
        <v>239.03</v>
      </c>
      <c r="N704" s="6" t="s">
        <v>94</v>
      </c>
      <c r="O704" s="60">
        <f>Vendas2025[[#This Row],[Quantidade]]*Vendas2025[[#This Row],[Preço_Unitário_R$]]</f>
        <v>450.7</v>
      </c>
      <c r="P704" s="60">
        <f>Vendas2025[[#This Row],[Receita_Bruta_R$]]*Vendas2025[[#This Row],[Desconto_pct]]</f>
        <v>45.07</v>
      </c>
      <c r="Q704" s="60">
        <f t="shared" si="50"/>
        <v>405.63</v>
      </c>
      <c r="R704" s="60">
        <f t="shared" si="51"/>
        <v>239.03</v>
      </c>
      <c r="S704" s="60">
        <f t="shared" si="52"/>
        <v>166.6</v>
      </c>
      <c r="T704" s="65">
        <f t="shared" si="53"/>
        <v>0.41071912826960527</v>
      </c>
    </row>
    <row r="705" spans="1:20">
      <c r="A705" s="41">
        <f t="shared" si="54"/>
        <v>10</v>
      </c>
      <c r="B705" s="6" t="s">
        <v>846</v>
      </c>
      <c r="C705" s="20">
        <v>45949</v>
      </c>
      <c r="D705" s="6" t="s">
        <v>118</v>
      </c>
      <c r="E705" s="6" t="s">
        <v>114</v>
      </c>
      <c r="F705" s="6" t="s">
        <v>97</v>
      </c>
      <c r="G705" s="6" t="s">
        <v>160</v>
      </c>
      <c r="H705" s="6" t="s">
        <v>99</v>
      </c>
      <c r="I705" s="6" t="s">
        <v>158</v>
      </c>
      <c r="J705" s="25">
        <v>2</v>
      </c>
      <c r="K705" s="21">
        <v>177.61</v>
      </c>
      <c r="L705" s="63">
        <v>0</v>
      </c>
      <c r="M705" s="21">
        <v>82.38</v>
      </c>
      <c r="N705" s="6" t="s">
        <v>94</v>
      </c>
      <c r="O705" s="60">
        <f>Vendas2025[[#This Row],[Quantidade]]*Vendas2025[[#This Row],[Preço_Unitário_R$]]</f>
        <v>355.22</v>
      </c>
      <c r="P705" s="60">
        <f>Vendas2025[[#This Row],[Receita_Bruta_R$]]*Vendas2025[[#This Row],[Desconto_pct]]</f>
        <v>0</v>
      </c>
      <c r="Q705" s="60">
        <f t="shared" si="50"/>
        <v>355.22</v>
      </c>
      <c r="R705" s="60">
        <f t="shared" si="51"/>
        <v>164.76</v>
      </c>
      <c r="S705" s="60">
        <f t="shared" si="52"/>
        <v>190.46000000000004</v>
      </c>
      <c r="T705" s="65">
        <f t="shared" si="53"/>
        <v>0.53617476493440686</v>
      </c>
    </row>
    <row r="706" spans="1:20">
      <c r="A706" s="41">
        <f t="shared" si="54"/>
        <v>10</v>
      </c>
      <c r="B706" s="6" t="s">
        <v>847</v>
      </c>
      <c r="C706" s="20">
        <v>45949</v>
      </c>
      <c r="D706" s="6" t="s">
        <v>113</v>
      </c>
      <c r="E706" s="6" t="s">
        <v>114</v>
      </c>
      <c r="F706" s="6" t="s">
        <v>97</v>
      </c>
      <c r="G706" s="6" t="s">
        <v>115</v>
      </c>
      <c r="H706" s="6" t="s">
        <v>106</v>
      </c>
      <c r="I706" s="6" t="s">
        <v>111</v>
      </c>
      <c r="J706" s="25">
        <v>1</v>
      </c>
      <c r="K706" s="21">
        <v>306.25</v>
      </c>
      <c r="L706" s="63">
        <v>0.15</v>
      </c>
      <c r="M706" s="21">
        <v>135.21</v>
      </c>
      <c r="N706" s="6" t="s">
        <v>94</v>
      </c>
      <c r="O706" s="60">
        <f>Vendas2025[[#This Row],[Quantidade]]*Vendas2025[[#This Row],[Preço_Unitário_R$]]</f>
        <v>306.25</v>
      </c>
      <c r="P706" s="60">
        <f>Vendas2025[[#This Row],[Receita_Bruta_R$]]*Vendas2025[[#This Row],[Desconto_pct]]</f>
        <v>45.9375</v>
      </c>
      <c r="Q706" s="60">
        <f t="shared" ref="Q706:Q769" si="55">IF(N706="Concluída",O706-P706,0)</f>
        <v>260.3125</v>
      </c>
      <c r="R706" s="60">
        <f t="shared" ref="R706:R769" si="56">IF(N706="Concluída",J706*M706,0)</f>
        <v>135.21</v>
      </c>
      <c r="S706" s="60">
        <f t="shared" ref="S706:S769" si="57">Q706-R706</f>
        <v>125.10249999999999</v>
      </c>
      <c r="T706" s="65">
        <f t="shared" ref="T706:T769" si="58">IF(Q706=0,"",S706/Q706)</f>
        <v>0.48058583433373347</v>
      </c>
    </row>
    <row r="707" spans="1:20">
      <c r="A707" s="41">
        <f t="shared" ref="A707:A770" si="59">MONTH(C707)</f>
        <v>10</v>
      </c>
      <c r="B707" s="6" t="s">
        <v>848</v>
      </c>
      <c r="C707" s="20">
        <v>45950</v>
      </c>
      <c r="D707" s="6" t="s">
        <v>88</v>
      </c>
      <c r="E707" s="6" t="s">
        <v>89</v>
      </c>
      <c r="F707" s="6" t="s">
        <v>122</v>
      </c>
      <c r="G707" s="6" t="s">
        <v>140</v>
      </c>
      <c r="H707" s="6" t="s">
        <v>106</v>
      </c>
      <c r="I707" s="6" t="s">
        <v>116</v>
      </c>
      <c r="J707" s="25">
        <v>1</v>
      </c>
      <c r="K707" s="21">
        <v>456.69</v>
      </c>
      <c r="L707" s="63">
        <v>0.05</v>
      </c>
      <c r="M707" s="21">
        <v>253.31</v>
      </c>
      <c r="N707" s="6" t="s">
        <v>94</v>
      </c>
      <c r="O707" s="60">
        <f>Vendas2025[[#This Row],[Quantidade]]*Vendas2025[[#This Row],[Preço_Unitário_R$]]</f>
        <v>456.69</v>
      </c>
      <c r="P707" s="60">
        <f>Vendas2025[[#This Row],[Receita_Bruta_R$]]*Vendas2025[[#This Row],[Desconto_pct]]</f>
        <v>22.834500000000002</v>
      </c>
      <c r="Q707" s="60">
        <f t="shared" si="55"/>
        <v>433.85550000000001</v>
      </c>
      <c r="R707" s="60">
        <f t="shared" si="56"/>
        <v>253.31</v>
      </c>
      <c r="S707" s="60">
        <f t="shared" si="57"/>
        <v>180.5455</v>
      </c>
      <c r="T707" s="65">
        <f t="shared" si="58"/>
        <v>0.41614201041591037</v>
      </c>
    </row>
    <row r="708" spans="1:20">
      <c r="A708" s="41">
        <f t="shared" si="59"/>
        <v>10</v>
      </c>
      <c r="B708" s="6" t="s">
        <v>849</v>
      </c>
      <c r="C708" s="20">
        <v>45950</v>
      </c>
      <c r="D708" s="6" t="s">
        <v>88</v>
      </c>
      <c r="E708" s="6" t="s">
        <v>89</v>
      </c>
      <c r="F708" s="6" t="s">
        <v>97</v>
      </c>
      <c r="G708" s="6" t="s">
        <v>110</v>
      </c>
      <c r="H708" s="6" t="s">
        <v>106</v>
      </c>
      <c r="I708" s="6" t="s">
        <v>184</v>
      </c>
      <c r="J708" s="25">
        <v>1</v>
      </c>
      <c r="K708" s="21">
        <v>1109.94</v>
      </c>
      <c r="L708" s="63">
        <v>0</v>
      </c>
      <c r="M708" s="21">
        <v>786.56</v>
      </c>
      <c r="N708" s="6" t="s">
        <v>94</v>
      </c>
      <c r="O708" s="60">
        <f>Vendas2025[[#This Row],[Quantidade]]*Vendas2025[[#This Row],[Preço_Unitário_R$]]</f>
        <v>1109.94</v>
      </c>
      <c r="P708" s="60">
        <f>Vendas2025[[#This Row],[Receita_Bruta_R$]]*Vendas2025[[#This Row],[Desconto_pct]]</f>
        <v>0</v>
      </c>
      <c r="Q708" s="60">
        <f t="shared" si="55"/>
        <v>1109.94</v>
      </c>
      <c r="R708" s="60">
        <f t="shared" si="56"/>
        <v>786.56</v>
      </c>
      <c r="S708" s="60">
        <f t="shared" si="57"/>
        <v>323.38000000000011</v>
      </c>
      <c r="T708" s="65">
        <f t="shared" si="58"/>
        <v>0.29134908193235681</v>
      </c>
    </row>
    <row r="709" spans="1:20">
      <c r="A709" s="41">
        <f t="shared" si="59"/>
        <v>10</v>
      </c>
      <c r="B709" s="6" t="s">
        <v>850</v>
      </c>
      <c r="C709" s="20">
        <v>45950</v>
      </c>
      <c r="D709" s="6" t="s">
        <v>88</v>
      </c>
      <c r="E709" s="6" t="s">
        <v>89</v>
      </c>
      <c r="F709" s="6" t="s">
        <v>122</v>
      </c>
      <c r="G709" s="6" t="s">
        <v>110</v>
      </c>
      <c r="H709" s="6" t="s">
        <v>124</v>
      </c>
      <c r="I709" s="6" t="s">
        <v>199</v>
      </c>
      <c r="J709" s="25">
        <v>2</v>
      </c>
      <c r="K709" s="21">
        <v>313.64</v>
      </c>
      <c r="L709" s="63">
        <v>0.1</v>
      </c>
      <c r="M709" s="21">
        <v>143.72999999999999</v>
      </c>
      <c r="N709" s="6" t="s">
        <v>94</v>
      </c>
      <c r="O709" s="60">
        <f>Vendas2025[[#This Row],[Quantidade]]*Vendas2025[[#This Row],[Preço_Unitário_R$]]</f>
        <v>627.28</v>
      </c>
      <c r="P709" s="60">
        <f>Vendas2025[[#This Row],[Receita_Bruta_R$]]*Vendas2025[[#This Row],[Desconto_pct]]</f>
        <v>62.728000000000002</v>
      </c>
      <c r="Q709" s="60">
        <f t="shared" si="55"/>
        <v>564.55200000000002</v>
      </c>
      <c r="R709" s="60">
        <f t="shared" si="56"/>
        <v>287.45999999999998</v>
      </c>
      <c r="S709" s="60">
        <f t="shared" si="57"/>
        <v>277.09200000000004</v>
      </c>
      <c r="T709" s="65">
        <f t="shared" si="58"/>
        <v>0.49081749776814187</v>
      </c>
    </row>
    <row r="710" spans="1:20">
      <c r="A710" s="41">
        <f t="shared" si="59"/>
        <v>10</v>
      </c>
      <c r="B710" s="6" t="s">
        <v>851</v>
      </c>
      <c r="C710" s="20">
        <v>45950</v>
      </c>
      <c r="D710" s="6" t="s">
        <v>129</v>
      </c>
      <c r="E710" s="6" t="s">
        <v>103</v>
      </c>
      <c r="F710" s="6" t="s">
        <v>122</v>
      </c>
      <c r="G710" s="6" t="s">
        <v>127</v>
      </c>
      <c r="H710" s="6" t="s">
        <v>124</v>
      </c>
      <c r="I710" s="6" t="s">
        <v>125</v>
      </c>
      <c r="J710" s="25">
        <v>3</v>
      </c>
      <c r="K710" s="21">
        <v>738.31</v>
      </c>
      <c r="L710" s="63">
        <v>0.15</v>
      </c>
      <c r="M710" s="21">
        <v>356.77</v>
      </c>
      <c r="N710" s="6" t="s">
        <v>94</v>
      </c>
      <c r="O710" s="60">
        <f>Vendas2025[[#This Row],[Quantidade]]*Vendas2025[[#This Row],[Preço_Unitário_R$]]</f>
        <v>2214.9299999999998</v>
      </c>
      <c r="P710" s="60">
        <f>Vendas2025[[#This Row],[Receita_Bruta_R$]]*Vendas2025[[#This Row],[Desconto_pct]]</f>
        <v>332.23949999999996</v>
      </c>
      <c r="Q710" s="60">
        <f t="shared" si="55"/>
        <v>1882.6904999999999</v>
      </c>
      <c r="R710" s="60">
        <f t="shared" si="56"/>
        <v>1070.31</v>
      </c>
      <c r="S710" s="60">
        <f t="shared" si="57"/>
        <v>812.38049999999998</v>
      </c>
      <c r="T710" s="65">
        <f t="shared" si="58"/>
        <v>0.43149976058199691</v>
      </c>
    </row>
    <row r="711" spans="1:20">
      <c r="A711" s="41">
        <f t="shared" si="59"/>
        <v>10</v>
      </c>
      <c r="B711" s="6" t="s">
        <v>852</v>
      </c>
      <c r="C711" s="20">
        <v>45950</v>
      </c>
      <c r="D711" s="6" t="s">
        <v>132</v>
      </c>
      <c r="E711" s="6" t="s">
        <v>89</v>
      </c>
      <c r="F711" s="6" t="s">
        <v>122</v>
      </c>
      <c r="G711" s="6" t="s">
        <v>110</v>
      </c>
      <c r="H711" s="6" t="s">
        <v>99</v>
      </c>
      <c r="I711" s="6" t="s">
        <v>163</v>
      </c>
      <c r="J711" s="25">
        <v>3</v>
      </c>
      <c r="K711" s="21">
        <v>1254.8900000000001</v>
      </c>
      <c r="L711" s="63">
        <v>0.1</v>
      </c>
      <c r="M711" s="21">
        <v>868.02</v>
      </c>
      <c r="N711" s="6" t="s">
        <v>94</v>
      </c>
      <c r="O711" s="60">
        <f>Vendas2025[[#This Row],[Quantidade]]*Vendas2025[[#This Row],[Preço_Unitário_R$]]</f>
        <v>3764.67</v>
      </c>
      <c r="P711" s="60">
        <f>Vendas2025[[#This Row],[Receita_Bruta_R$]]*Vendas2025[[#This Row],[Desconto_pct]]</f>
        <v>376.46700000000004</v>
      </c>
      <c r="Q711" s="60">
        <f t="shared" si="55"/>
        <v>3388.203</v>
      </c>
      <c r="R711" s="60">
        <f t="shared" si="56"/>
        <v>2604.06</v>
      </c>
      <c r="S711" s="60">
        <f t="shared" si="57"/>
        <v>784.14300000000003</v>
      </c>
      <c r="T711" s="65">
        <f t="shared" si="58"/>
        <v>0.23143329959863682</v>
      </c>
    </row>
    <row r="712" spans="1:20">
      <c r="A712" s="41">
        <f t="shared" si="59"/>
        <v>10</v>
      </c>
      <c r="B712" s="6" t="s">
        <v>853</v>
      </c>
      <c r="C712" s="20">
        <v>45951</v>
      </c>
      <c r="D712" s="6" t="s">
        <v>88</v>
      </c>
      <c r="E712" s="6" t="s">
        <v>89</v>
      </c>
      <c r="F712" s="6" t="s">
        <v>97</v>
      </c>
      <c r="G712" s="6" t="s">
        <v>115</v>
      </c>
      <c r="H712" s="6" t="s">
        <v>124</v>
      </c>
      <c r="I712" s="6" t="s">
        <v>199</v>
      </c>
      <c r="J712" s="25">
        <v>1</v>
      </c>
      <c r="K712" s="21">
        <v>294.37</v>
      </c>
      <c r="L712" s="63">
        <v>0.05</v>
      </c>
      <c r="M712" s="21">
        <v>138.16999999999999</v>
      </c>
      <c r="N712" s="6" t="s">
        <v>94</v>
      </c>
      <c r="O712" s="60">
        <f>Vendas2025[[#This Row],[Quantidade]]*Vendas2025[[#This Row],[Preço_Unitário_R$]]</f>
        <v>294.37</v>
      </c>
      <c r="P712" s="60">
        <f>Vendas2025[[#This Row],[Receita_Bruta_R$]]*Vendas2025[[#This Row],[Desconto_pct]]</f>
        <v>14.718500000000001</v>
      </c>
      <c r="Q712" s="60">
        <f t="shared" si="55"/>
        <v>279.6515</v>
      </c>
      <c r="R712" s="60">
        <f t="shared" si="56"/>
        <v>138.16999999999999</v>
      </c>
      <c r="S712" s="60">
        <f t="shared" si="57"/>
        <v>141.48150000000001</v>
      </c>
      <c r="T712" s="65">
        <f t="shared" si="58"/>
        <v>0.50592076209138881</v>
      </c>
    </row>
    <row r="713" spans="1:20">
      <c r="A713" s="41">
        <f t="shared" si="59"/>
        <v>10</v>
      </c>
      <c r="B713" s="6" t="s">
        <v>854</v>
      </c>
      <c r="C713" s="20">
        <v>45951</v>
      </c>
      <c r="D713" s="6" t="s">
        <v>113</v>
      </c>
      <c r="E713" s="6" t="s">
        <v>114</v>
      </c>
      <c r="F713" s="6" t="s">
        <v>122</v>
      </c>
      <c r="G713" s="6" t="s">
        <v>123</v>
      </c>
      <c r="H713" s="6" t="s">
        <v>119</v>
      </c>
      <c r="I713" s="6" t="s">
        <v>138</v>
      </c>
      <c r="J713" s="25">
        <v>1</v>
      </c>
      <c r="K713" s="21">
        <v>147.43</v>
      </c>
      <c r="L713" s="63">
        <v>0.2</v>
      </c>
      <c r="M713" s="21">
        <v>59.3</v>
      </c>
      <c r="N713" s="6" t="s">
        <v>94</v>
      </c>
      <c r="O713" s="60">
        <f>Vendas2025[[#This Row],[Quantidade]]*Vendas2025[[#This Row],[Preço_Unitário_R$]]</f>
        <v>147.43</v>
      </c>
      <c r="P713" s="60">
        <f>Vendas2025[[#This Row],[Receita_Bruta_R$]]*Vendas2025[[#This Row],[Desconto_pct]]</f>
        <v>29.486000000000004</v>
      </c>
      <c r="Q713" s="60">
        <f t="shared" si="55"/>
        <v>117.944</v>
      </c>
      <c r="R713" s="60">
        <f t="shared" si="56"/>
        <v>59.3</v>
      </c>
      <c r="S713" s="60">
        <f t="shared" si="57"/>
        <v>58.644000000000005</v>
      </c>
      <c r="T713" s="65">
        <f t="shared" si="58"/>
        <v>0.49721901919555045</v>
      </c>
    </row>
    <row r="714" spans="1:20">
      <c r="A714" s="41">
        <f t="shared" si="59"/>
        <v>10</v>
      </c>
      <c r="B714" s="6" t="s">
        <v>855</v>
      </c>
      <c r="C714" s="20">
        <v>45952</v>
      </c>
      <c r="D714" s="6" t="s">
        <v>136</v>
      </c>
      <c r="E714" s="6" t="s">
        <v>137</v>
      </c>
      <c r="F714" s="6" t="s">
        <v>97</v>
      </c>
      <c r="G714" s="6" t="s">
        <v>151</v>
      </c>
      <c r="H714" s="6" t="s">
        <v>92</v>
      </c>
      <c r="I714" s="6" t="s">
        <v>134</v>
      </c>
      <c r="J714" s="25">
        <v>2</v>
      </c>
      <c r="K714" s="21">
        <v>397.1</v>
      </c>
      <c r="L714" s="63">
        <v>0</v>
      </c>
      <c r="M714" s="21">
        <v>212.62</v>
      </c>
      <c r="N714" s="6" t="s">
        <v>94</v>
      </c>
      <c r="O714" s="60">
        <f>Vendas2025[[#This Row],[Quantidade]]*Vendas2025[[#This Row],[Preço_Unitário_R$]]</f>
        <v>794.2</v>
      </c>
      <c r="P714" s="60">
        <f>Vendas2025[[#This Row],[Receita_Bruta_R$]]*Vendas2025[[#This Row],[Desconto_pct]]</f>
        <v>0</v>
      </c>
      <c r="Q714" s="60">
        <f t="shared" si="55"/>
        <v>794.2</v>
      </c>
      <c r="R714" s="60">
        <f t="shared" si="56"/>
        <v>425.24</v>
      </c>
      <c r="S714" s="60">
        <f t="shared" si="57"/>
        <v>368.96000000000004</v>
      </c>
      <c r="T714" s="65">
        <f t="shared" si="58"/>
        <v>0.4645681188617477</v>
      </c>
    </row>
    <row r="715" spans="1:20">
      <c r="A715" s="41">
        <f t="shared" si="59"/>
        <v>10</v>
      </c>
      <c r="B715" s="6" t="s">
        <v>856</v>
      </c>
      <c r="C715" s="20">
        <v>45952</v>
      </c>
      <c r="D715" s="6" t="s">
        <v>118</v>
      </c>
      <c r="E715" s="6" t="s">
        <v>114</v>
      </c>
      <c r="F715" s="6" t="s">
        <v>97</v>
      </c>
      <c r="G715" s="6" t="s">
        <v>151</v>
      </c>
      <c r="H715" s="6" t="s">
        <v>99</v>
      </c>
      <c r="I715" s="6" t="s">
        <v>173</v>
      </c>
      <c r="J715" s="25">
        <v>1</v>
      </c>
      <c r="K715" s="21">
        <v>3895.19</v>
      </c>
      <c r="L715" s="63">
        <v>0.1</v>
      </c>
      <c r="M715" s="21">
        <v>3050.38</v>
      </c>
      <c r="N715" s="6" t="s">
        <v>94</v>
      </c>
      <c r="O715" s="60">
        <f>Vendas2025[[#This Row],[Quantidade]]*Vendas2025[[#This Row],[Preço_Unitário_R$]]</f>
        <v>3895.19</v>
      </c>
      <c r="P715" s="60">
        <f>Vendas2025[[#This Row],[Receita_Bruta_R$]]*Vendas2025[[#This Row],[Desconto_pct]]</f>
        <v>389.51900000000001</v>
      </c>
      <c r="Q715" s="60">
        <f t="shared" si="55"/>
        <v>3505.6710000000003</v>
      </c>
      <c r="R715" s="60">
        <f t="shared" si="56"/>
        <v>3050.38</v>
      </c>
      <c r="S715" s="60">
        <f t="shared" si="57"/>
        <v>455.29100000000017</v>
      </c>
      <c r="T715" s="65">
        <f t="shared" si="58"/>
        <v>0.12987271195728298</v>
      </c>
    </row>
    <row r="716" spans="1:20">
      <c r="A716" s="41">
        <f t="shared" si="59"/>
        <v>10</v>
      </c>
      <c r="B716" s="6" t="s">
        <v>857</v>
      </c>
      <c r="C716" s="20">
        <v>45953</v>
      </c>
      <c r="D716" s="6" t="s">
        <v>132</v>
      </c>
      <c r="E716" s="6" t="s">
        <v>89</v>
      </c>
      <c r="F716" s="6" t="s">
        <v>90</v>
      </c>
      <c r="G716" s="6" t="s">
        <v>98</v>
      </c>
      <c r="H716" s="6" t="s">
        <v>99</v>
      </c>
      <c r="I716" s="6" t="s">
        <v>158</v>
      </c>
      <c r="J716" s="25">
        <v>1</v>
      </c>
      <c r="K716" s="21">
        <v>177.44</v>
      </c>
      <c r="L716" s="63">
        <v>0.25</v>
      </c>
      <c r="M716" s="21">
        <v>81.41</v>
      </c>
      <c r="N716" s="6" t="s">
        <v>94</v>
      </c>
      <c r="O716" s="60">
        <f>Vendas2025[[#This Row],[Quantidade]]*Vendas2025[[#This Row],[Preço_Unitário_R$]]</f>
        <v>177.44</v>
      </c>
      <c r="P716" s="60">
        <f>Vendas2025[[#This Row],[Receita_Bruta_R$]]*Vendas2025[[#This Row],[Desconto_pct]]</f>
        <v>44.36</v>
      </c>
      <c r="Q716" s="60">
        <f t="shared" si="55"/>
        <v>133.07999999999998</v>
      </c>
      <c r="R716" s="60">
        <f t="shared" si="56"/>
        <v>81.41</v>
      </c>
      <c r="S716" s="60">
        <f t="shared" si="57"/>
        <v>51.669999999999987</v>
      </c>
      <c r="T716" s="65">
        <f t="shared" si="58"/>
        <v>0.38826269912834382</v>
      </c>
    </row>
    <row r="717" spans="1:20">
      <c r="A717" s="41">
        <f t="shared" si="59"/>
        <v>10</v>
      </c>
      <c r="B717" s="6" t="s">
        <v>858</v>
      </c>
      <c r="C717" s="20">
        <v>45953</v>
      </c>
      <c r="D717" s="6" t="s">
        <v>96</v>
      </c>
      <c r="E717" s="6" t="s">
        <v>89</v>
      </c>
      <c r="F717" s="6" t="s">
        <v>97</v>
      </c>
      <c r="G717" s="6" t="s">
        <v>115</v>
      </c>
      <c r="H717" s="6" t="s">
        <v>119</v>
      </c>
      <c r="I717" s="6" t="s">
        <v>141</v>
      </c>
      <c r="J717" s="25">
        <v>1</v>
      </c>
      <c r="K717" s="21">
        <v>2887.89</v>
      </c>
      <c r="L717" s="63">
        <v>0</v>
      </c>
      <c r="M717" s="21">
        <v>1968.79</v>
      </c>
      <c r="N717" s="6" t="s">
        <v>94</v>
      </c>
      <c r="O717" s="60">
        <f>Vendas2025[[#This Row],[Quantidade]]*Vendas2025[[#This Row],[Preço_Unitário_R$]]</f>
        <v>2887.89</v>
      </c>
      <c r="P717" s="60">
        <f>Vendas2025[[#This Row],[Receita_Bruta_R$]]*Vendas2025[[#This Row],[Desconto_pct]]</f>
        <v>0</v>
      </c>
      <c r="Q717" s="60">
        <f t="shared" si="55"/>
        <v>2887.89</v>
      </c>
      <c r="R717" s="60">
        <f t="shared" si="56"/>
        <v>1968.79</v>
      </c>
      <c r="S717" s="60">
        <f t="shared" si="57"/>
        <v>919.09999999999991</v>
      </c>
      <c r="T717" s="65">
        <f t="shared" si="58"/>
        <v>0.31826004453078199</v>
      </c>
    </row>
    <row r="718" spans="1:20">
      <c r="A718" s="41">
        <f t="shared" si="59"/>
        <v>10</v>
      </c>
      <c r="B718" s="6" t="s">
        <v>859</v>
      </c>
      <c r="C718" s="20">
        <v>45953</v>
      </c>
      <c r="D718" s="6" t="s">
        <v>136</v>
      </c>
      <c r="E718" s="6" t="s">
        <v>137</v>
      </c>
      <c r="F718" s="6" t="s">
        <v>97</v>
      </c>
      <c r="G718" s="6" t="s">
        <v>91</v>
      </c>
      <c r="H718" s="6" t="s">
        <v>124</v>
      </c>
      <c r="I718" s="6" t="s">
        <v>199</v>
      </c>
      <c r="J718" s="25">
        <v>1</v>
      </c>
      <c r="K718" s="21">
        <v>332.77</v>
      </c>
      <c r="L718" s="63">
        <v>0.05</v>
      </c>
      <c r="M718" s="21">
        <v>155.77000000000001</v>
      </c>
      <c r="N718" s="6" t="s">
        <v>94</v>
      </c>
      <c r="O718" s="60">
        <f>Vendas2025[[#This Row],[Quantidade]]*Vendas2025[[#This Row],[Preço_Unitário_R$]]</f>
        <v>332.77</v>
      </c>
      <c r="P718" s="60">
        <f>Vendas2025[[#This Row],[Receita_Bruta_R$]]*Vendas2025[[#This Row],[Desconto_pct]]</f>
        <v>16.638500000000001</v>
      </c>
      <c r="Q718" s="60">
        <f t="shared" si="55"/>
        <v>316.13149999999996</v>
      </c>
      <c r="R718" s="60">
        <f t="shared" si="56"/>
        <v>155.77000000000001</v>
      </c>
      <c r="S718" s="60">
        <f t="shared" si="57"/>
        <v>160.36149999999995</v>
      </c>
      <c r="T718" s="65">
        <f t="shared" si="58"/>
        <v>0.50726200963839407</v>
      </c>
    </row>
    <row r="719" spans="1:20">
      <c r="A719" s="41">
        <f t="shared" si="59"/>
        <v>10</v>
      </c>
      <c r="B719" s="6" t="s">
        <v>860</v>
      </c>
      <c r="C719" s="20">
        <v>45953</v>
      </c>
      <c r="D719" s="6" t="s">
        <v>88</v>
      </c>
      <c r="E719" s="6" t="s">
        <v>89</v>
      </c>
      <c r="F719" s="6" t="s">
        <v>90</v>
      </c>
      <c r="G719" s="6" t="s">
        <v>110</v>
      </c>
      <c r="H719" s="6" t="s">
        <v>92</v>
      </c>
      <c r="I719" s="6" t="s">
        <v>144</v>
      </c>
      <c r="J719" s="25">
        <v>1</v>
      </c>
      <c r="K719" s="21">
        <v>143.84</v>
      </c>
      <c r="L719" s="63">
        <v>0.05</v>
      </c>
      <c r="M719" s="21">
        <v>52.05</v>
      </c>
      <c r="N719" s="6" t="s">
        <v>94</v>
      </c>
      <c r="O719" s="60">
        <f>Vendas2025[[#This Row],[Quantidade]]*Vendas2025[[#This Row],[Preço_Unitário_R$]]</f>
        <v>143.84</v>
      </c>
      <c r="P719" s="60">
        <f>Vendas2025[[#This Row],[Receita_Bruta_R$]]*Vendas2025[[#This Row],[Desconto_pct]]</f>
        <v>7.1920000000000002</v>
      </c>
      <c r="Q719" s="60">
        <f t="shared" si="55"/>
        <v>136.648</v>
      </c>
      <c r="R719" s="60">
        <f t="shared" si="56"/>
        <v>52.05</v>
      </c>
      <c r="S719" s="60">
        <f t="shared" si="57"/>
        <v>84.597999999999999</v>
      </c>
      <c r="T719" s="65">
        <f t="shared" si="58"/>
        <v>0.61909431532111703</v>
      </c>
    </row>
    <row r="720" spans="1:20">
      <c r="A720" s="41">
        <f t="shared" si="59"/>
        <v>10</v>
      </c>
      <c r="B720" s="6" t="s">
        <v>861</v>
      </c>
      <c r="C720" s="20">
        <v>45953</v>
      </c>
      <c r="D720" s="6" t="s">
        <v>132</v>
      </c>
      <c r="E720" s="6" t="s">
        <v>89</v>
      </c>
      <c r="F720" s="6" t="s">
        <v>97</v>
      </c>
      <c r="G720" s="6" t="s">
        <v>98</v>
      </c>
      <c r="H720" s="6" t="s">
        <v>124</v>
      </c>
      <c r="I720" s="6" t="s">
        <v>193</v>
      </c>
      <c r="J720" s="25">
        <v>2</v>
      </c>
      <c r="K720" s="21">
        <v>360.23</v>
      </c>
      <c r="L720" s="63">
        <v>0.1</v>
      </c>
      <c r="M720" s="21">
        <v>156.88999999999999</v>
      </c>
      <c r="N720" s="6" t="s">
        <v>94</v>
      </c>
      <c r="O720" s="60">
        <f>Vendas2025[[#This Row],[Quantidade]]*Vendas2025[[#This Row],[Preço_Unitário_R$]]</f>
        <v>720.46</v>
      </c>
      <c r="P720" s="60">
        <f>Vendas2025[[#This Row],[Receita_Bruta_R$]]*Vendas2025[[#This Row],[Desconto_pct]]</f>
        <v>72.046000000000006</v>
      </c>
      <c r="Q720" s="60">
        <f t="shared" si="55"/>
        <v>648.41399999999999</v>
      </c>
      <c r="R720" s="60">
        <f t="shared" si="56"/>
        <v>313.77999999999997</v>
      </c>
      <c r="S720" s="60">
        <f t="shared" si="57"/>
        <v>334.63400000000001</v>
      </c>
      <c r="T720" s="65">
        <f t="shared" si="58"/>
        <v>0.51608077555388998</v>
      </c>
    </row>
    <row r="721" spans="1:20">
      <c r="A721" s="41">
        <f t="shared" si="59"/>
        <v>10</v>
      </c>
      <c r="B721" s="6" t="s">
        <v>862</v>
      </c>
      <c r="C721" s="20">
        <v>45953</v>
      </c>
      <c r="D721" s="6" t="s">
        <v>102</v>
      </c>
      <c r="E721" s="6" t="s">
        <v>103</v>
      </c>
      <c r="F721" s="6" t="s">
        <v>122</v>
      </c>
      <c r="G721" s="6" t="s">
        <v>91</v>
      </c>
      <c r="H721" s="6" t="s">
        <v>99</v>
      </c>
      <c r="I721" s="6" t="s">
        <v>173</v>
      </c>
      <c r="J721" s="25">
        <v>1</v>
      </c>
      <c r="K721" s="21">
        <v>4153.75</v>
      </c>
      <c r="L721" s="63">
        <v>0.2</v>
      </c>
      <c r="M721" s="21">
        <v>3230.4</v>
      </c>
      <c r="N721" s="6" t="s">
        <v>94</v>
      </c>
      <c r="O721" s="60">
        <f>Vendas2025[[#This Row],[Quantidade]]*Vendas2025[[#This Row],[Preço_Unitário_R$]]</f>
        <v>4153.75</v>
      </c>
      <c r="P721" s="60">
        <f>Vendas2025[[#This Row],[Receita_Bruta_R$]]*Vendas2025[[#This Row],[Desconto_pct]]</f>
        <v>830.75</v>
      </c>
      <c r="Q721" s="60">
        <f t="shared" si="55"/>
        <v>3323</v>
      </c>
      <c r="R721" s="60">
        <f t="shared" si="56"/>
        <v>3230.4</v>
      </c>
      <c r="S721" s="60">
        <f t="shared" si="57"/>
        <v>92.599999999999909</v>
      </c>
      <c r="T721" s="65">
        <f t="shared" si="58"/>
        <v>2.7866385795967473E-2</v>
      </c>
    </row>
    <row r="722" spans="1:20">
      <c r="A722" s="41">
        <f t="shared" si="59"/>
        <v>10</v>
      </c>
      <c r="B722" s="6" t="s">
        <v>863</v>
      </c>
      <c r="C722" s="20">
        <v>45954</v>
      </c>
      <c r="D722" s="6" t="s">
        <v>118</v>
      </c>
      <c r="E722" s="6" t="s">
        <v>114</v>
      </c>
      <c r="F722" s="6" t="s">
        <v>90</v>
      </c>
      <c r="G722" s="6" t="s">
        <v>115</v>
      </c>
      <c r="H722" s="6" t="s">
        <v>99</v>
      </c>
      <c r="I722" s="6" t="s">
        <v>158</v>
      </c>
      <c r="J722" s="25">
        <v>2</v>
      </c>
      <c r="K722" s="21">
        <v>175.11</v>
      </c>
      <c r="L722" s="63">
        <v>0.15</v>
      </c>
      <c r="M722" s="21">
        <v>81.67</v>
      </c>
      <c r="N722" s="6" t="s">
        <v>94</v>
      </c>
      <c r="O722" s="60">
        <f>Vendas2025[[#This Row],[Quantidade]]*Vendas2025[[#This Row],[Preço_Unitário_R$]]</f>
        <v>350.22</v>
      </c>
      <c r="P722" s="60">
        <f>Vendas2025[[#This Row],[Receita_Bruta_R$]]*Vendas2025[[#This Row],[Desconto_pct]]</f>
        <v>52.533000000000001</v>
      </c>
      <c r="Q722" s="60">
        <f t="shared" si="55"/>
        <v>297.68700000000001</v>
      </c>
      <c r="R722" s="60">
        <f t="shared" si="56"/>
        <v>163.34</v>
      </c>
      <c r="S722" s="60">
        <f t="shared" si="57"/>
        <v>134.34700000000001</v>
      </c>
      <c r="T722" s="65">
        <f t="shared" si="58"/>
        <v>0.45130287852677475</v>
      </c>
    </row>
    <row r="723" spans="1:20">
      <c r="A723" s="41">
        <f t="shared" si="59"/>
        <v>10</v>
      </c>
      <c r="B723" s="6" t="s">
        <v>864</v>
      </c>
      <c r="C723" s="20">
        <v>45954</v>
      </c>
      <c r="D723" s="6" t="s">
        <v>136</v>
      </c>
      <c r="E723" s="6" t="s">
        <v>137</v>
      </c>
      <c r="F723" s="6" t="s">
        <v>97</v>
      </c>
      <c r="G723" s="6" t="s">
        <v>177</v>
      </c>
      <c r="H723" s="6" t="s">
        <v>99</v>
      </c>
      <c r="I723" s="6" t="s">
        <v>130</v>
      </c>
      <c r="J723" s="25">
        <v>2</v>
      </c>
      <c r="K723" s="21">
        <v>248.8</v>
      </c>
      <c r="L723" s="63">
        <v>0.15</v>
      </c>
      <c r="M723" s="21">
        <v>120.69</v>
      </c>
      <c r="N723" s="6" t="s">
        <v>94</v>
      </c>
      <c r="O723" s="60">
        <f>Vendas2025[[#This Row],[Quantidade]]*Vendas2025[[#This Row],[Preço_Unitário_R$]]</f>
        <v>497.6</v>
      </c>
      <c r="P723" s="60">
        <f>Vendas2025[[#This Row],[Receita_Bruta_R$]]*Vendas2025[[#This Row],[Desconto_pct]]</f>
        <v>74.64</v>
      </c>
      <c r="Q723" s="60">
        <f t="shared" si="55"/>
        <v>422.96000000000004</v>
      </c>
      <c r="R723" s="60">
        <f t="shared" si="56"/>
        <v>241.38</v>
      </c>
      <c r="S723" s="60">
        <f t="shared" si="57"/>
        <v>181.58000000000004</v>
      </c>
      <c r="T723" s="65">
        <f t="shared" si="58"/>
        <v>0.42930773595611882</v>
      </c>
    </row>
    <row r="724" spans="1:20">
      <c r="A724" s="41">
        <f t="shared" si="59"/>
        <v>10</v>
      </c>
      <c r="B724" s="6" t="s">
        <v>865</v>
      </c>
      <c r="C724" s="20">
        <v>45954</v>
      </c>
      <c r="D724" s="6" t="s">
        <v>136</v>
      </c>
      <c r="E724" s="6" t="s">
        <v>137</v>
      </c>
      <c r="F724" s="6" t="s">
        <v>122</v>
      </c>
      <c r="G724" s="6" t="s">
        <v>105</v>
      </c>
      <c r="H724" s="6" t="s">
        <v>106</v>
      </c>
      <c r="I724" s="6" t="s">
        <v>170</v>
      </c>
      <c r="J724" s="25">
        <v>1</v>
      </c>
      <c r="K724" s="21">
        <v>501.6</v>
      </c>
      <c r="L724" s="63">
        <v>0.05</v>
      </c>
      <c r="M724" s="21">
        <v>259.26</v>
      </c>
      <c r="N724" s="6" t="s">
        <v>94</v>
      </c>
      <c r="O724" s="60">
        <f>Vendas2025[[#This Row],[Quantidade]]*Vendas2025[[#This Row],[Preço_Unitário_R$]]</f>
        <v>501.6</v>
      </c>
      <c r="P724" s="60">
        <f>Vendas2025[[#This Row],[Receita_Bruta_R$]]*Vendas2025[[#This Row],[Desconto_pct]]</f>
        <v>25.080000000000002</v>
      </c>
      <c r="Q724" s="60">
        <f t="shared" si="55"/>
        <v>476.52000000000004</v>
      </c>
      <c r="R724" s="60">
        <f t="shared" si="56"/>
        <v>259.26</v>
      </c>
      <c r="S724" s="60">
        <f t="shared" si="57"/>
        <v>217.26000000000005</v>
      </c>
      <c r="T724" s="65">
        <f t="shared" si="58"/>
        <v>0.45593049609670117</v>
      </c>
    </row>
    <row r="725" spans="1:20">
      <c r="A725" s="41">
        <f t="shared" si="59"/>
        <v>10</v>
      </c>
      <c r="B725" s="6" t="s">
        <v>866</v>
      </c>
      <c r="C725" s="20">
        <v>45954</v>
      </c>
      <c r="D725" s="6" t="s">
        <v>88</v>
      </c>
      <c r="E725" s="6" t="s">
        <v>89</v>
      </c>
      <c r="F725" s="6" t="s">
        <v>122</v>
      </c>
      <c r="G725" s="6" t="s">
        <v>115</v>
      </c>
      <c r="H725" s="6" t="s">
        <v>119</v>
      </c>
      <c r="I725" s="6" t="s">
        <v>155</v>
      </c>
      <c r="J725" s="25">
        <v>1</v>
      </c>
      <c r="K725" s="21">
        <v>387.09</v>
      </c>
      <c r="L725" s="63">
        <v>0.15</v>
      </c>
      <c r="M725" s="21">
        <v>209.63</v>
      </c>
      <c r="N725" s="6" t="s">
        <v>94</v>
      </c>
      <c r="O725" s="60">
        <f>Vendas2025[[#This Row],[Quantidade]]*Vendas2025[[#This Row],[Preço_Unitário_R$]]</f>
        <v>387.09</v>
      </c>
      <c r="P725" s="60">
        <f>Vendas2025[[#This Row],[Receita_Bruta_R$]]*Vendas2025[[#This Row],[Desconto_pct]]</f>
        <v>58.063499999999991</v>
      </c>
      <c r="Q725" s="60">
        <f t="shared" si="55"/>
        <v>329.0265</v>
      </c>
      <c r="R725" s="60">
        <f t="shared" si="56"/>
        <v>209.63</v>
      </c>
      <c r="S725" s="60">
        <f t="shared" si="57"/>
        <v>119.3965</v>
      </c>
      <c r="T725" s="65">
        <f t="shared" si="58"/>
        <v>0.36287806605243045</v>
      </c>
    </row>
    <row r="726" spans="1:20">
      <c r="A726" s="41">
        <f t="shared" si="59"/>
        <v>10</v>
      </c>
      <c r="B726" s="6" t="s">
        <v>867</v>
      </c>
      <c r="C726" s="20">
        <v>45954</v>
      </c>
      <c r="D726" s="6" t="s">
        <v>129</v>
      </c>
      <c r="E726" s="6" t="s">
        <v>103</v>
      </c>
      <c r="F726" s="6" t="s">
        <v>97</v>
      </c>
      <c r="G726" s="6" t="s">
        <v>110</v>
      </c>
      <c r="H726" s="6" t="s">
        <v>119</v>
      </c>
      <c r="I726" s="6" t="s">
        <v>141</v>
      </c>
      <c r="J726" s="25">
        <v>1</v>
      </c>
      <c r="K726" s="21">
        <v>2881.14</v>
      </c>
      <c r="L726" s="63">
        <v>0.08</v>
      </c>
      <c r="M726" s="21">
        <v>2007.92</v>
      </c>
      <c r="N726" s="6" t="s">
        <v>94</v>
      </c>
      <c r="O726" s="60">
        <f>Vendas2025[[#This Row],[Quantidade]]*Vendas2025[[#This Row],[Preço_Unitário_R$]]</f>
        <v>2881.14</v>
      </c>
      <c r="P726" s="60">
        <f>Vendas2025[[#This Row],[Receita_Bruta_R$]]*Vendas2025[[#This Row],[Desconto_pct]]</f>
        <v>230.49119999999999</v>
      </c>
      <c r="Q726" s="60">
        <f t="shared" si="55"/>
        <v>2650.6487999999999</v>
      </c>
      <c r="R726" s="60">
        <f t="shared" si="56"/>
        <v>2007.92</v>
      </c>
      <c r="S726" s="60">
        <f t="shared" si="57"/>
        <v>642.72879999999986</v>
      </c>
      <c r="T726" s="65">
        <f t="shared" si="58"/>
        <v>0.24247980343529474</v>
      </c>
    </row>
    <row r="727" spans="1:20">
      <c r="A727" s="41">
        <f t="shared" si="59"/>
        <v>10</v>
      </c>
      <c r="B727" s="6" t="s">
        <v>868</v>
      </c>
      <c r="C727" s="20">
        <v>45954</v>
      </c>
      <c r="D727" s="6" t="s">
        <v>129</v>
      </c>
      <c r="E727" s="6" t="s">
        <v>103</v>
      </c>
      <c r="F727" s="6" t="s">
        <v>122</v>
      </c>
      <c r="G727" s="6" t="s">
        <v>160</v>
      </c>
      <c r="H727" s="6" t="s">
        <v>99</v>
      </c>
      <c r="I727" s="6" t="s">
        <v>100</v>
      </c>
      <c r="J727" s="25">
        <v>1</v>
      </c>
      <c r="K727" s="21">
        <v>418.63</v>
      </c>
      <c r="L727" s="63">
        <v>0.05</v>
      </c>
      <c r="M727" s="21">
        <v>234.79</v>
      </c>
      <c r="N727" s="6" t="s">
        <v>94</v>
      </c>
      <c r="O727" s="60">
        <f>Vendas2025[[#This Row],[Quantidade]]*Vendas2025[[#This Row],[Preço_Unitário_R$]]</f>
        <v>418.63</v>
      </c>
      <c r="P727" s="60">
        <f>Vendas2025[[#This Row],[Receita_Bruta_R$]]*Vendas2025[[#This Row],[Desconto_pct]]</f>
        <v>20.9315</v>
      </c>
      <c r="Q727" s="60">
        <f t="shared" si="55"/>
        <v>397.69849999999997</v>
      </c>
      <c r="R727" s="60">
        <f t="shared" si="56"/>
        <v>234.79</v>
      </c>
      <c r="S727" s="60">
        <f t="shared" si="57"/>
        <v>162.90849999999998</v>
      </c>
      <c r="T727" s="65">
        <f t="shared" si="58"/>
        <v>0.40962814795630353</v>
      </c>
    </row>
    <row r="728" spans="1:20">
      <c r="A728" s="41">
        <f t="shared" si="59"/>
        <v>10</v>
      </c>
      <c r="B728" s="6" t="s">
        <v>869</v>
      </c>
      <c r="C728" s="20">
        <v>45955</v>
      </c>
      <c r="D728" s="6" t="s">
        <v>96</v>
      </c>
      <c r="E728" s="6" t="s">
        <v>89</v>
      </c>
      <c r="F728" s="6" t="s">
        <v>90</v>
      </c>
      <c r="G728" s="6" t="s">
        <v>154</v>
      </c>
      <c r="H728" s="6" t="s">
        <v>124</v>
      </c>
      <c r="I728" s="6" t="s">
        <v>125</v>
      </c>
      <c r="J728" s="25">
        <v>1</v>
      </c>
      <c r="K728" s="21">
        <v>748.68</v>
      </c>
      <c r="L728" s="63">
        <v>0.15</v>
      </c>
      <c r="M728" s="21">
        <v>365.83</v>
      </c>
      <c r="N728" s="6" t="s">
        <v>94</v>
      </c>
      <c r="O728" s="60">
        <f>Vendas2025[[#This Row],[Quantidade]]*Vendas2025[[#This Row],[Preço_Unitário_R$]]</f>
        <v>748.68</v>
      </c>
      <c r="P728" s="60">
        <f>Vendas2025[[#This Row],[Receita_Bruta_R$]]*Vendas2025[[#This Row],[Desconto_pct]]</f>
        <v>112.30199999999999</v>
      </c>
      <c r="Q728" s="60">
        <f t="shared" si="55"/>
        <v>636.37799999999993</v>
      </c>
      <c r="R728" s="60">
        <f t="shared" si="56"/>
        <v>365.83</v>
      </c>
      <c r="S728" s="60">
        <f t="shared" si="57"/>
        <v>270.54799999999994</v>
      </c>
      <c r="T728" s="65">
        <f t="shared" si="58"/>
        <v>0.42513726118753314</v>
      </c>
    </row>
    <row r="729" spans="1:20">
      <c r="A729" s="41">
        <f t="shared" si="59"/>
        <v>10</v>
      </c>
      <c r="B729" s="6" t="s">
        <v>870</v>
      </c>
      <c r="C729" s="20">
        <v>45955</v>
      </c>
      <c r="D729" s="6" t="s">
        <v>129</v>
      </c>
      <c r="E729" s="6" t="s">
        <v>103</v>
      </c>
      <c r="F729" s="6" t="s">
        <v>90</v>
      </c>
      <c r="G729" s="6" t="s">
        <v>123</v>
      </c>
      <c r="H729" s="6" t="s">
        <v>92</v>
      </c>
      <c r="I729" s="6" t="s">
        <v>144</v>
      </c>
      <c r="J729" s="25">
        <v>1</v>
      </c>
      <c r="K729" s="21">
        <v>140.74</v>
      </c>
      <c r="L729" s="63">
        <v>0.25</v>
      </c>
      <c r="M729" s="21">
        <v>50.1</v>
      </c>
      <c r="N729" s="6" t="s">
        <v>94</v>
      </c>
      <c r="O729" s="60">
        <f>Vendas2025[[#This Row],[Quantidade]]*Vendas2025[[#This Row],[Preço_Unitário_R$]]</f>
        <v>140.74</v>
      </c>
      <c r="P729" s="60">
        <f>Vendas2025[[#This Row],[Receita_Bruta_R$]]*Vendas2025[[#This Row],[Desconto_pct]]</f>
        <v>35.185000000000002</v>
      </c>
      <c r="Q729" s="60">
        <f t="shared" si="55"/>
        <v>105.55500000000001</v>
      </c>
      <c r="R729" s="60">
        <f t="shared" si="56"/>
        <v>50.1</v>
      </c>
      <c r="S729" s="60">
        <f t="shared" si="57"/>
        <v>55.455000000000005</v>
      </c>
      <c r="T729" s="65">
        <f t="shared" si="58"/>
        <v>0.52536592297854201</v>
      </c>
    </row>
    <row r="730" spans="1:20">
      <c r="A730" s="41">
        <f t="shared" si="59"/>
        <v>10</v>
      </c>
      <c r="B730" s="6" t="s">
        <v>871</v>
      </c>
      <c r="C730" s="20">
        <v>45956</v>
      </c>
      <c r="D730" s="6" t="s">
        <v>113</v>
      </c>
      <c r="E730" s="6" t="s">
        <v>114</v>
      </c>
      <c r="F730" s="6" t="s">
        <v>122</v>
      </c>
      <c r="G730" s="6" t="s">
        <v>123</v>
      </c>
      <c r="H730" s="6" t="s">
        <v>124</v>
      </c>
      <c r="I730" s="6" t="s">
        <v>199</v>
      </c>
      <c r="J730" s="25">
        <v>2</v>
      </c>
      <c r="K730" s="21">
        <v>320.75</v>
      </c>
      <c r="L730" s="63">
        <v>0.03</v>
      </c>
      <c r="M730" s="21">
        <v>144.28</v>
      </c>
      <c r="N730" s="6" t="s">
        <v>94</v>
      </c>
      <c r="O730" s="60">
        <f>Vendas2025[[#This Row],[Quantidade]]*Vendas2025[[#This Row],[Preço_Unitário_R$]]</f>
        <v>641.5</v>
      </c>
      <c r="P730" s="60">
        <f>Vendas2025[[#This Row],[Receita_Bruta_R$]]*Vendas2025[[#This Row],[Desconto_pct]]</f>
        <v>19.245000000000001</v>
      </c>
      <c r="Q730" s="60">
        <f t="shared" si="55"/>
        <v>622.255</v>
      </c>
      <c r="R730" s="60">
        <f t="shared" si="56"/>
        <v>288.56</v>
      </c>
      <c r="S730" s="60">
        <f t="shared" si="57"/>
        <v>333.69499999999999</v>
      </c>
      <c r="T730" s="65">
        <f t="shared" si="58"/>
        <v>0.53626728591975958</v>
      </c>
    </row>
    <row r="731" spans="1:20">
      <c r="A731" s="41">
        <f t="shared" si="59"/>
        <v>10</v>
      </c>
      <c r="B731" s="6" t="s">
        <v>872</v>
      </c>
      <c r="C731" s="20">
        <v>45957</v>
      </c>
      <c r="D731" s="6" t="s">
        <v>118</v>
      </c>
      <c r="E731" s="6" t="s">
        <v>114</v>
      </c>
      <c r="F731" s="6" t="s">
        <v>97</v>
      </c>
      <c r="G731" s="6" t="s">
        <v>98</v>
      </c>
      <c r="H731" s="6" t="s">
        <v>119</v>
      </c>
      <c r="I731" s="6" t="s">
        <v>155</v>
      </c>
      <c r="J731" s="25">
        <v>1</v>
      </c>
      <c r="K731" s="21">
        <v>363.81</v>
      </c>
      <c r="L731" s="63">
        <v>0.1</v>
      </c>
      <c r="M731" s="21">
        <v>196.07</v>
      </c>
      <c r="N731" s="6" t="s">
        <v>94</v>
      </c>
      <c r="O731" s="60">
        <f>Vendas2025[[#This Row],[Quantidade]]*Vendas2025[[#This Row],[Preço_Unitário_R$]]</f>
        <v>363.81</v>
      </c>
      <c r="P731" s="60">
        <f>Vendas2025[[#This Row],[Receita_Bruta_R$]]*Vendas2025[[#This Row],[Desconto_pct]]</f>
        <v>36.381</v>
      </c>
      <c r="Q731" s="60">
        <f t="shared" si="55"/>
        <v>327.42899999999997</v>
      </c>
      <c r="R731" s="60">
        <f t="shared" si="56"/>
        <v>196.07</v>
      </c>
      <c r="S731" s="60">
        <f t="shared" si="57"/>
        <v>131.35899999999998</v>
      </c>
      <c r="T731" s="65">
        <f t="shared" si="58"/>
        <v>0.40118315726462833</v>
      </c>
    </row>
    <row r="732" spans="1:20">
      <c r="A732" s="41">
        <f t="shared" si="59"/>
        <v>10</v>
      </c>
      <c r="B732" s="6" t="s">
        <v>873</v>
      </c>
      <c r="C732" s="20">
        <v>45957</v>
      </c>
      <c r="D732" s="6" t="s">
        <v>136</v>
      </c>
      <c r="E732" s="6" t="s">
        <v>137</v>
      </c>
      <c r="F732" s="6" t="s">
        <v>122</v>
      </c>
      <c r="G732" s="6" t="s">
        <v>91</v>
      </c>
      <c r="H732" s="6" t="s">
        <v>92</v>
      </c>
      <c r="I732" s="6" t="s">
        <v>134</v>
      </c>
      <c r="J732" s="25">
        <v>2</v>
      </c>
      <c r="K732" s="21">
        <v>439.27</v>
      </c>
      <c r="L732" s="63">
        <v>0.1</v>
      </c>
      <c r="M732" s="21">
        <v>249.73</v>
      </c>
      <c r="N732" s="6" t="s">
        <v>94</v>
      </c>
      <c r="O732" s="60">
        <f>Vendas2025[[#This Row],[Quantidade]]*Vendas2025[[#This Row],[Preço_Unitário_R$]]</f>
        <v>878.54</v>
      </c>
      <c r="P732" s="60">
        <f>Vendas2025[[#This Row],[Receita_Bruta_R$]]*Vendas2025[[#This Row],[Desconto_pct]]</f>
        <v>87.853999999999999</v>
      </c>
      <c r="Q732" s="60">
        <f t="shared" si="55"/>
        <v>790.68599999999992</v>
      </c>
      <c r="R732" s="60">
        <f t="shared" si="56"/>
        <v>499.46</v>
      </c>
      <c r="S732" s="60">
        <f t="shared" si="57"/>
        <v>291.22599999999994</v>
      </c>
      <c r="T732" s="65">
        <f t="shared" si="58"/>
        <v>0.36832067344053138</v>
      </c>
    </row>
    <row r="733" spans="1:20">
      <c r="A733" s="41">
        <f t="shared" si="59"/>
        <v>10</v>
      </c>
      <c r="B733" s="6" t="s">
        <v>874</v>
      </c>
      <c r="C733" s="20">
        <v>45957</v>
      </c>
      <c r="D733" s="6" t="s">
        <v>102</v>
      </c>
      <c r="E733" s="6" t="s">
        <v>103</v>
      </c>
      <c r="F733" s="6" t="s">
        <v>104</v>
      </c>
      <c r="G733" s="6" t="s">
        <v>140</v>
      </c>
      <c r="H733" s="6" t="s">
        <v>99</v>
      </c>
      <c r="I733" s="6" t="s">
        <v>173</v>
      </c>
      <c r="J733" s="25">
        <v>1</v>
      </c>
      <c r="K733" s="21">
        <v>3589.55</v>
      </c>
      <c r="L733" s="63">
        <v>0.12</v>
      </c>
      <c r="M733" s="21">
        <v>2737.61</v>
      </c>
      <c r="N733" s="6" t="s">
        <v>94</v>
      </c>
      <c r="O733" s="60">
        <f>Vendas2025[[#This Row],[Quantidade]]*Vendas2025[[#This Row],[Preço_Unitário_R$]]</f>
        <v>3589.55</v>
      </c>
      <c r="P733" s="60">
        <f>Vendas2025[[#This Row],[Receita_Bruta_R$]]*Vendas2025[[#This Row],[Desconto_pct]]</f>
        <v>430.74599999999998</v>
      </c>
      <c r="Q733" s="60">
        <f t="shared" si="55"/>
        <v>3158.8040000000001</v>
      </c>
      <c r="R733" s="60">
        <f t="shared" si="56"/>
        <v>2737.61</v>
      </c>
      <c r="S733" s="60">
        <f t="shared" si="57"/>
        <v>421.19399999999996</v>
      </c>
      <c r="T733" s="65">
        <f t="shared" si="58"/>
        <v>0.13333970705368234</v>
      </c>
    </row>
    <row r="734" spans="1:20">
      <c r="A734" s="41">
        <f t="shared" si="59"/>
        <v>10</v>
      </c>
      <c r="B734" s="6" t="s">
        <v>875</v>
      </c>
      <c r="C734" s="20">
        <v>45957</v>
      </c>
      <c r="D734" s="6" t="s">
        <v>113</v>
      </c>
      <c r="E734" s="6" t="s">
        <v>114</v>
      </c>
      <c r="F734" s="6" t="s">
        <v>97</v>
      </c>
      <c r="G734" s="6" t="s">
        <v>105</v>
      </c>
      <c r="H734" s="6" t="s">
        <v>119</v>
      </c>
      <c r="I734" s="6" t="s">
        <v>120</v>
      </c>
      <c r="J734" s="25">
        <v>1</v>
      </c>
      <c r="K734" s="21">
        <v>2342.2199999999998</v>
      </c>
      <c r="L734" s="63">
        <v>0.1</v>
      </c>
      <c r="M734" s="21">
        <v>1612.76</v>
      </c>
      <c r="N734" s="6" t="s">
        <v>94</v>
      </c>
      <c r="O734" s="60">
        <f>Vendas2025[[#This Row],[Quantidade]]*Vendas2025[[#This Row],[Preço_Unitário_R$]]</f>
        <v>2342.2199999999998</v>
      </c>
      <c r="P734" s="60">
        <f>Vendas2025[[#This Row],[Receita_Bruta_R$]]*Vendas2025[[#This Row],[Desconto_pct]]</f>
        <v>234.22199999999998</v>
      </c>
      <c r="Q734" s="60">
        <f t="shared" si="55"/>
        <v>2107.9979999999996</v>
      </c>
      <c r="R734" s="60">
        <f t="shared" si="56"/>
        <v>1612.76</v>
      </c>
      <c r="S734" s="60">
        <f t="shared" si="57"/>
        <v>495.2379999999996</v>
      </c>
      <c r="T734" s="65">
        <f t="shared" si="58"/>
        <v>0.23493286046760942</v>
      </c>
    </row>
    <row r="735" spans="1:20">
      <c r="A735" s="41">
        <f t="shared" si="59"/>
        <v>10</v>
      </c>
      <c r="B735" s="6" t="s">
        <v>876</v>
      </c>
      <c r="C735" s="20">
        <v>45957</v>
      </c>
      <c r="D735" s="6" t="s">
        <v>102</v>
      </c>
      <c r="E735" s="6" t="s">
        <v>103</v>
      </c>
      <c r="F735" s="6" t="s">
        <v>104</v>
      </c>
      <c r="G735" s="6" t="s">
        <v>154</v>
      </c>
      <c r="H735" s="6" t="s">
        <v>106</v>
      </c>
      <c r="I735" s="6" t="s">
        <v>184</v>
      </c>
      <c r="J735" s="25">
        <v>1</v>
      </c>
      <c r="K735" s="21">
        <v>1150.3800000000001</v>
      </c>
      <c r="L735" s="63">
        <v>0.12</v>
      </c>
      <c r="M735" s="21">
        <v>828.7</v>
      </c>
      <c r="N735" s="6" t="s">
        <v>94</v>
      </c>
      <c r="O735" s="60">
        <f>Vendas2025[[#This Row],[Quantidade]]*Vendas2025[[#This Row],[Preço_Unitário_R$]]</f>
        <v>1150.3800000000001</v>
      </c>
      <c r="P735" s="60">
        <f>Vendas2025[[#This Row],[Receita_Bruta_R$]]*Vendas2025[[#This Row],[Desconto_pct]]</f>
        <v>138.04560000000001</v>
      </c>
      <c r="Q735" s="60">
        <f t="shared" si="55"/>
        <v>1012.3344000000001</v>
      </c>
      <c r="R735" s="60">
        <f t="shared" si="56"/>
        <v>828.7</v>
      </c>
      <c r="S735" s="60">
        <f t="shared" si="57"/>
        <v>183.63440000000003</v>
      </c>
      <c r="T735" s="65">
        <f t="shared" si="58"/>
        <v>0.18139697712534517</v>
      </c>
    </row>
    <row r="736" spans="1:20">
      <c r="A736" s="41">
        <f t="shared" si="59"/>
        <v>10</v>
      </c>
      <c r="B736" s="6" t="s">
        <v>877</v>
      </c>
      <c r="C736" s="20">
        <v>45957</v>
      </c>
      <c r="D736" s="6" t="s">
        <v>118</v>
      </c>
      <c r="E736" s="6" t="s">
        <v>114</v>
      </c>
      <c r="F736" s="6" t="s">
        <v>97</v>
      </c>
      <c r="G736" s="6" t="s">
        <v>177</v>
      </c>
      <c r="H736" s="6" t="s">
        <v>124</v>
      </c>
      <c r="I736" s="6" t="s">
        <v>193</v>
      </c>
      <c r="J736" s="25">
        <v>1</v>
      </c>
      <c r="K736" s="21">
        <v>380.91</v>
      </c>
      <c r="L736" s="63">
        <v>0</v>
      </c>
      <c r="M736" s="21">
        <v>164.21</v>
      </c>
      <c r="N736" s="6" t="s">
        <v>94</v>
      </c>
      <c r="O736" s="60">
        <f>Vendas2025[[#This Row],[Quantidade]]*Vendas2025[[#This Row],[Preço_Unitário_R$]]</f>
        <v>380.91</v>
      </c>
      <c r="P736" s="60">
        <f>Vendas2025[[#This Row],[Receita_Bruta_R$]]*Vendas2025[[#This Row],[Desconto_pct]]</f>
        <v>0</v>
      </c>
      <c r="Q736" s="60">
        <f t="shared" si="55"/>
        <v>380.91</v>
      </c>
      <c r="R736" s="60">
        <f t="shared" si="56"/>
        <v>164.21</v>
      </c>
      <c r="S736" s="60">
        <f t="shared" si="57"/>
        <v>216.70000000000002</v>
      </c>
      <c r="T736" s="65">
        <f t="shared" si="58"/>
        <v>0.56890079021291118</v>
      </c>
    </row>
    <row r="737" spans="1:20">
      <c r="A737" s="41">
        <f t="shared" si="59"/>
        <v>10</v>
      </c>
      <c r="B737" s="6" t="s">
        <v>878</v>
      </c>
      <c r="C737" s="20">
        <v>45958</v>
      </c>
      <c r="D737" s="6" t="s">
        <v>129</v>
      </c>
      <c r="E737" s="6" t="s">
        <v>103</v>
      </c>
      <c r="F737" s="6" t="s">
        <v>90</v>
      </c>
      <c r="G737" s="6" t="s">
        <v>91</v>
      </c>
      <c r="H737" s="6" t="s">
        <v>99</v>
      </c>
      <c r="I737" s="6" t="s">
        <v>158</v>
      </c>
      <c r="J737" s="25">
        <v>1</v>
      </c>
      <c r="K737" s="21">
        <v>200.52</v>
      </c>
      <c r="L737" s="63">
        <v>0.05</v>
      </c>
      <c r="M737" s="21">
        <v>95.18</v>
      </c>
      <c r="N737" s="6" t="s">
        <v>94</v>
      </c>
      <c r="O737" s="60">
        <f>Vendas2025[[#This Row],[Quantidade]]*Vendas2025[[#This Row],[Preço_Unitário_R$]]</f>
        <v>200.52</v>
      </c>
      <c r="P737" s="60">
        <f>Vendas2025[[#This Row],[Receita_Bruta_R$]]*Vendas2025[[#This Row],[Desconto_pct]]</f>
        <v>10.026000000000002</v>
      </c>
      <c r="Q737" s="60">
        <f t="shared" si="55"/>
        <v>190.494</v>
      </c>
      <c r="R737" s="60">
        <f t="shared" si="56"/>
        <v>95.18</v>
      </c>
      <c r="S737" s="60">
        <f t="shared" si="57"/>
        <v>95.313999999999993</v>
      </c>
      <c r="T737" s="65">
        <f t="shared" si="58"/>
        <v>0.50035171711444981</v>
      </c>
    </row>
    <row r="738" spans="1:20">
      <c r="A738" s="41">
        <f t="shared" si="59"/>
        <v>10</v>
      </c>
      <c r="B738" s="6" t="s">
        <v>879</v>
      </c>
      <c r="C738" s="20">
        <v>45958</v>
      </c>
      <c r="D738" s="6" t="s">
        <v>88</v>
      </c>
      <c r="E738" s="6" t="s">
        <v>89</v>
      </c>
      <c r="F738" s="6" t="s">
        <v>97</v>
      </c>
      <c r="G738" s="6" t="s">
        <v>127</v>
      </c>
      <c r="H738" s="6" t="s">
        <v>106</v>
      </c>
      <c r="I738" s="6" t="s">
        <v>116</v>
      </c>
      <c r="J738" s="25">
        <v>1</v>
      </c>
      <c r="K738" s="21">
        <v>438.7</v>
      </c>
      <c r="L738" s="63">
        <v>0.05</v>
      </c>
      <c r="M738" s="21">
        <v>246.34</v>
      </c>
      <c r="N738" s="6" t="s">
        <v>94</v>
      </c>
      <c r="O738" s="60">
        <f>Vendas2025[[#This Row],[Quantidade]]*Vendas2025[[#This Row],[Preço_Unitário_R$]]</f>
        <v>438.7</v>
      </c>
      <c r="P738" s="60">
        <f>Vendas2025[[#This Row],[Receita_Bruta_R$]]*Vendas2025[[#This Row],[Desconto_pct]]</f>
        <v>21.935000000000002</v>
      </c>
      <c r="Q738" s="60">
        <f t="shared" si="55"/>
        <v>416.76499999999999</v>
      </c>
      <c r="R738" s="60">
        <f t="shared" si="56"/>
        <v>246.34</v>
      </c>
      <c r="S738" s="60">
        <f t="shared" si="57"/>
        <v>170.42499999999998</v>
      </c>
      <c r="T738" s="65">
        <f t="shared" si="58"/>
        <v>0.4089234940554029</v>
      </c>
    </row>
    <row r="739" spans="1:20">
      <c r="A739" s="41">
        <f t="shared" si="59"/>
        <v>11</v>
      </c>
      <c r="B739" s="6" t="s">
        <v>880</v>
      </c>
      <c r="C739" s="20">
        <v>45962</v>
      </c>
      <c r="D739" s="6" t="s">
        <v>132</v>
      </c>
      <c r="E739" s="6" t="s">
        <v>89</v>
      </c>
      <c r="F739" s="6" t="s">
        <v>90</v>
      </c>
      <c r="G739" s="6" t="s">
        <v>140</v>
      </c>
      <c r="H739" s="6" t="s">
        <v>92</v>
      </c>
      <c r="I739" s="6" t="s">
        <v>93</v>
      </c>
      <c r="J739" s="25">
        <v>2</v>
      </c>
      <c r="K739" s="21">
        <v>230.97</v>
      </c>
      <c r="L739" s="63">
        <v>0.1</v>
      </c>
      <c r="M739" s="21">
        <v>98.94</v>
      </c>
      <c r="N739" s="6" t="s">
        <v>94</v>
      </c>
      <c r="O739" s="60">
        <f>Vendas2025[[#This Row],[Quantidade]]*Vendas2025[[#This Row],[Preço_Unitário_R$]]</f>
        <v>461.94</v>
      </c>
      <c r="P739" s="60">
        <f>Vendas2025[[#This Row],[Receita_Bruta_R$]]*Vendas2025[[#This Row],[Desconto_pct]]</f>
        <v>46.194000000000003</v>
      </c>
      <c r="Q739" s="60">
        <f t="shared" si="55"/>
        <v>415.74599999999998</v>
      </c>
      <c r="R739" s="60">
        <f t="shared" si="56"/>
        <v>197.88</v>
      </c>
      <c r="S739" s="60">
        <f t="shared" si="57"/>
        <v>217.86599999999999</v>
      </c>
      <c r="T739" s="65">
        <f t="shared" si="58"/>
        <v>0.52403631063197242</v>
      </c>
    </row>
    <row r="740" spans="1:20">
      <c r="A740" s="41">
        <f t="shared" si="59"/>
        <v>11</v>
      </c>
      <c r="B740" s="6" t="s">
        <v>881</v>
      </c>
      <c r="C740" s="20">
        <v>45962</v>
      </c>
      <c r="D740" s="6" t="s">
        <v>113</v>
      </c>
      <c r="E740" s="6" t="s">
        <v>114</v>
      </c>
      <c r="F740" s="6" t="s">
        <v>104</v>
      </c>
      <c r="G740" s="6" t="s">
        <v>177</v>
      </c>
      <c r="H740" s="6" t="s">
        <v>92</v>
      </c>
      <c r="I740" s="6" t="s">
        <v>144</v>
      </c>
      <c r="J740" s="25">
        <v>1</v>
      </c>
      <c r="K740" s="21">
        <v>137.09</v>
      </c>
      <c r="L740" s="63">
        <v>0.1</v>
      </c>
      <c r="M740" s="21">
        <v>49.55</v>
      </c>
      <c r="N740" s="6" t="s">
        <v>94</v>
      </c>
      <c r="O740" s="60">
        <f>Vendas2025[[#This Row],[Quantidade]]*Vendas2025[[#This Row],[Preço_Unitário_R$]]</f>
        <v>137.09</v>
      </c>
      <c r="P740" s="60">
        <f>Vendas2025[[#This Row],[Receita_Bruta_R$]]*Vendas2025[[#This Row],[Desconto_pct]]</f>
        <v>13.709000000000001</v>
      </c>
      <c r="Q740" s="60">
        <f t="shared" si="55"/>
        <v>123.381</v>
      </c>
      <c r="R740" s="60">
        <f t="shared" si="56"/>
        <v>49.55</v>
      </c>
      <c r="S740" s="60">
        <f t="shared" si="57"/>
        <v>73.831000000000003</v>
      </c>
      <c r="T740" s="65">
        <f t="shared" si="58"/>
        <v>0.59839845681263726</v>
      </c>
    </row>
    <row r="741" spans="1:20">
      <c r="A741" s="41">
        <f t="shared" si="59"/>
        <v>11</v>
      </c>
      <c r="B741" s="6" t="s">
        <v>882</v>
      </c>
      <c r="C741" s="20">
        <v>45963</v>
      </c>
      <c r="D741" s="6" t="s">
        <v>136</v>
      </c>
      <c r="E741" s="6" t="s">
        <v>137</v>
      </c>
      <c r="F741" s="6" t="s">
        <v>90</v>
      </c>
      <c r="G741" s="6" t="s">
        <v>127</v>
      </c>
      <c r="H741" s="6" t="s">
        <v>124</v>
      </c>
      <c r="I741" s="6" t="s">
        <v>199</v>
      </c>
      <c r="J741" s="25">
        <v>1</v>
      </c>
      <c r="K741" s="21">
        <v>302.51</v>
      </c>
      <c r="L741" s="63">
        <v>0.1</v>
      </c>
      <c r="M741" s="21">
        <v>135.87</v>
      </c>
      <c r="N741" s="6" t="s">
        <v>94</v>
      </c>
      <c r="O741" s="60">
        <f>Vendas2025[[#This Row],[Quantidade]]*Vendas2025[[#This Row],[Preço_Unitário_R$]]</f>
        <v>302.51</v>
      </c>
      <c r="P741" s="60">
        <f>Vendas2025[[#This Row],[Receita_Bruta_R$]]*Vendas2025[[#This Row],[Desconto_pct]]</f>
        <v>30.251000000000001</v>
      </c>
      <c r="Q741" s="60">
        <f t="shared" si="55"/>
        <v>272.25900000000001</v>
      </c>
      <c r="R741" s="60">
        <f t="shared" si="56"/>
        <v>135.87</v>
      </c>
      <c r="S741" s="60">
        <f t="shared" si="57"/>
        <v>136.38900000000001</v>
      </c>
      <c r="T741" s="65">
        <f t="shared" si="58"/>
        <v>0.50095313653543139</v>
      </c>
    </row>
    <row r="742" spans="1:20">
      <c r="A742" s="41">
        <f t="shared" si="59"/>
        <v>11</v>
      </c>
      <c r="B742" s="6" t="s">
        <v>883</v>
      </c>
      <c r="C742" s="20">
        <v>45963</v>
      </c>
      <c r="D742" s="6" t="s">
        <v>132</v>
      </c>
      <c r="E742" s="6" t="s">
        <v>89</v>
      </c>
      <c r="F742" s="6" t="s">
        <v>97</v>
      </c>
      <c r="G742" s="6" t="s">
        <v>140</v>
      </c>
      <c r="H742" s="6" t="s">
        <v>99</v>
      </c>
      <c r="I742" s="6" t="s">
        <v>100</v>
      </c>
      <c r="J742" s="25">
        <v>2</v>
      </c>
      <c r="K742" s="21">
        <v>445.56</v>
      </c>
      <c r="L742" s="63">
        <v>0.1</v>
      </c>
      <c r="M742" s="21">
        <v>257.72000000000003</v>
      </c>
      <c r="N742" s="6" t="s">
        <v>94</v>
      </c>
      <c r="O742" s="60">
        <f>Vendas2025[[#This Row],[Quantidade]]*Vendas2025[[#This Row],[Preço_Unitário_R$]]</f>
        <v>891.12</v>
      </c>
      <c r="P742" s="60">
        <f>Vendas2025[[#This Row],[Receita_Bruta_R$]]*Vendas2025[[#This Row],[Desconto_pct]]</f>
        <v>89.112000000000009</v>
      </c>
      <c r="Q742" s="60">
        <f t="shared" si="55"/>
        <v>802.00800000000004</v>
      </c>
      <c r="R742" s="60">
        <f t="shared" si="56"/>
        <v>515.44000000000005</v>
      </c>
      <c r="S742" s="60">
        <f t="shared" si="57"/>
        <v>286.56799999999998</v>
      </c>
      <c r="T742" s="65">
        <f t="shared" si="58"/>
        <v>0.35731314400853853</v>
      </c>
    </row>
    <row r="743" spans="1:20">
      <c r="A743" s="41">
        <f t="shared" si="59"/>
        <v>11</v>
      </c>
      <c r="B743" s="6" t="s">
        <v>884</v>
      </c>
      <c r="C743" s="20">
        <v>45963</v>
      </c>
      <c r="D743" s="6" t="s">
        <v>129</v>
      </c>
      <c r="E743" s="6" t="s">
        <v>103</v>
      </c>
      <c r="F743" s="6" t="s">
        <v>97</v>
      </c>
      <c r="G743" s="6" t="s">
        <v>105</v>
      </c>
      <c r="H743" s="6" t="s">
        <v>92</v>
      </c>
      <c r="I743" s="6" t="s">
        <v>144</v>
      </c>
      <c r="J743" s="25">
        <v>1</v>
      </c>
      <c r="K743" s="21">
        <v>159.09</v>
      </c>
      <c r="L743" s="63">
        <v>0.05</v>
      </c>
      <c r="M743" s="21">
        <v>53.65</v>
      </c>
      <c r="N743" s="6" t="s">
        <v>94</v>
      </c>
      <c r="O743" s="60">
        <f>Vendas2025[[#This Row],[Quantidade]]*Vendas2025[[#This Row],[Preço_Unitário_R$]]</f>
        <v>159.09</v>
      </c>
      <c r="P743" s="60">
        <f>Vendas2025[[#This Row],[Receita_Bruta_R$]]*Vendas2025[[#This Row],[Desconto_pct]]</f>
        <v>7.9545000000000003</v>
      </c>
      <c r="Q743" s="60">
        <f t="shared" si="55"/>
        <v>151.13550000000001</v>
      </c>
      <c r="R743" s="60">
        <f t="shared" si="56"/>
        <v>53.65</v>
      </c>
      <c r="S743" s="60">
        <f t="shared" si="57"/>
        <v>97.485500000000002</v>
      </c>
      <c r="T743" s="65">
        <f t="shared" si="58"/>
        <v>0.64502052793685138</v>
      </c>
    </row>
    <row r="744" spans="1:20">
      <c r="A744" s="41">
        <f t="shared" si="59"/>
        <v>11</v>
      </c>
      <c r="B744" s="6" t="s">
        <v>885</v>
      </c>
      <c r="C744" s="20">
        <v>45963</v>
      </c>
      <c r="D744" s="6" t="s">
        <v>88</v>
      </c>
      <c r="E744" s="6" t="s">
        <v>89</v>
      </c>
      <c r="F744" s="6" t="s">
        <v>122</v>
      </c>
      <c r="G744" s="6" t="s">
        <v>115</v>
      </c>
      <c r="H744" s="6" t="s">
        <v>119</v>
      </c>
      <c r="I744" s="6" t="s">
        <v>155</v>
      </c>
      <c r="J744" s="25">
        <v>1</v>
      </c>
      <c r="K744" s="21">
        <v>335.68</v>
      </c>
      <c r="L744" s="63">
        <v>0.1</v>
      </c>
      <c r="M744" s="21">
        <v>181.18</v>
      </c>
      <c r="N744" s="6" t="s">
        <v>94</v>
      </c>
      <c r="O744" s="60">
        <f>Vendas2025[[#This Row],[Quantidade]]*Vendas2025[[#This Row],[Preço_Unitário_R$]]</f>
        <v>335.68</v>
      </c>
      <c r="P744" s="60">
        <f>Vendas2025[[#This Row],[Receita_Bruta_R$]]*Vendas2025[[#This Row],[Desconto_pct]]</f>
        <v>33.568000000000005</v>
      </c>
      <c r="Q744" s="60">
        <f t="shared" si="55"/>
        <v>302.11200000000002</v>
      </c>
      <c r="R744" s="60">
        <f t="shared" si="56"/>
        <v>181.18</v>
      </c>
      <c r="S744" s="60">
        <f t="shared" si="57"/>
        <v>120.93200000000002</v>
      </c>
      <c r="T744" s="65">
        <f t="shared" si="58"/>
        <v>0.40028863467852982</v>
      </c>
    </row>
    <row r="745" spans="1:20">
      <c r="A745" s="41">
        <f t="shared" si="59"/>
        <v>11</v>
      </c>
      <c r="B745" s="6" t="s">
        <v>886</v>
      </c>
      <c r="C745" s="20">
        <v>45964</v>
      </c>
      <c r="D745" s="6" t="s">
        <v>129</v>
      </c>
      <c r="E745" s="6" t="s">
        <v>103</v>
      </c>
      <c r="F745" s="6" t="s">
        <v>97</v>
      </c>
      <c r="G745" s="6" t="s">
        <v>154</v>
      </c>
      <c r="H745" s="6" t="s">
        <v>92</v>
      </c>
      <c r="I745" s="6" t="s">
        <v>134</v>
      </c>
      <c r="J745" s="25">
        <v>1</v>
      </c>
      <c r="K745" s="21">
        <v>409.16</v>
      </c>
      <c r="L745" s="63">
        <v>0.08</v>
      </c>
      <c r="M745" s="21">
        <v>218.63</v>
      </c>
      <c r="N745" s="6" t="s">
        <v>94</v>
      </c>
      <c r="O745" s="60">
        <f>Vendas2025[[#This Row],[Quantidade]]*Vendas2025[[#This Row],[Preço_Unitário_R$]]</f>
        <v>409.16</v>
      </c>
      <c r="P745" s="60">
        <f>Vendas2025[[#This Row],[Receita_Bruta_R$]]*Vendas2025[[#This Row],[Desconto_pct]]</f>
        <v>32.732800000000005</v>
      </c>
      <c r="Q745" s="60">
        <f t="shared" si="55"/>
        <v>376.42720000000003</v>
      </c>
      <c r="R745" s="60">
        <f t="shared" si="56"/>
        <v>218.63</v>
      </c>
      <c r="S745" s="60">
        <f t="shared" si="57"/>
        <v>157.79720000000003</v>
      </c>
      <c r="T745" s="65">
        <f t="shared" si="58"/>
        <v>0.41919712496865269</v>
      </c>
    </row>
    <row r="746" spans="1:20">
      <c r="A746" s="41">
        <f t="shared" si="59"/>
        <v>11</v>
      </c>
      <c r="B746" s="6" t="s">
        <v>887</v>
      </c>
      <c r="C746" s="20">
        <v>45964</v>
      </c>
      <c r="D746" s="6" t="s">
        <v>102</v>
      </c>
      <c r="E746" s="6" t="s">
        <v>103</v>
      </c>
      <c r="F746" s="6" t="s">
        <v>90</v>
      </c>
      <c r="G746" s="6" t="s">
        <v>98</v>
      </c>
      <c r="H746" s="6" t="s">
        <v>106</v>
      </c>
      <c r="I746" s="6" t="s">
        <v>107</v>
      </c>
      <c r="J746" s="25">
        <v>3</v>
      </c>
      <c r="K746" s="21">
        <v>738.99</v>
      </c>
      <c r="L746" s="63">
        <v>0.1</v>
      </c>
      <c r="M746" s="21">
        <v>412</v>
      </c>
      <c r="N746" s="6" t="s">
        <v>94</v>
      </c>
      <c r="O746" s="60">
        <f>Vendas2025[[#This Row],[Quantidade]]*Vendas2025[[#This Row],[Preço_Unitário_R$]]</f>
        <v>2216.9700000000003</v>
      </c>
      <c r="P746" s="60">
        <f>Vendas2025[[#This Row],[Receita_Bruta_R$]]*Vendas2025[[#This Row],[Desconto_pct]]</f>
        <v>221.69700000000003</v>
      </c>
      <c r="Q746" s="60">
        <f t="shared" si="55"/>
        <v>1995.2730000000001</v>
      </c>
      <c r="R746" s="60">
        <f t="shared" si="56"/>
        <v>1236</v>
      </c>
      <c r="S746" s="60">
        <f t="shared" si="57"/>
        <v>759.27300000000014</v>
      </c>
      <c r="T746" s="65">
        <f t="shared" si="58"/>
        <v>0.38053589659159426</v>
      </c>
    </row>
    <row r="747" spans="1:20">
      <c r="A747" s="41">
        <f t="shared" si="59"/>
        <v>11</v>
      </c>
      <c r="B747" s="6" t="s">
        <v>888</v>
      </c>
      <c r="C747" s="20">
        <v>45964</v>
      </c>
      <c r="D747" s="6" t="s">
        <v>129</v>
      </c>
      <c r="E747" s="6" t="s">
        <v>103</v>
      </c>
      <c r="F747" s="6" t="s">
        <v>122</v>
      </c>
      <c r="G747" s="6" t="s">
        <v>123</v>
      </c>
      <c r="H747" s="6" t="s">
        <v>99</v>
      </c>
      <c r="I747" s="6" t="s">
        <v>173</v>
      </c>
      <c r="J747" s="25">
        <v>2</v>
      </c>
      <c r="K747" s="21">
        <v>3586.78</v>
      </c>
      <c r="L747" s="63">
        <v>0.2</v>
      </c>
      <c r="M747" s="21">
        <v>2882.13</v>
      </c>
      <c r="N747" s="6" t="s">
        <v>94</v>
      </c>
      <c r="O747" s="60">
        <f>Vendas2025[[#This Row],[Quantidade]]*Vendas2025[[#This Row],[Preço_Unitário_R$]]</f>
        <v>7173.56</v>
      </c>
      <c r="P747" s="60">
        <f>Vendas2025[[#This Row],[Receita_Bruta_R$]]*Vendas2025[[#This Row],[Desconto_pct]]</f>
        <v>1434.7120000000002</v>
      </c>
      <c r="Q747" s="60">
        <f t="shared" si="55"/>
        <v>5738.848</v>
      </c>
      <c r="R747" s="60">
        <f t="shared" si="56"/>
        <v>5764.26</v>
      </c>
      <c r="S747" s="60">
        <f t="shared" si="57"/>
        <v>-25.412000000000262</v>
      </c>
      <c r="T747" s="65">
        <f t="shared" si="58"/>
        <v>-4.4280663993889122E-3</v>
      </c>
    </row>
    <row r="748" spans="1:20">
      <c r="A748" s="41">
        <f t="shared" si="59"/>
        <v>11</v>
      </c>
      <c r="B748" s="6" t="s">
        <v>889</v>
      </c>
      <c r="C748" s="20">
        <v>45964</v>
      </c>
      <c r="D748" s="6" t="s">
        <v>132</v>
      </c>
      <c r="E748" s="6" t="s">
        <v>89</v>
      </c>
      <c r="F748" s="6" t="s">
        <v>90</v>
      </c>
      <c r="G748" s="6" t="s">
        <v>151</v>
      </c>
      <c r="H748" s="6" t="s">
        <v>99</v>
      </c>
      <c r="I748" s="6" t="s">
        <v>173</v>
      </c>
      <c r="J748" s="25">
        <v>1</v>
      </c>
      <c r="K748" s="21">
        <v>3932.42</v>
      </c>
      <c r="L748" s="63">
        <v>0.15</v>
      </c>
      <c r="M748" s="21">
        <v>3045.15</v>
      </c>
      <c r="N748" s="6" t="s">
        <v>94</v>
      </c>
      <c r="O748" s="60">
        <f>Vendas2025[[#This Row],[Quantidade]]*Vendas2025[[#This Row],[Preço_Unitário_R$]]</f>
        <v>3932.42</v>
      </c>
      <c r="P748" s="60">
        <f>Vendas2025[[#This Row],[Receita_Bruta_R$]]*Vendas2025[[#This Row],[Desconto_pct]]</f>
        <v>589.86299999999994</v>
      </c>
      <c r="Q748" s="60">
        <f t="shared" si="55"/>
        <v>3342.5570000000002</v>
      </c>
      <c r="R748" s="60">
        <f t="shared" si="56"/>
        <v>3045.15</v>
      </c>
      <c r="S748" s="60">
        <f t="shared" si="57"/>
        <v>297.40700000000015</v>
      </c>
      <c r="T748" s="65">
        <f t="shared" si="58"/>
        <v>8.8975894801494829E-2</v>
      </c>
    </row>
    <row r="749" spans="1:20">
      <c r="A749" s="41">
        <f t="shared" si="59"/>
        <v>11</v>
      </c>
      <c r="B749" s="6" t="s">
        <v>890</v>
      </c>
      <c r="C749" s="20">
        <v>45964</v>
      </c>
      <c r="D749" s="6" t="s">
        <v>136</v>
      </c>
      <c r="E749" s="6" t="s">
        <v>137</v>
      </c>
      <c r="F749" s="6" t="s">
        <v>97</v>
      </c>
      <c r="G749" s="6" t="s">
        <v>127</v>
      </c>
      <c r="H749" s="6" t="s">
        <v>106</v>
      </c>
      <c r="I749" s="6" t="s">
        <v>107</v>
      </c>
      <c r="J749" s="25">
        <v>1</v>
      </c>
      <c r="K749" s="21">
        <v>712.4</v>
      </c>
      <c r="L749" s="63">
        <v>0.125</v>
      </c>
      <c r="M749" s="21">
        <v>417.93</v>
      </c>
      <c r="N749" s="6" t="s">
        <v>94</v>
      </c>
      <c r="O749" s="60">
        <f>Vendas2025[[#This Row],[Quantidade]]*Vendas2025[[#This Row],[Preço_Unitário_R$]]</f>
        <v>712.4</v>
      </c>
      <c r="P749" s="60">
        <f>Vendas2025[[#This Row],[Receita_Bruta_R$]]*Vendas2025[[#This Row],[Desconto_pct]]</f>
        <v>89.05</v>
      </c>
      <c r="Q749" s="60">
        <f t="shared" si="55"/>
        <v>623.35</v>
      </c>
      <c r="R749" s="60">
        <f t="shared" si="56"/>
        <v>417.93</v>
      </c>
      <c r="S749" s="60">
        <f t="shared" si="57"/>
        <v>205.42000000000002</v>
      </c>
      <c r="T749" s="65">
        <f t="shared" si="58"/>
        <v>0.3295419908558595</v>
      </c>
    </row>
    <row r="750" spans="1:20">
      <c r="A750" s="41">
        <f t="shared" si="59"/>
        <v>11</v>
      </c>
      <c r="B750" s="6" t="s">
        <v>891</v>
      </c>
      <c r="C750" s="20">
        <v>45965</v>
      </c>
      <c r="D750" s="6" t="s">
        <v>88</v>
      </c>
      <c r="E750" s="6" t="s">
        <v>89</v>
      </c>
      <c r="F750" s="6" t="s">
        <v>122</v>
      </c>
      <c r="G750" s="6" t="s">
        <v>123</v>
      </c>
      <c r="H750" s="6" t="s">
        <v>124</v>
      </c>
      <c r="I750" s="6" t="s">
        <v>193</v>
      </c>
      <c r="J750" s="25">
        <v>1</v>
      </c>
      <c r="K750" s="21">
        <v>360.84</v>
      </c>
      <c r="L750" s="63">
        <v>0.1</v>
      </c>
      <c r="M750" s="21">
        <v>153.52000000000001</v>
      </c>
      <c r="N750" s="6" t="s">
        <v>94</v>
      </c>
      <c r="O750" s="60">
        <f>Vendas2025[[#This Row],[Quantidade]]*Vendas2025[[#This Row],[Preço_Unitário_R$]]</f>
        <v>360.84</v>
      </c>
      <c r="P750" s="60">
        <f>Vendas2025[[#This Row],[Receita_Bruta_R$]]*Vendas2025[[#This Row],[Desconto_pct]]</f>
        <v>36.083999999999996</v>
      </c>
      <c r="Q750" s="60">
        <f t="shared" si="55"/>
        <v>324.75599999999997</v>
      </c>
      <c r="R750" s="60">
        <f t="shared" si="56"/>
        <v>153.52000000000001</v>
      </c>
      <c r="S750" s="60">
        <f t="shared" si="57"/>
        <v>171.23599999999996</v>
      </c>
      <c r="T750" s="65">
        <f t="shared" si="58"/>
        <v>0.52727586249368752</v>
      </c>
    </row>
    <row r="751" spans="1:20">
      <c r="A751" s="41">
        <f t="shared" si="59"/>
        <v>11</v>
      </c>
      <c r="B751" s="6" t="s">
        <v>892</v>
      </c>
      <c r="C751" s="20">
        <v>45965</v>
      </c>
      <c r="D751" s="6" t="s">
        <v>113</v>
      </c>
      <c r="E751" s="6" t="s">
        <v>114</v>
      </c>
      <c r="F751" s="6" t="s">
        <v>90</v>
      </c>
      <c r="G751" s="6" t="s">
        <v>91</v>
      </c>
      <c r="H751" s="6" t="s">
        <v>124</v>
      </c>
      <c r="I751" s="6" t="s">
        <v>125</v>
      </c>
      <c r="J751" s="25">
        <v>1</v>
      </c>
      <c r="K751" s="21">
        <v>661.03</v>
      </c>
      <c r="L751" s="63">
        <v>0.2</v>
      </c>
      <c r="M751" s="21">
        <v>316.70999999999998</v>
      </c>
      <c r="N751" s="6" t="s">
        <v>94</v>
      </c>
      <c r="O751" s="60">
        <f>Vendas2025[[#This Row],[Quantidade]]*Vendas2025[[#This Row],[Preço_Unitário_R$]]</f>
        <v>661.03</v>
      </c>
      <c r="P751" s="60">
        <f>Vendas2025[[#This Row],[Receita_Bruta_R$]]*Vendas2025[[#This Row],[Desconto_pct]]</f>
        <v>132.20599999999999</v>
      </c>
      <c r="Q751" s="60">
        <f t="shared" si="55"/>
        <v>528.82399999999996</v>
      </c>
      <c r="R751" s="60">
        <f t="shared" si="56"/>
        <v>316.70999999999998</v>
      </c>
      <c r="S751" s="60">
        <f t="shared" si="57"/>
        <v>212.11399999999998</v>
      </c>
      <c r="T751" s="65">
        <f t="shared" si="58"/>
        <v>0.40110509356610136</v>
      </c>
    </row>
    <row r="752" spans="1:20">
      <c r="A752" s="41">
        <f t="shared" si="59"/>
        <v>11</v>
      </c>
      <c r="B752" s="6" t="s">
        <v>893</v>
      </c>
      <c r="C752" s="20">
        <v>45965</v>
      </c>
      <c r="D752" s="6" t="s">
        <v>96</v>
      </c>
      <c r="E752" s="6" t="s">
        <v>89</v>
      </c>
      <c r="F752" s="6" t="s">
        <v>97</v>
      </c>
      <c r="G752" s="6" t="s">
        <v>154</v>
      </c>
      <c r="H752" s="6" t="s">
        <v>106</v>
      </c>
      <c r="I752" s="6" t="s">
        <v>107</v>
      </c>
      <c r="J752" s="25">
        <v>1</v>
      </c>
      <c r="K752" s="21">
        <v>679.6</v>
      </c>
      <c r="L752" s="63">
        <v>2.5000000000000001E-2</v>
      </c>
      <c r="M752" s="21">
        <v>397.56</v>
      </c>
      <c r="N752" s="6" t="s">
        <v>94</v>
      </c>
      <c r="O752" s="60">
        <f>Vendas2025[[#This Row],[Quantidade]]*Vendas2025[[#This Row],[Preço_Unitário_R$]]</f>
        <v>679.6</v>
      </c>
      <c r="P752" s="60">
        <f>Vendas2025[[#This Row],[Receita_Bruta_R$]]*Vendas2025[[#This Row],[Desconto_pct]]</f>
        <v>16.990000000000002</v>
      </c>
      <c r="Q752" s="60">
        <f t="shared" si="55"/>
        <v>662.61</v>
      </c>
      <c r="R752" s="60">
        <f t="shared" si="56"/>
        <v>397.56</v>
      </c>
      <c r="S752" s="60">
        <f t="shared" si="57"/>
        <v>265.05</v>
      </c>
      <c r="T752" s="65">
        <f t="shared" si="58"/>
        <v>0.40000905510028523</v>
      </c>
    </row>
    <row r="753" spans="1:20">
      <c r="A753" s="41">
        <f t="shared" si="59"/>
        <v>11</v>
      </c>
      <c r="B753" s="6" t="s">
        <v>894</v>
      </c>
      <c r="C753" s="20">
        <v>45965</v>
      </c>
      <c r="D753" s="6" t="s">
        <v>118</v>
      </c>
      <c r="E753" s="6" t="s">
        <v>114</v>
      </c>
      <c r="F753" s="6" t="s">
        <v>104</v>
      </c>
      <c r="G753" s="6" t="s">
        <v>91</v>
      </c>
      <c r="H753" s="6" t="s">
        <v>106</v>
      </c>
      <c r="I753" s="6" t="s">
        <v>111</v>
      </c>
      <c r="J753" s="25">
        <v>3</v>
      </c>
      <c r="K753" s="21">
        <v>271.31</v>
      </c>
      <c r="L753" s="63">
        <v>0</v>
      </c>
      <c r="M753" s="21">
        <v>122.13</v>
      </c>
      <c r="N753" s="6" t="s">
        <v>94</v>
      </c>
      <c r="O753" s="60">
        <f>Vendas2025[[#This Row],[Quantidade]]*Vendas2025[[#This Row],[Preço_Unitário_R$]]</f>
        <v>813.93000000000006</v>
      </c>
      <c r="P753" s="60">
        <f>Vendas2025[[#This Row],[Receita_Bruta_R$]]*Vendas2025[[#This Row],[Desconto_pct]]</f>
        <v>0</v>
      </c>
      <c r="Q753" s="60">
        <f t="shared" si="55"/>
        <v>813.93000000000006</v>
      </c>
      <c r="R753" s="60">
        <f t="shared" si="56"/>
        <v>366.39</v>
      </c>
      <c r="S753" s="60">
        <f t="shared" si="57"/>
        <v>447.54000000000008</v>
      </c>
      <c r="T753" s="65">
        <f t="shared" si="58"/>
        <v>0.54985072426375736</v>
      </c>
    </row>
    <row r="754" spans="1:20">
      <c r="A754" s="41">
        <f t="shared" si="59"/>
        <v>11</v>
      </c>
      <c r="B754" s="6" t="s">
        <v>895</v>
      </c>
      <c r="C754" s="20">
        <v>45965</v>
      </c>
      <c r="D754" s="6" t="s">
        <v>129</v>
      </c>
      <c r="E754" s="6" t="s">
        <v>103</v>
      </c>
      <c r="F754" s="6" t="s">
        <v>122</v>
      </c>
      <c r="G754" s="6" t="s">
        <v>154</v>
      </c>
      <c r="H754" s="6" t="s">
        <v>124</v>
      </c>
      <c r="I754" s="6" t="s">
        <v>199</v>
      </c>
      <c r="J754" s="25">
        <v>1</v>
      </c>
      <c r="K754" s="21">
        <v>324.04000000000002</v>
      </c>
      <c r="L754" s="63">
        <v>0.1</v>
      </c>
      <c r="M754" s="21">
        <v>150.87</v>
      </c>
      <c r="N754" s="6" t="s">
        <v>94</v>
      </c>
      <c r="O754" s="60">
        <f>Vendas2025[[#This Row],[Quantidade]]*Vendas2025[[#This Row],[Preço_Unitário_R$]]</f>
        <v>324.04000000000002</v>
      </c>
      <c r="P754" s="60">
        <f>Vendas2025[[#This Row],[Receita_Bruta_R$]]*Vendas2025[[#This Row],[Desconto_pct]]</f>
        <v>32.404000000000003</v>
      </c>
      <c r="Q754" s="60">
        <f t="shared" si="55"/>
        <v>291.63600000000002</v>
      </c>
      <c r="R754" s="60">
        <f t="shared" si="56"/>
        <v>150.87</v>
      </c>
      <c r="S754" s="60">
        <f t="shared" si="57"/>
        <v>140.76600000000002</v>
      </c>
      <c r="T754" s="65">
        <f t="shared" si="58"/>
        <v>0.48267703575690246</v>
      </c>
    </row>
    <row r="755" spans="1:20">
      <c r="A755" s="41">
        <f t="shared" si="59"/>
        <v>11</v>
      </c>
      <c r="B755" s="6" t="s">
        <v>896</v>
      </c>
      <c r="C755" s="20">
        <v>45965</v>
      </c>
      <c r="D755" s="6" t="s">
        <v>102</v>
      </c>
      <c r="E755" s="6" t="s">
        <v>103</v>
      </c>
      <c r="F755" s="6" t="s">
        <v>97</v>
      </c>
      <c r="G755" s="6" t="s">
        <v>91</v>
      </c>
      <c r="H755" s="6" t="s">
        <v>106</v>
      </c>
      <c r="I755" s="6" t="s">
        <v>170</v>
      </c>
      <c r="J755" s="25">
        <v>1</v>
      </c>
      <c r="K755" s="21">
        <v>490.77</v>
      </c>
      <c r="L755" s="63">
        <v>0</v>
      </c>
      <c r="M755" s="21">
        <v>262.58999999999997</v>
      </c>
      <c r="N755" s="6" t="s">
        <v>94</v>
      </c>
      <c r="O755" s="60">
        <f>Vendas2025[[#This Row],[Quantidade]]*Vendas2025[[#This Row],[Preço_Unitário_R$]]</f>
        <v>490.77</v>
      </c>
      <c r="P755" s="60">
        <f>Vendas2025[[#This Row],[Receita_Bruta_R$]]*Vendas2025[[#This Row],[Desconto_pct]]</f>
        <v>0</v>
      </c>
      <c r="Q755" s="60">
        <f t="shared" si="55"/>
        <v>490.77</v>
      </c>
      <c r="R755" s="60">
        <f t="shared" si="56"/>
        <v>262.58999999999997</v>
      </c>
      <c r="S755" s="60">
        <f t="shared" si="57"/>
        <v>228.18</v>
      </c>
      <c r="T755" s="65">
        <f t="shared" si="58"/>
        <v>0.46494284491717103</v>
      </c>
    </row>
    <row r="756" spans="1:20">
      <c r="A756" s="41">
        <f t="shared" si="59"/>
        <v>11</v>
      </c>
      <c r="B756" s="6" t="s">
        <v>897</v>
      </c>
      <c r="C756" s="20">
        <v>45965</v>
      </c>
      <c r="D756" s="6" t="s">
        <v>132</v>
      </c>
      <c r="E756" s="6" t="s">
        <v>89</v>
      </c>
      <c r="F756" s="6" t="s">
        <v>97</v>
      </c>
      <c r="G756" s="6" t="s">
        <v>140</v>
      </c>
      <c r="H756" s="6" t="s">
        <v>99</v>
      </c>
      <c r="I756" s="6" t="s">
        <v>158</v>
      </c>
      <c r="J756" s="25">
        <v>1</v>
      </c>
      <c r="K756" s="21">
        <v>191.39</v>
      </c>
      <c r="L756" s="63">
        <v>0.05</v>
      </c>
      <c r="M756" s="21">
        <v>86.55</v>
      </c>
      <c r="N756" s="6" t="s">
        <v>94</v>
      </c>
      <c r="O756" s="60">
        <f>Vendas2025[[#This Row],[Quantidade]]*Vendas2025[[#This Row],[Preço_Unitário_R$]]</f>
        <v>191.39</v>
      </c>
      <c r="P756" s="60">
        <f>Vendas2025[[#This Row],[Receita_Bruta_R$]]*Vendas2025[[#This Row],[Desconto_pct]]</f>
        <v>9.5694999999999997</v>
      </c>
      <c r="Q756" s="60">
        <f t="shared" si="55"/>
        <v>181.82049999999998</v>
      </c>
      <c r="R756" s="60">
        <f t="shared" si="56"/>
        <v>86.55</v>
      </c>
      <c r="S756" s="60">
        <f t="shared" si="57"/>
        <v>95.270499999999984</v>
      </c>
      <c r="T756" s="65">
        <f t="shared" si="58"/>
        <v>0.52398106924136711</v>
      </c>
    </row>
    <row r="757" spans="1:20">
      <c r="A757" s="41">
        <f t="shared" si="59"/>
        <v>11</v>
      </c>
      <c r="B757" s="6" t="s">
        <v>898</v>
      </c>
      <c r="C757" s="20">
        <v>45966</v>
      </c>
      <c r="D757" s="6" t="s">
        <v>113</v>
      </c>
      <c r="E757" s="6" t="s">
        <v>114</v>
      </c>
      <c r="F757" s="6" t="s">
        <v>97</v>
      </c>
      <c r="G757" s="6" t="s">
        <v>105</v>
      </c>
      <c r="H757" s="6" t="s">
        <v>99</v>
      </c>
      <c r="I757" s="6" t="s">
        <v>100</v>
      </c>
      <c r="J757" s="25">
        <v>1</v>
      </c>
      <c r="K757" s="21">
        <v>452.43</v>
      </c>
      <c r="L757" s="63">
        <v>0.05</v>
      </c>
      <c r="M757" s="21">
        <v>267.51</v>
      </c>
      <c r="N757" s="6" t="s">
        <v>94</v>
      </c>
      <c r="O757" s="60">
        <f>Vendas2025[[#This Row],[Quantidade]]*Vendas2025[[#This Row],[Preço_Unitário_R$]]</f>
        <v>452.43</v>
      </c>
      <c r="P757" s="60">
        <f>Vendas2025[[#This Row],[Receita_Bruta_R$]]*Vendas2025[[#This Row],[Desconto_pct]]</f>
        <v>22.621500000000001</v>
      </c>
      <c r="Q757" s="60">
        <f t="shared" si="55"/>
        <v>429.80849999999998</v>
      </c>
      <c r="R757" s="60">
        <f t="shared" si="56"/>
        <v>267.51</v>
      </c>
      <c r="S757" s="60">
        <f t="shared" si="57"/>
        <v>162.29849999999999</v>
      </c>
      <c r="T757" s="65">
        <f t="shared" si="58"/>
        <v>0.3776065387259675</v>
      </c>
    </row>
    <row r="758" spans="1:20">
      <c r="A758" s="41">
        <f t="shared" si="59"/>
        <v>11</v>
      </c>
      <c r="B758" s="6" t="s">
        <v>899</v>
      </c>
      <c r="C758" s="20">
        <v>45966</v>
      </c>
      <c r="D758" s="6" t="s">
        <v>129</v>
      </c>
      <c r="E758" s="6" t="s">
        <v>103</v>
      </c>
      <c r="F758" s="6" t="s">
        <v>122</v>
      </c>
      <c r="G758" s="6" t="s">
        <v>154</v>
      </c>
      <c r="H758" s="6" t="s">
        <v>124</v>
      </c>
      <c r="I758" s="6" t="s">
        <v>199</v>
      </c>
      <c r="J758" s="25">
        <v>1</v>
      </c>
      <c r="K758" s="21">
        <v>321.86</v>
      </c>
      <c r="L758" s="63">
        <v>0.05</v>
      </c>
      <c r="M758" s="21">
        <v>152.81</v>
      </c>
      <c r="N758" s="6" t="s">
        <v>94</v>
      </c>
      <c r="O758" s="60">
        <f>Vendas2025[[#This Row],[Quantidade]]*Vendas2025[[#This Row],[Preço_Unitário_R$]]</f>
        <v>321.86</v>
      </c>
      <c r="P758" s="60">
        <f>Vendas2025[[#This Row],[Receita_Bruta_R$]]*Vendas2025[[#This Row],[Desconto_pct]]</f>
        <v>16.093</v>
      </c>
      <c r="Q758" s="60">
        <f t="shared" si="55"/>
        <v>305.767</v>
      </c>
      <c r="R758" s="60">
        <f t="shared" si="56"/>
        <v>152.81</v>
      </c>
      <c r="S758" s="60">
        <f t="shared" si="57"/>
        <v>152.95699999999999</v>
      </c>
      <c r="T758" s="65">
        <f t="shared" si="58"/>
        <v>0.50024037911219976</v>
      </c>
    </row>
    <row r="759" spans="1:20">
      <c r="A759" s="41">
        <f t="shared" si="59"/>
        <v>11</v>
      </c>
      <c r="B759" s="6" t="s">
        <v>900</v>
      </c>
      <c r="C759" s="20">
        <v>45966</v>
      </c>
      <c r="D759" s="6" t="s">
        <v>96</v>
      </c>
      <c r="E759" s="6" t="s">
        <v>89</v>
      </c>
      <c r="F759" s="6" t="s">
        <v>122</v>
      </c>
      <c r="G759" s="6" t="s">
        <v>115</v>
      </c>
      <c r="H759" s="6" t="s">
        <v>92</v>
      </c>
      <c r="I759" s="6" t="s">
        <v>144</v>
      </c>
      <c r="J759" s="25">
        <v>1</v>
      </c>
      <c r="K759" s="21">
        <v>148.38999999999999</v>
      </c>
      <c r="L759" s="63">
        <v>0.15</v>
      </c>
      <c r="M759" s="21">
        <v>53.16</v>
      </c>
      <c r="N759" s="6" t="s">
        <v>94</v>
      </c>
      <c r="O759" s="60">
        <f>Vendas2025[[#This Row],[Quantidade]]*Vendas2025[[#This Row],[Preço_Unitário_R$]]</f>
        <v>148.38999999999999</v>
      </c>
      <c r="P759" s="60">
        <f>Vendas2025[[#This Row],[Receita_Bruta_R$]]*Vendas2025[[#This Row],[Desconto_pct]]</f>
        <v>22.258499999999998</v>
      </c>
      <c r="Q759" s="60">
        <f t="shared" si="55"/>
        <v>126.13149999999999</v>
      </c>
      <c r="R759" s="60">
        <f t="shared" si="56"/>
        <v>53.16</v>
      </c>
      <c r="S759" s="60">
        <f t="shared" si="57"/>
        <v>72.971499999999992</v>
      </c>
      <c r="T759" s="65">
        <f t="shared" si="58"/>
        <v>0.57853510027233479</v>
      </c>
    </row>
    <row r="760" spans="1:20">
      <c r="A760" s="41">
        <f t="shared" si="59"/>
        <v>11</v>
      </c>
      <c r="B760" s="6" t="s">
        <v>901</v>
      </c>
      <c r="C760" s="20">
        <v>45966</v>
      </c>
      <c r="D760" s="6" t="s">
        <v>132</v>
      </c>
      <c r="E760" s="6" t="s">
        <v>89</v>
      </c>
      <c r="F760" s="6" t="s">
        <v>97</v>
      </c>
      <c r="G760" s="6" t="s">
        <v>140</v>
      </c>
      <c r="H760" s="6" t="s">
        <v>99</v>
      </c>
      <c r="I760" s="6" t="s">
        <v>100</v>
      </c>
      <c r="J760" s="25">
        <v>1</v>
      </c>
      <c r="K760" s="21">
        <v>388.79</v>
      </c>
      <c r="L760" s="63">
        <v>0.08</v>
      </c>
      <c r="M760" s="21">
        <v>222.45</v>
      </c>
      <c r="N760" s="6" t="s">
        <v>94</v>
      </c>
      <c r="O760" s="60">
        <f>Vendas2025[[#This Row],[Quantidade]]*Vendas2025[[#This Row],[Preço_Unitário_R$]]</f>
        <v>388.79</v>
      </c>
      <c r="P760" s="60">
        <f>Vendas2025[[#This Row],[Receita_Bruta_R$]]*Vendas2025[[#This Row],[Desconto_pct]]</f>
        <v>31.103200000000001</v>
      </c>
      <c r="Q760" s="60">
        <f t="shared" si="55"/>
        <v>357.68680000000001</v>
      </c>
      <c r="R760" s="60">
        <f t="shared" si="56"/>
        <v>222.45</v>
      </c>
      <c r="S760" s="60">
        <f t="shared" si="57"/>
        <v>135.23680000000002</v>
      </c>
      <c r="T760" s="65">
        <f t="shared" si="58"/>
        <v>0.37808719807384567</v>
      </c>
    </row>
    <row r="761" spans="1:20">
      <c r="A761" s="41">
        <f t="shared" si="59"/>
        <v>11</v>
      </c>
      <c r="B761" s="6" t="s">
        <v>902</v>
      </c>
      <c r="C761" s="20">
        <v>45966</v>
      </c>
      <c r="D761" s="6" t="s">
        <v>136</v>
      </c>
      <c r="E761" s="6" t="s">
        <v>137</v>
      </c>
      <c r="F761" s="6" t="s">
        <v>90</v>
      </c>
      <c r="G761" s="6" t="s">
        <v>123</v>
      </c>
      <c r="H761" s="6" t="s">
        <v>92</v>
      </c>
      <c r="I761" s="6" t="s">
        <v>134</v>
      </c>
      <c r="J761" s="25">
        <v>3</v>
      </c>
      <c r="K761" s="21">
        <v>419.08</v>
      </c>
      <c r="L761" s="63">
        <v>0.05</v>
      </c>
      <c r="M761" s="21">
        <v>222.51</v>
      </c>
      <c r="N761" s="6" t="s">
        <v>94</v>
      </c>
      <c r="O761" s="60">
        <f>Vendas2025[[#This Row],[Quantidade]]*Vendas2025[[#This Row],[Preço_Unitário_R$]]</f>
        <v>1257.24</v>
      </c>
      <c r="P761" s="60">
        <f>Vendas2025[[#This Row],[Receita_Bruta_R$]]*Vendas2025[[#This Row],[Desconto_pct]]</f>
        <v>62.862000000000002</v>
      </c>
      <c r="Q761" s="60">
        <f t="shared" si="55"/>
        <v>1194.3779999999999</v>
      </c>
      <c r="R761" s="60">
        <f t="shared" si="56"/>
        <v>667.53</v>
      </c>
      <c r="S761" s="60">
        <f t="shared" si="57"/>
        <v>526.84799999999996</v>
      </c>
      <c r="T761" s="65">
        <f t="shared" si="58"/>
        <v>0.44110658434766881</v>
      </c>
    </row>
    <row r="762" spans="1:20">
      <c r="A762" s="41">
        <f t="shared" si="59"/>
        <v>11</v>
      </c>
      <c r="B762" s="6" t="s">
        <v>903</v>
      </c>
      <c r="C762" s="20">
        <v>45966</v>
      </c>
      <c r="D762" s="6" t="s">
        <v>96</v>
      </c>
      <c r="E762" s="6" t="s">
        <v>89</v>
      </c>
      <c r="F762" s="6" t="s">
        <v>122</v>
      </c>
      <c r="G762" s="6" t="s">
        <v>151</v>
      </c>
      <c r="H762" s="6" t="s">
        <v>92</v>
      </c>
      <c r="I762" s="6" t="s">
        <v>134</v>
      </c>
      <c r="J762" s="25">
        <v>1</v>
      </c>
      <c r="K762" s="21">
        <v>394.79</v>
      </c>
      <c r="L762" s="63">
        <v>0.2</v>
      </c>
      <c r="M762" s="21">
        <v>209.07</v>
      </c>
      <c r="N762" s="6" t="s">
        <v>94</v>
      </c>
      <c r="O762" s="60">
        <f>Vendas2025[[#This Row],[Quantidade]]*Vendas2025[[#This Row],[Preço_Unitário_R$]]</f>
        <v>394.79</v>
      </c>
      <c r="P762" s="60">
        <f>Vendas2025[[#This Row],[Receita_Bruta_R$]]*Vendas2025[[#This Row],[Desconto_pct]]</f>
        <v>78.958000000000013</v>
      </c>
      <c r="Q762" s="60">
        <f t="shared" si="55"/>
        <v>315.83199999999999</v>
      </c>
      <c r="R762" s="60">
        <f t="shared" si="56"/>
        <v>209.07</v>
      </c>
      <c r="S762" s="60">
        <f t="shared" si="57"/>
        <v>106.762</v>
      </c>
      <c r="T762" s="65">
        <f t="shared" si="58"/>
        <v>0.33803414473517568</v>
      </c>
    </row>
    <row r="763" spans="1:20">
      <c r="A763" s="41">
        <f t="shared" si="59"/>
        <v>11</v>
      </c>
      <c r="B763" s="6" t="s">
        <v>904</v>
      </c>
      <c r="C763" s="20">
        <v>45966</v>
      </c>
      <c r="D763" s="6" t="s">
        <v>118</v>
      </c>
      <c r="E763" s="6" t="s">
        <v>114</v>
      </c>
      <c r="F763" s="6" t="s">
        <v>122</v>
      </c>
      <c r="G763" s="6" t="s">
        <v>177</v>
      </c>
      <c r="H763" s="6" t="s">
        <v>124</v>
      </c>
      <c r="I763" s="6" t="s">
        <v>193</v>
      </c>
      <c r="J763" s="25">
        <v>1</v>
      </c>
      <c r="K763" s="21">
        <v>349.64</v>
      </c>
      <c r="L763" s="63">
        <v>0.15</v>
      </c>
      <c r="M763" s="21">
        <v>157.09</v>
      </c>
      <c r="N763" s="6" t="s">
        <v>94</v>
      </c>
      <c r="O763" s="60">
        <f>Vendas2025[[#This Row],[Quantidade]]*Vendas2025[[#This Row],[Preço_Unitário_R$]]</f>
        <v>349.64</v>
      </c>
      <c r="P763" s="60">
        <f>Vendas2025[[#This Row],[Receita_Bruta_R$]]*Vendas2025[[#This Row],[Desconto_pct]]</f>
        <v>52.445999999999998</v>
      </c>
      <c r="Q763" s="60">
        <f t="shared" si="55"/>
        <v>297.19399999999996</v>
      </c>
      <c r="R763" s="60">
        <f t="shared" si="56"/>
        <v>157.09</v>
      </c>
      <c r="S763" s="60">
        <f t="shared" si="57"/>
        <v>140.10399999999996</v>
      </c>
      <c r="T763" s="65">
        <f t="shared" si="58"/>
        <v>0.47142270705330519</v>
      </c>
    </row>
    <row r="764" spans="1:20">
      <c r="A764" s="41">
        <f t="shared" si="59"/>
        <v>11</v>
      </c>
      <c r="B764" s="6" t="s">
        <v>905</v>
      </c>
      <c r="C764" s="20">
        <v>45967</v>
      </c>
      <c r="D764" s="6" t="s">
        <v>129</v>
      </c>
      <c r="E764" s="6" t="s">
        <v>103</v>
      </c>
      <c r="F764" s="6" t="s">
        <v>122</v>
      </c>
      <c r="G764" s="6" t="s">
        <v>140</v>
      </c>
      <c r="H764" s="6" t="s">
        <v>99</v>
      </c>
      <c r="I764" s="6" t="s">
        <v>158</v>
      </c>
      <c r="J764" s="25">
        <v>1</v>
      </c>
      <c r="K764" s="21">
        <v>189.38</v>
      </c>
      <c r="L764" s="63">
        <v>0.125</v>
      </c>
      <c r="M764" s="21">
        <v>90.3</v>
      </c>
      <c r="N764" s="6" t="s">
        <v>94</v>
      </c>
      <c r="O764" s="60">
        <f>Vendas2025[[#This Row],[Quantidade]]*Vendas2025[[#This Row],[Preço_Unitário_R$]]</f>
        <v>189.38</v>
      </c>
      <c r="P764" s="60">
        <f>Vendas2025[[#This Row],[Receita_Bruta_R$]]*Vendas2025[[#This Row],[Desconto_pct]]</f>
        <v>23.672499999999999</v>
      </c>
      <c r="Q764" s="60">
        <f t="shared" si="55"/>
        <v>165.70749999999998</v>
      </c>
      <c r="R764" s="60">
        <f t="shared" si="56"/>
        <v>90.3</v>
      </c>
      <c r="S764" s="60">
        <f t="shared" si="57"/>
        <v>75.407499999999985</v>
      </c>
      <c r="T764" s="65">
        <f t="shared" si="58"/>
        <v>0.45506389270250286</v>
      </c>
    </row>
    <row r="765" spans="1:20">
      <c r="A765" s="41">
        <f t="shared" si="59"/>
        <v>11</v>
      </c>
      <c r="B765" s="6" t="s">
        <v>906</v>
      </c>
      <c r="C765" s="20">
        <v>45967</v>
      </c>
      <c r="D765" s="6" t="s">
        <v>129</v>
      </c>
      <c r="E765" s="6" t="s">
        <v>103</v>
      </c>
      <c r="F765" s="6" t="s">
        <v>122</v>
      </c>
      <c r="G765" s="6" t="s">
        <v>115</v>
      </c>
      <c r="H765" s="6" t="s">
        <v>99</v>
      </c>
      <c r="I765" s="6" t="s">
        <v>100</v>
      </c>
      <c r="J765" s="25">
        <v>1</v>
      </c>
      <c r="K765" s="21">
        <v>406.39</v>
      </c>
      <c r="L765" s="63">
        <v>0.03</v>
      </c>
      <c r="M765" s="21">
        <v>235.06</v>
      </c>
      <c r="N765" s="6" t="s">
        <v>94</v>
      </c>
      <c r="O765" s="60">
        <f>Vendas2025[[#This Row],[Quantidade]]*Vendas2025[[#This Row],[Preço_Unitário_R$]]</f>
        <v>406.39</v>
      </c>
      <c r="P765" s="60">
        <f>Vendas2025[[#This Row],[Receita_Bruta_R$]]*Vendas2025[[#This Row],[Desconto_pct]]</f>
        <v>12.191699999999999</v>
      </c>
      <c r="Q765" s="60">
        <f t="shared" si="55"/>
        <v>394.19829999999996</v>
      </c>
      <c r="R765" s="60">
        <f t="shared" si="56"/>
        <v>235.06</v>
      </c>
      <c r="S765" s="60">
        <f t="shared" si="57"/>
        <v>159.13829999999996</v>
      </c>
      <c r="T765" s="65">
        <f t="shared" si="58"/>
        <v>0.40370113214592751</v>
      </c>
    </row>
    <row r="766" spans="1:20">
      <c r="A766" s="41">
        <f t="shared" si="59"/>
        <v>11</v>
      </c>
      <c r="B766" s="6" t="s">
        <v>907</v>
      </c>
      <c r="C766" s="20">
        <v>45967</v>
      </c>
      <c r="D766" s="6" t="s">
        <v>96</v>
      </c>
      <c r="E766" s="6" t="s">
        <v>89</v>
      </c>
      <c r="F766" s="6" t="s">
        <v>97</v>
      </c>
      <c r="G766" s="6" t="s">
        <v>110</v>
      </c>
      <c r="H766" s="6" t="s">
        <v>92</v>
      </c>
      <c r="I766" s="6" t="s">
        <v>144</v>
      </c>
      <c r="J766" s="25">
        <v>1</v>
      </c>
      <c r="K766" s="21">
        <v>144.16</v>
      </c>
      <c r="L766" s="63">
        <v>0.1</v>
      </c>
      <c r="M766" s="21">
        <v>49.22</v>
      </c>
      <c r="N766" s="6" t="s">
        <v>94</v>
      </c>
      <c r="O766" s="60">
        <f>Vendas2025[[#This Row],[Quantidade]]*Vendas2025[[#This Row],[Preço_Unitário_R$]]</f>
        <v>144.16</v>
      </c>
      <c r="P766" s="60">
        <f>Vendas2025[[#This Row],[Receita_Bruta_R$]]*Vendas2025[[#This Row],[Desconto_pct]]</f>
        <v>14.416</v>
      </c>
      <c r="Q766" s="60">
        <f t="shared" si="55"/>
        <v>129.744</v>
      </c>
      <c r="R766" s="60">
        <f t="shared" si="56"/>
        <v>49.22</v>
      </c>
      <c r="S766" s="60">
        <f t="shared" si="57"/>
        <v>80.524000000000001</v>
      </c>
      <c r="T766" s="65">
        <f t="shared" si="58"/>
        <v>0.62063756320138119</v>
      </c>
    </row>
    <row r="767" spans="1:20">
      <c r="A767" s="41">
        <f t="shared" si="59"/>
        <v>11</v>
      </c>
      <c r="B767" s="6" t="s">
        <v>908</v>
      </c>
      <c r="C767" s="20">
        <v>45967</v>
      </c>
      <c r="D767" s="6" t="s">
        <v>136</v>
      </c>
      <c r="E767" s="6" t="s">
        <v>137</v>
      </c>
      <c r="F767" s="6" t="s">
        <v>104</v>
      </c>
      <c r="G767" s="6" t="s">
        <v>151</v>
      </c>
      <c r="H767" s="6" t="s">
        <v>106</v>
      </c>
      <c r="I767" s="6" t="s">
        <v>184</v>
      </c>
      <c r="J767" s="25">
        <v>1</v>
      </c>
      <c r="K767" s="21">
        <v>1104.8399999999999</v>
      </c>
      <c r="L767" s="63">
        <v>0.14499999999999999</v>
      </c>
      <c r="M767" s="21">
        <v>791.05</v>
      </c>
      <c r="N767" s="6" t="s">
        <v>94</v>
      </c>
      <c r="O767" s="60">
        <f>Vendas2025[[#This Row],[Quantidade]]*Vendas2025[[#This Row],[Preço_Unitário_R$]]</f>
        <v>1104.8399999999999</v>
      </c>
      <c r="P767" s="60">
        <f>Vendas2025[[#This Row],[Receita_Bruta_R$]]*Vendas2025[[#This Row],[Desconto_pct]]</f>
        <v>160.20179999999996</v>
      </c>
      <c r="Q767" s="60">
        <f t="shared" si="55"/>
        <v>944.63819999999998</v>
      </c>
      <c r="R767" s="60">
        <f t="shared" si="56"/>
        <v>791.05</v>
      </c>
      <c r="S767" s="60">
        <f t="shared" si="57"/>
        <v>153.58820000000003</v>
      </c>
      <c r="T767" s="65">
        <f t="shared" si="58"/>
        <v>0.16258944429729819</v>
      </c>
    </row>
    <row r="768" spans="1:20">
      <c r="A768" s="41">
        <f t="shared" si="59"/>
        <v>11</v>
      </c>
      <c r="B768" s="6" t="s">
        <v>909</v>
      </c>
      <c r="C768" s="20">
        <v>45967</v>
      </c>
      <c r="D768" s="6" t="s">
        <v>129</v>
      </c>
      <c r="E768" s="6" t="s">
        <v>103</v>
      </c>
      <c r="F768" s="6" t="s">
        <v>122</v>
      </c>
      <c r="G768" s="6" t="s">
        <v>91</v>
      </c>
      <c r="H768" s="6" t="s">
        <v>119</v>
      </c>
      <c r="I768" s="6" t="s">
        <v>120</v>
      </c>
      <c r="J768" s="25">
        <v>1</v>
      </c>
      <c r="K768" s="21">
        <v>2191.38</v>
      </c>
      <c r="L768" s="63">
        <v>0.03</v>
      </c>
      <c r="M768" s="21">
        <v>1454.66</v>
      </c>
      <c r="N768" s="6" t="s">
        <v>94</v>
      </c>
      <c r="O768" s="60">
        <f>Vendas2025[[#This Row],[Quantidade]]*Vendas2025[[#This Row],[Preço_Unitário_R$]]</f>
        <v>2191.38</v>
      </c>
      <c r="P768" s="60">
        <f>Vendas2025[[#This Row],[Receita_Bruta_R$]]*Vendas2025[[#This Row],[Desconto_pct]]</f>
        <v>65.741399999999999</v>
      </c>
      <c r="Q768" s="60">
        <f t="shared" si="55"/>
        <v>2125.6386000000002</v>
      </c>
      <c r="R768" s="60">
        <f t="shared" si="56"/>
        <v>1454.66</v>
      </c>
      <c r="S768" s="60">
        <f t="shared" si="57"/>
        <v>670.97860000000014</v>
      </c>
      <c r="T768" s="65">
        <f t="shared" si="58"/>
        <v>0.31565977396157563</v>
      </c>
    </row>
    <row r="769" spans="1:20">
      <c r="A769" s="41">
        <f t="shared" si="59"/>
        <v>11</v>
      </c>
      <c r="B769" s="6" t="s">
        <v>910</v>
      </c>
      <c r="C769" s="20">
        <v>45968</v>
      </c>
      <c r="D769" s="6" t="s">
        <v>113</v>
      </c>
      <c r="E769" s="6" t="s">
        <v>114</v>
      </c>
      <c r="F769" s="6" t="s">
        <v>122</v>
      </c>
      <c r="G769" s="6" t="s">
        <v>151</v>
      </c>
      <c r="H769" s="6" t="s">
        <v>99</v>
      </c>
      <c r="I769" s="6" t="s">
        <v>100</v>
      </c>
      <c r="J769" s="25">
        <v>1</v>
      </c>
      <c r="K769" s="21">
        <v>413.84</v>
      </c>
      <c r="L769" s="63">
        <v>0.05</v>
      </c>
      <c r="M769" s="21">
        <v>235.69</v>
      </c>
      <c r="N769" s="6" t="s">
        <v>94</v>
      </c>
      <c r="O769" s="60">
        <f>Vendas2025[[#This Row],[Quantidade]]*Vendas2025[[#This Row],[Preço_Unitário_R$]]</f>
        <v>413.84</v>
      </c>
      <c r="P769" s="60">
        <f>Vendas2025[[#This Row],[Receita_Bruta_R$]]*Vendas2025[[#This Row],[Desconto_pct]]</f>
        <v>20.692</v>
      </c>
      <c r="Q769" s="60">
        <f t="shared" si="55"/>
        <v>393.14799999999997</v>
      </c>
      <c r="R769" s="60">
        <f t="shared" si="56"/>
        <v>235.69</v>
      </c>
      <c r="S769" s="60">
        <f t="shared" si="57"/>
        <v>157.45799999999997</v>
      </c>
      <c r="T769" s="65">
        <f t="shared" si="58"/>
        <v>0.40050566198988674</v>
      </c>
    </row>
    <row r="770" spans="1:20">
      <c r="A770" s="41">
        <f t="shared" si="59"/>
        <v>11</v>
      </c>
      <c r="B770" s="6" t="s">
        <v>911</v>
      </c>
      <c r="C770" s="20">
        <v>45968</v>
      </c>
      <c r="D770" s="6" t="s">
        <v>96</v>
      </c>
      <c r="E770" s="6" t="s">
        <v>89</v>
      </c>
      <c r="F770" s="6" t="s">
        <v>104</v>
      </c>
      <c r="G770" s="6" t="s">
        <v>110</v>
      </c>
      <c r="H770" s="6" t="s">
        <v>99</v>
      </c>
      <c r="I770" s="6" t="s">
        <v>100</v>
      </c>
      <c r="J770" s="25">
        <v>1</v>
      </c>
      <c r="K770" s="21">
        <v>422.03</v>
      </c>
      <c r="L770" s="63">
        <v>0.05</v>
      </c>
      <c r="M770" s="21">
        <v>253.29</v>
      </c>
      <c r="N770" s="6" t="s">
        <v>94</v>
      </c>
      <c r="O770" s="60">
        <f>Vendas2025[[#This Row],[Quantidade]]*Vendas2025[[#This Row],[Preço_Unitário_R$]]</f>
        <v>422.03</v>
      </c>
      <c r="P770" s="60">
        <f>Vendas2025[[#This Row],[Receita_Bruta_R$]]*Vendas2025[[#This Row],[Desconto_pct]]</f>
        <v>21.101500000000001</v>
      </c>
      <c r="Q770" s="60">
        <f t="shared" ref="Q770:Q833" si="60">IF(N770="Concluída",O770-P770,0)</f>
        <v>400.92849999999999</v>
      </c>
      <c r="R770" s="60">
        <f t="shared" ref="R770:R833" si="61">IF(N770="Concluída",J770*M770,0)</f>
        <v>253.29</v>
      </c>
      <c r="S770" s="60">
        <f t="shared" ref="S770:S833" si="62">Q770-R770</f>
        <v>147.63849999999999</v>
      </c>
      <c r="T770" s="65">
        <f t="shared" ref="T770:T833" si="63">IF(Q770=0,"",S770/Q770)</f>
        <v>0.36824146948894876</v>
      </c>
    </row>
    <row r="771" spans="1:20">
      <c r="A771" s="41">
        <f t="shared" ref="A771:A834" si="64">MONTH(C771)</f>
        <v>11</v>
      </c>
      <c r="B771" s="6" t="s">
        <v>912</v>
      </c>
      <c r="C771" s="20">
        <v>45968</v>
      </c>
      <c r="D771" s="6" t="s">
        <v>136</v>
      </c>
      <c r="E771" s="6" t="s">
        <v>137</v>
      </c>
      <c r="F771" s="6" t="s">
        <v>90</v>
      </c>
      <c r="G771" s="6" t="s">
        <v>140</v>
      </c>
      <c r="H771" s="6" t="s">
        <v>124</v>
      </c>
      <c r="I771" s="6" t="s">
        <v>193</v>
      </c>
      <c r="J771" s="25">
        <v>1</v>
      </c>
      <c r="K771" s="21">
        <v>398.78</v>
      </c>
      <c r="L771" s="63">
        <v>0.2</v>
      </c>
      <c r="M771" s="21">
        <v>182.33</v>
      </c>
      <c r="N771" s="6" t="s">
        <v>94</v>
      </c>
      <c r="O771" s="60">
        <f>Vendas2025[[#This Row],[Quantidade]]*Vendas2025[[#This Row],[Preço_Unitário_R$]]</f>
        <v>398.78</v>
      </c>
      <c r="P771" s="60">
        <f>Vendas2025[[#This Row],[Receita_Bruta_R$]]*Vendas2025[[#This Row],[Desconto_pct]]</f>
        <v>79.756</v>
      </c>
      <c r="Q771" s="60">
        <f t="shared" si="60"/>
        <v>319.024</v>
      </c>
      <c r="R771" s="60">
        <f t="shared" si="61"/>
        <v>182.33</v>
      </c>
      <c r="S771" s="60">
        <f t="shared" si="62"/>
        <v>136.69399999999999</v>
      </c>
      <c r="T771" s="65">
        <f t="shared" si="63"/>
        <v>0.42847560058177436</v>
      </c>
    </row>
    <row r="772" spans="1:20">
      <c r="A772" s="41">
        <f t="shared" si="64"/>
        <v>11</v>
      </c>
      <c r="B772" s="6" t="s">
        <v>913</v>
      </c>
      <c r="C772" s="20">
        <v>45969</v>
      </c>
      <c r="D772" s="6" t="s">
        <v>132</v>
      </c>
      <c r="E772" s="6" t="s">
        <v>89</v>
      </c>
      <c r="F772" s="6" t="s">
        <v>97</v>
      </c>
      <c r="G772" s="6" t="s">
        <v>98</v>
      </c>
      <c r="H772" s="6" t="s">
        <v>99</v>
      </c>
      <c r="I772" s="6" t="s">
        <v>158</v>
      </c>
      <c r="J772" s="25">
        <v>1</v>
      </c>
      <c r="K772" s="21">
        <v>184.21</v>
      </c>
      <c r="L772" s="63">
        <v>0.05</v>
      </c>
      <c r="M772" s="21">
        <v>87.91</v>
      </c>
      <c r="N772" s="6" t="s">
        <v>94</v>
      </c>
      <c r="O772" s="60">
        <f>Vendas2025[[#This Row],[Quantidade]]*Vendas2025[[#This Row],[Preço_Unitário_R$]]</f>
        <v>184.21</v>
      </c>
      <c r="P772" s="60">
        <f>Vendas2025[[#This Row],[Receita_Bruta_R$]]*Vendas2025[[#This Row],[Desconto_pct]]</f>
        <v>9.2105000000000015</v>
      </c>
      <c r="Q772" s="60">
        <f t="shared" si="60"/>
        <v>174.99950000000001</v>
      </c>
      <c r="R772" s="60">
        <f t="shared" si="61"/>
        <v>87.91</v>
      </c>
      <c r="S772" s="60">
        <f t="shared" si="62"/>
        <v>87.089500000000015</v>
      </c>
      <c r="T772" s="65">
        <f t="shared" si="63"/>
        <v>0.49765570758773603</v>
      </c>
    </row>
    <row r="773" spans="1:20">
      <c r="A773" s="41">
        <f t="shared" si="64"/>
        <v>11</v>
      </c>
      <c r="B773" s="6" t="s">
        <v>914</v>
      </c>
      <c r="C773" s="20">
        <v>45969</v>
      </c>
      <c r="D773" s="6" t="s">
        <v>113</v>
      </c>
      <c r="E773" s="6" t="s">
        <v>114</v>
      </c>
      <c r="F773" s="6" t="s">
        <v>97</v>
      </c>
      <c r="G773" s="6" t="s">
        <v>177</v>
      </c>
      <c r="H773" s="6" t="s">
        <v>119</v>
      </c>
      <c r="I773" s="6" t="s">
        <v>141</v>
      </c>
      <c r="J773" s="25">
        <v>1</v>
      </c>
      <c r="K773" s="21">
        <v>2579.33</v>
      </c>
      <c r="L773" s="63">
        <v>0.1</v>
      </c>
      <c r="M773" s="21">
        <v>1868.82</v>
      </c>
      <c r="N773" s="6" t="s">
        <v>94</v>
      </c>
      <c r="O773" s="60">
        <f>Vendas2025[[#This Row],[Quantidade]]*Vendas2025[[#This Row],[Preço_Unitário_R$]]</f>
        <v>2579.33</v>
      </c>
      <c r="P773" s="60">
        <f>Vendas2025[[#This Row],[Receita_Bruta_R$]]*Vendas2025[[#This Row],[Desconto_pct]]</f>
        <v>257.93299999999999</v>
      </c>
      <c r="Q773" s="60">
        <f t="shared" si="60"/>
        <v>2321.3969999999999</v>
      </c>
      <c r="R773" s="60">
        <f t="shared" si="61"/>
        <v>1868.82</v>
      </c>
      <c r="S773" s="60">
        <f t="shared" si="62"/>
        <v>452.577</v>
      </c>
      <c r="T773" s="65">
        <f t="shared" si="63"/>
        <v>0.19495889759485344</v>
      </c>
    </row>
    <row r="774" spans="1:20">
      <c r="A774" s="41">
        <f t="shared" si="64"/>
        <v>11</v>
      </c>
      <c r="B774" s="6" t="s">
        <v>915</v>
      </c>
      <c r="C774" s="20">
        <v>45969</v>
      </c>
      <c r="D774" s="6" t="s">
        <v>132</v>
      </c>
      <c r="E774" s="6" t="s">
        <v>89</v>
      </c>
      <c r="F774" s="6" t="s">
        <v>97</v>
      </c>
      <c r="G774" s="6" t="s">
        <v>123</v>
      </c>
      <c r="H774" s="6" t="s">
        <v>106</v>
      </c>
      <c r="I774" s="6" t="s">
        <v>111</v>
      </c>
      <c r="J774" s="25">
        <v>2</v>
      </c>
      <c r="K774" s="21">
        <v>277.69</v>
      </c>
      <c r="L774" s="63">
        <v>2.5000000000000001E-2</v>
      </c>
      <c r="M774" s="21">
        <v>118.33</v>
      </c>
      <c r="N774" s="6" t="s">
        <v>94</v>
      </c>
      <c r="O774" s="60">
        <f>Vendas2025[[#This Row],[Quantidade]]*Vendas2025[[#This Row],[Preço_Unitário_R$]]</f>
        <v>555.38</v>
      </c>
      <c r="P774" s="60">
        <f>Vendas2025[[#This Row],[Receita_Bruta_R$]]*Vendas2025[[#This Row],[Desconto_pct]]</f>
        <v>13.884500000000001</v>
      </c>
      <c r="Q774" s="60">
        <f t="shared" si="60"/>
        <v>541.49549999999999</v>
      </c>
      <c r="R774" s="60">
        <f t="shared" si="61"/>
        <v>236.66</v>
      </c>
      <c r="S774" s="60">
        <f t="shared" si="62"/>
        <v>304.83550000000002</v>
      </c>
      <c r="T774" s="65">
        <f t="shared" si="63"/>
        <v>0.56295112332420127</v>
      </c>
    </row>
    <row r="775" spans="1:20">
      <c r="A775" s="41">
        <f t="shared" si="64"/>
        <v>11</v>
      </c>
      <c r="B775" s="6" t="s">
        <v>916</v>
      </c>
      <c r="C775" s="20">
        <v>45970</v>
      </c>
      <c r="D775" s="6" t="s">
        <v>118</v>
      </c>
      <c r="E775" s="6" t="s">
        <v>114</v>
      </c>
      <c r="F775" s="6" t="s">
        <v>90</v>
      </c>
      <c r="G775" s="6" t="s">
        <v>127</v>
      </c>
      <c r="H775" s="6" t="s">
        <v>92</v>
      </c>
      <c r="I775" s="6" t="s">
        <v>93</v>
      </c>
      <c r="J775" s="25">
        <v>2</v>
      </c>
      <c r="K775" s="21">
        <v>245.6</v>
      </c>
      <c r="L775" s="63">
        <v>0.2</v>
      </c>
      <c r="M775" s="21">
        <v>103.66</v>
      </c>
      <c r="N775" s="6" t="s">
        <v>94</v>
      </c>
      <c r="O775" s="60">
        <f>Vendas2025[[#This Row],[Quantidade]]*Vendas2025[[#This Row],[Preço_Unitário_R$]]</f>
        <v>491.2</v>
      </c>
      <c r="P775" s="60">
        <f>Vendas2025[[#This Row],[Receita_Bruta_R$]]*Vendas2025[[#This Row],[Desconto_pct]]</f>
        <v>98.240000000000009</v>
      </c>
      <c r="Q775" s="60">
        <f t="shared" si="60"/>
        <v>392.96</v>
      </c>
      <c r="R775" s="60">
        <f t="shared" si="61"/>
        <v>207.32</v>
      </c>
      <c r="S775" s="60">
        <f t="shared" si="62"/>
        <v>185.64</v>
      </c>
      <c r="T775" s="65">
        <f t="shared" si="63"/>
        <v>0.47241449511400652</v>
      </c>
    </row>
    <row r="776" spans="1:20">
      <c r="A776" s="41">
        <f t="shared" si="64"/>
        <v>11</v>
      </c>
      <c r="B776" s="6" t="s">
        <v>917</v>
      </c>
      <c r="C776" s="20">
        <v>45970</v>
      </c>
      <c r="D776" s="6" t="s">
        <v>132</v>
      </c>
      <c r="E776" s="6" t="s">
        <v>89</v>
      </c>
      <c r="F776" s="6" t="s">
        <v>90</v>
      </c>
      <c r="G776" s="6" t="s">
        <v>115</v>
      </c>
      <c r="H776" s="6" t="s">
        <v>124</v>
      </c>
      <c r="I776" s="6" t="s">
        <v>199</v>
      </c>
      <c r="J776" s="25">
        <v>1</v>
      </c>
      <c r="K776" s="21">
        <v>318.89</v>
      </c>
      <c r="L776" s="63">
        <v>0.15</v>
      </c>
      <c r="M776" s="21">
        <v>147.32</v>
      </c>
      <c r="N776" s="6" t="s">
        <v>94</v>
      </c>
      <c r="O776" s="60">
        <f>Vendas2025[[#This Row],[Quantidade]]*Vendas2025[[#This Row],[Preço_Unitário_R$]]</f>
        <v>318.89</v>
      </c>
      <c r="P776" s="60">
        <f>Vendas2025[[#This Row],[Receita_Bruta_R$]]*Vendas2025[[#This Row],[Desconto_pct]]</f>
        <v>47.833499999999994</v>
      </c>
      <c r="Q776" s="60">
        <f t="shared" si="60"/>
        <v>271.05649999999997</v>
      </c>
      <c r="R776" s="60">
        <f t="shared" si="61"/>
        <v>147.32</v>
      </c>
      <c r="S776" s="60">
        <f t="shared" si="62"/>
        <v>123.73649999999998</v>
      </c>
      <c r="T776" s="65">
        <f t="shared" si="63"/>
        <v>0.45649707717763638</v>
      </c>
    </row>
    <row r="777" spans="1:20">
      <c r="A777" s="41">
        <f t="shared" si="64"/>
        <v>11</v>
      </c>
      <c r="B777" s="6" t="s">
        <v>918</v>
      </c>
      <c r="C777" s="20">
        <v>45970</v>
      </c>
      <c r="D777" s="6" t="s">
        <v>102</v>
      </c>
      <c r="E777" s="6" t="s">
        <v>103</v>
      </c>
      <c r="F777" s="6" t="s">
        <v>97</v>
      </c>
      <c r="G777" s="6" t="s">
        <v>105</v>
      </c>
      <c r="H777" s="6" t="s">
        <v>119</v>
      </c>
      <c r="I777" s="6" t="s">
        <v>155</v>
      </c>
      <c r="J777" s="25">
        <v>2</v>
      </c>
      <c r="K777" s="21">
        <v>363.84</v>
      </c>
      <c r="L777" s="63">
        <v>0.05</v>
      </c>
      <c r="M777" s="21">
        <v>196.35</v>
      </c>
      <c r="N777" s="6" t="s">
        <v>94</v>
      </c>
      <c r="O777" s="60">
        <f>Vendas2025[[#This Row],[Quantidade]]*Vendas2025[[#This Row],[Preço_Unitário_R$]]</f>
        <v>727.68</v>
      </c>
      <c r="P777" s="60">
        <f>Vendas2025[[#This Row],[Receita_Bruta_R$]]*Vendas2025[[#This Row],[Desconto_pct]]</f>
        <v>36.384</v>
      </c>
      <c r="Q777" s="60">
        <f t="shared" si="60"/>
        <v>691.29599999999994</v>
      </c>
      <c r="R777" s="60">
        <f t="shared" si="61"/>
        <v>392.7</v>
      </c>
      <c r="S777" s="60">
        <f t="shared" si="62"/>
        <v>298.59599999999995</v>
      </c>
      <c r="T777" s="65">
        <f t="shared" si="63"/>
        <v>0.43193653659213993</v>
      </c>
    </row>
    <row r="778" spans="1:20">
      <c r="A778" s="41">
        <f t="shared" si="64"/>
        <v>11</v>
      </c>
      <c r="B778" s="6" t="s">
        <v>919</v>
      </c>
      <c r="C778" s="20">
        <v>45970</v>
      </c>
      <c r="D778" s="6" t="s">
        <v>102</v>
      </c>
      <c r="E778" s="6" t="s">
        <v>103</v>
      </c>
      <c r="F778" s="6" t="s">
        <v>90</v>
      </c>
      <c r="G778" s="6" t="s">
        <v>110</v>
      </c>
      <c r="H778" s="6" t="s">
        <v>124</v>
      </c>
      <c r="I778" s="6" t="s">
        <v>199</v>
      </c>
      <c r="J778" s="25">
        <v>2</v>
      </c>
      <c r="K778" s="21">
        <v>304.24</v>
      </c>
      <c r="L778" s="63">
        <v>0.05</v>
      </c>
      <c r="M778" s="21">
        <v>140.58000000000001</v>
      </c>
      <c r="N778" s="6" t="s">
        <v>94</v>
      </c>
      <c r="O778" s="60">
        <f>Vendas2025[[#This Row],[Quantidade]]*Vendas2025[[#This Row],[Preço_Unitário_R$]]</f>
        <v>608.48</v>
      </c>
      <c r="P778" s="60">
        <f>Vendas2025[[#This Row],[Receita_Bruta_R$]]*Vendas2025[[#This Row],[Desconto_pct]]</f>
        <v>30.424000000000003</v>
      </c>
      <c r="Q778" s="60">
        <f t="shared" si="60"/>
        <v>578.05600000000004</v>
      </c>
      <c r="R778" s="60">
        <f t="shared" si="61"/>
        <v>281.16000000000003</v>
      </c>
      <c r="S778" s="60">
        <f t="shared" si="62"/>
        <v>296.89600000000002</v>
      </c>
      <c r="T778" s="65">
        <f t="shared" si="63"/>
        <v>0.51361113802122982</v>
      </c>
    </row>
    <row r="779" spans="1:20">
      <c r="A779" s="41">
        <f t="shared" si="64"/>
        <v>11</v>
      </c>
      <c r="B779" s="6" t="s">
        <v>920</v>
      </c>
      <c r="C779" s="20">
        <v>45970</v>
      </c>
      <c r="D779" s="6" t="s">
        <v>136</v>
      </c>
      <c r="E779" s="6" t="s">
        <v>137</v>
      </c>
      <c r="F779" s="6" t="s">
        <v>90</v>
      </c>
      <c r="G779" s="6" t="s">
        <v>110</v>
      </c>
      <c r="H779" s="6" t="s">
        <v>99</v>
      </c>
      <c r="I779" s="6" t="s">
        <v>100</v>
      </c>
      <c r="J779" s="25">
        <v>1</v>
      </c>
      <c r="K779" s="21">
        <v>437.71</v>
      </c>
      <c r="L779" s="63">
        <v>0.05</v>
      </c>
      <c r="M779" s="21">
        <v>263.13</v>
      </c>
      <c r="N779" s="6" t="s">
        <v>94</v>
      </c>
      <c r="O779" s="60">
        <f>Vendas2025[[#This Row],[Quantidade]]*Vendas2025[[#This Row],[Preço_Unitário_R$]]</f>
        <v>437.71</v>
      </c>
      <c r="P779" s="60">
        <f>Vendas2025[[#This Row],[Receita_Bruta_R$]]*Vendas2025[[#This Row],[Desconto_pct]]</f>
        <v>21.8855</v>
      </c>
      <c r="Q779" s="60">
        <f t="shared" si="60"/>
        <v>415.8245</v>
      </c>
      <c r="R779" s="60">
        <f t="shared" si="61"/>
        <v>263.13</v>
      </c>
      <c r="S779" s="60">
        <f t="shared" si="62"/>
        <v>152.69450000000001</v>
      </c>
      <c r="T779" s="65">
        <f t="shared" si="63"/>
        <v>0.36720900283653324</v>
      </c>
    </row>
    <row r="780" spans="1:20">
      <c r="A780" s="41">
        <f t="shared" si="64"/>
        <v>11</v>
      </c>
      <c r="B780" s="6" t="s">
        <v>921</v>
      </c>
      <c r="C780" s="20">
        <v>45970</v>
      </c>
      <c r="D780" s="6" t="s">
        <v>88</v>
      </c>
      <c r="E780" s="6" t="s">
        <v>89</v>
      </c>
      <c r="F780" s="6" t="s">
        <v>97</v>
      </c>
      <c r="G780" s="6" t="s">
        <v>123</v>
      </c>
      <c r="H780" s="6" t="s">
        <v>99</v>
      </c>
      <c r="I780" s="6" t="s">
        <v>130</v>
      </c>
      <c r="J780" s="25">
        <v>1</v>
      </c>
      <c r="K780" s="21">
        <v>263.33</v>
      </c>
      <c r="L780" s="63">
        <v>0</v>
      </c>
      <c r="M780" s="21">
        <v>127.93</v>
      </c>
      <c r="N780" s="6" t="s">
        <v>94</v>
      </c>
      <c r="O780" s="60">
        <f>Vendas2025[[#This Row],[Quantidade]]*Vendas2025[[#This Row],[Preço_Unitário_R$]]</f>
        <v>263.33</v>
      </c>
      <c r="P780" s="60">
        <f>Vendas2025[[#This Row],[Receita_Bruta_R$]]*Vendas2025[[#This Row],[Desconto_pct]]</f>
        <v>0</v>
      </c>
      <c r="Q780" s="60">
        <f t="shared" si="60"/>
        <v>263.33</v>
      </c>
      <c r="R780" s="60">
        <f t="shared" si="61"/>
        <v>127.93</v>
      </c>
      <c r="S780" s="60">
        <f t="shared" si="62"/>
        <v>135.39999999999998</v>
      </c>
      <c r="T780" s="65">
        <f t="shared" si="63"/>
        <v>0.51418372384460553</v>
      </c>
    </row>
    <row r="781" spans="1:20">
      <c r="A781" s="41">
        <f t="shared" si="64"/>
        <v>11</v>
      </c>
      <c r="B781" s="6" t="s">
        <v>922</v>
      </c>
      <c r="C781" s="20">
        <v>45971</v>
      </c>
      <c r="D781" s="6" t="s">
        <v>113</v>
      </c>
      <c r="E781" s="6" t="s">
        <v>114</v>
      </c>
      <c r="F781" s="6" t="s">
        <v>97</v>
      </c>
      <c r="G781" s="6" t="s">
        <v>110</v>
      </c>
      <c r="H781" s="6" t="s">
        <v>99</v>
      </c>
      <c r="I781" s="6" t="s">
        <v>158</v>
      </c>
      <c r="J781" s="25">
        <v>1</v>
      </c>
      <c r="K781" s="21">
        <v>194.4</v>
      </c>
      <c r="L781" s="63">
        <v>0.15</v>
      </c>
      <c r="M781" s="21">
        <v>91.47</v>
      </c>
      <c r="N781" s="6" t="s">
        <v>94</v>
      </c>
      <c r="O781" s="60">
        <f>Vendas2025[[#This Row],[Quantidade]]*Vendas2025[[#This Row],[Preço_Unitário_R$]]</f>
        <v>194.4</v>
      </c>
      <c r="P781" s="60">
        <f>Vendas2025[[#This Row],[Receita_Bruta_R$]]*Vendas2025[[#This Row],[Desconto_pct]]</f>
        <v>29.16</v>
      </c>
      <c r="Q781" s="60">
        <f t="shared" si="60"/>
        <v>165.24</v>
      </c>
      <c r="R781" s="60">
        <f t="shared" si="61"/>
        <v>91.47</v>
      </c>
      <c r="S781" s="60">
        <f t="shared" si="62"/>
        <v>73.77000000000001</v>
      </c>
      <c r="T781" s="65">
        <f t="shared" si="63"/>
        <v>0.44644153957879451</v>
      </c>
    </row>
    <row r="782" spans="1:20">
      <c r="A782" s="41">
        <f t="shared" si="64"/>
        <v>11</v>
      </c>
      <c r="B782" s="6" t="s">
        <v>923</v>
      </c>
      <c r="C782" s="20">
        <v>45971</v>
      </c>
      <c r="D782" s="6" t="s">
        <v>132</v>
      </c>
      <c r="E782" s="6" t="s">
        <v>89</v>
      </c>
      <c r="F782" s="6" t="s">
        <v>104</v>
      </c>
      <c r="G782" s="6" t="s">
        <v>91</v>
      </c>
      <c r="H782" s="6" t="s">
        <v>124</v>
      </c>
      <c r="I782" s="6" t="s">
        <v>125</v>
      </c>
      <c r="J782" s="25">
        <v>1</v>
      </c>
      <c r="K782" s="21">
        <v>732.9</v>
      </c>
      <c r="L782" s="63">
        <v>0</v>
      </c>
      <c r="M782" s="21">
        <v>353.86</v>
      </c>
      <c r="N782" s="6" t="s">
        <v>94</v>
      </c>
      <c r="O782" s="60">
        <f>Vendas2025[[#This Row],[Quantidade]]*Vendas2025[[#This Row],[Preço_Unitário_R$]]</f>
        <v>732.9</v>
      </c>
      <c r="P782" s="60">
        <f>Vendas2025[[#This Row],[Receita_Bruta_R$]]*Vendas2025[[#This Row],[Desconto_pct]]</f>
        <v>0</v>
      </c>
      <c r="Q782" s="60">
        <f t="shared" si="60"/>
        <v>732.9</v>
      </c>
      <c r="R782" s="60">
        <f t="shared" si="61"/>
        <v>353.86</v>
      </c>
      <c r="S782" s="60">
        <f t="shared" si="62"/>
        <v>379.03999999999996</v>
      </c>
      <c r="T782" s="65">
        <f t="shared" si="63"/>
        <v>0.51717833265111202</v>
      </c>
    </row>
    <row r="783" spans="1:20">
      <c r="A783" s="41">
        <f t="shared" si="64"/>
        <v>11</v>
      </c>
      <c r="B783" s="6" t="s">
        <v>924</v>
      </c>
      <c r="C783" s="20">
        <v>45972</v>
      </c>
      <c r="D783" s="6" t="s">
        <v>96</v>
      </c>
      <c r="E783" s="6" t="s">
        <v>89</v>
      </c>
      <c r="F783" s="6" t="s">
        <v>97</v>
      </c>
      <c r="G783" s="6" t="s">
        <v>105</v>
      </c>
      <c r="H783" s="6" t="s">
        <v>106</v>
      </c>
      <c r="I783" s="6" t="s">
        <v>111</v>
      </c>
      <c r="J783" s="25">
        <v>2</v>
      </c>
      <c r="K783" s="21">
        <v>275.61</v>
      </c>
      <c r="L783" s="63">
        <v>0.15</v>
      </c>
      <c r="M783" s="21">
        <v>121.01</v>
      </c>
      <c r="N783" s="6" t="s">
        <v>94</v>
      </c>
      <c r="O783" s="60">
        <f>Vendas2025[[#This Row],[Quantidade]]*Vendas2025[[#This Row],[Preço_Unitário_R$]]</f>
        <v>551.22</v>
      </c>
      <c r="P783" s="60">
        <f>Vendas2025[[#This Row],[Receita_Bruta_R$]]*Vendas2025[[#This Row],[Desconto_pct]]</f>
        <v>82.683000000000007</v>
      </c>
      <c r="Q783" s="60">
        <f t="shared" si="60"/>
        <v>468.53700000000003</v>
      </c>
      <c r="R783" s="60">
        <f t="shared" si="61"/>
        <v>242.02</v>
      </c>
      <c r="S783" s="60">
        <f t="shared" si="62"/>
        <v>226.51700000000002</v>
      </c>
      <c r="T783" s="65">
        <f t="shared" si="63"/>
        <v>0.48345594904991496</v>
      </c>
    </row>
    <row r="784" spans="1:20">
      <c r="A784" s="41">
        <f t="shared" si="64"/>
        <v>11</v>
      </c>
      <c r="B784" s="6" t="s">
        <v>925</v>
      </c>
      <c r="C784" s="20">
        <v>45972</v>
      </c>
      <c r="D784" s="6" t="s">
        <v>102</v>
      </c>
      <c r="E784" s="6" t="s">
        <v>103</v>
      </c>
      <c r="F784" s="6" t="s">
        <v>122</v>
      </c>
      <c r="G784" s="6" t="s">
        <v>123</v>
      </c>
      <c r="H784" s="6" t="s">
        <v>92</v>
      </c>
      <c r="I784" s="6" t="s">
        <v>93</v>
      </c>
      <c r="J784" s="25">
        <v>1</v>
      </c>
      <c r="K784" s="21">
        <v>239.45</v>
      </c>
      <c r="L784" s="63">
        <v>0.2</v>
      </c>
      <c r="M784" s="21">
        <v>106.18</v>
      </c>
      <c r="N784" s="6" t="s">
        <v>94</v>
      </c>
      <c r="O784" s="60">
        <f>Vendas2025[[#This Row],[Quantidade]]*Vendas2025[[#This Row],[Preço_Unitário_R$]]</f>
        <v>239.45</v>
      </c>
      <c r="P784" s="60">
        <f>Vendas2025[[#This Row],[Receita_Bruta_R$]]*Vendas2025[[#This Row],[Desconto_pct]]</f>
        <v>47.89</v>
      </c>
      <c r="Q784" s="60">
        <f t="shared" si="60"/>
        <v>191.56</v>
      </c>
      <c r="R784" s="60">
        <f t="shared" si="61"/>
        <v>106.18</v>
      </c>
      <c r="S784" s="60">
        <f t="shared" si="62"/>
        <v>85.38</v>
      </c>
      <c r="T784" s="65">
        <f t="shared" si="63"/>
        <v>0.44570891626644388</v>
      </c>
    </row>
    <row r="785" spans="1:20">
      <c r="A785" s="41">
        <f t="shared" si="64"/>
        <v>11</v>
      </c>
      <c r="B785" s="6" t="s">
        <v>926</v>
      </c>
      <c r="C785" s="20">
        <v>45972</v>
      </c>
      <c r="D785" s="6" t="s">
        <v>129</v>
      </c>
      <c r="E785" s="6" t="s">
        <v>103</v>
      </c>
      <c r="F785" s="6" t="s">
        <v>97</v>
      </c>
      <c r="G785" s="6" t="s">
        <v>91</v>
      </c>
      <c r="H785" s="6" t="s">
        <v>119</v>
      </c>
      <c r="I785" s="6" t="s">
        <v>120</v>
      </c>
      <c r="J785" s="25">
        <v>1</v>
      </c>
      <c r="K785" s="21">
        <v>2419.4299999999998</v>
      </c>
      <c r="L785" s="63">
        <v>0</v>
      </c>
      <c r="M785" s="21">
        <v>1654.91</v>
      </c>
      <c r="N785" s="6" t="s">
        <v>94</v>
      </c>
      <c r="O785" s="60">
        <f>Vendas2025[[#This Row],[Quantidade]]*Vendas2025[[#This Row],[Preço_Unitário_R$]]</f>
        <v>2419.4299999999998</v>
      </c>
      <c r="P785" s="60">
        <f>Vendas2025[[#This Row],[Receita_Bruta_R$]]*Vendas2025[[#This Row],[Desconto_pct]]</f>
        <v>0</v>
      </c>
      <c r="Q785" s="60">
        <f t="shared" si="60"/>
        <v>2419.4299999999998</v>
      </c>
      <c r="R785" s="60">
        <f t="shared" si="61"/>
        <v>1654.91</v>
      </c>
      <c r="S785" s="60">
        <f t="shared" si="62"/>
        <v>764.51999999999975</v>
      </c>
      <c r="T785" s="65">
        <f t="shared" si="63"/>
        <v>0.31599178318860222</v>
      </c>
    </row>
    <row r="786" spans="1:20">
      <c r="A786" s="41">
        <f t="shared" si="64"/>
        <v>11</v>
      </c>
      <c r="B786" s="6" t="s">
        <v>927</v>
      </c>
      <c r="C786" s="20">
        <v>45972</v>
      </c>
      <c r="D786" s="6" t="s">
        <v>102</v>
      </c>
      <c r="E786" s="6" t="s">
        <v>103</v>
      </c>
      <c r="F786" s="6" t="s">
        <v>97</v>
      </c>
      <c r="G786" s="6" t="s">
        <v>91</v>
      </c>
      <c r="H786" s="6" t="s">
        <v>106</v>
      </c>
      <c r="I786" s="6" t="s">
        <v>116</v>
      </c>
      <c r="J786" s="25">
        <v>1</v>
      </c>
      <c r="K786" s="21">
        <v>440.19</v>
      </c>
      <c r="L786" s="63">
        <v>0.05</v>
      </c>
      <c r="M786" s="21">
        <v>239.48</v>
      </c>
      <c r="N786" s="6" t="s">
        <v>94</v>
      </c>
      <c r="O786" s="60">
        <f>Vendas2025[[#This Row],[Quantidade]]*Vendas2025[[#This Row],[Preço_Unitário_R$]]</f>
        <v>440.19</v>
      </c>
      <c r="P786" s="60">
        <f>Vendas2025[[#This Row],[Receita_Bruta_R$]]*Vendas2025[[#This Row],[Desconto_pct]]</f>
        <v>22.009500000000003</v>
      </c>
      <c r="Q786" s="60">
        <f t="shared" si="60"/>
        <v>418.18049999999999</v>
      </c>
      <c r="R786" s="60">
        <f t="shared" si="61"/>
        <v>239.48</v>
      </c>
      <c r="S786" s="60">
        <f t="shared" si="62"/>
        <v>178.70050000000001</v>
      </c>
      <c r="T786" s="65">
        <f t="shared" si="63"/>
        <v>0.42732862962285428</v>
      </c>
    </row>
    <row r="787" spans="1:20">
      <c r="A787" s="41">
        <f t="shared" si="64"/>
        <v>11</v>
      </c>
      <c r="B787" s="6" t="s">
        <v>928</v>
      </c>
      <c r="C787" s="20">
        <v>45973</v>
      </c>
      <c r="D787" s="6" t="s">
        <v>136</v>
      </c>
      <c r="E787" s="6" t="s">
        <v>137</v>
      </c>
      <c r="F787" s="6" t="s">
        <v>90</v>
      </c>
      <c r="G787" s="6" t="s">
        <v>98</v>
      </c>
      <c r="H787" s="6" t="s">
        <v>92</v>
      </c>
      <c r="I787" s="6" t="s">
        <v>93</v>
      </c>
      <c r="J787" s="25">
        <v>1</v>
      </c>
      <c r="K787" s="21">
        <v>227.25</v>
      </c>
      <c r="L787" s="63">
        <v>0.2</v>
      </c>
      <c r="M787" s="21">
        <v>100.31</v>
      </c>
      <c r="N787" s="6" t="s">
        <v>94</v>
      </c>
      <c r="O787" s="60">
        <f>Vendas2025[[#This Row],[Quantidade]]*Vendas2025[[#This Row],[Preço_Unitário_R$]]</f>
        <v>227.25</v>
      </c>
      <c r="P787" s="60">
        <f>Vendas2025[[#This Row],[Receita_Bruta_R$]]*Vendas2025[[#This Row],[Desconto_pct]]</f>
        <v>45.45</v>
      </c>
      <c r="Q787" s="60">
        <f t="shared" si="60"/>
        <v>181.8</v>
      </c>
      <c r="R787" s="60">
        <f t="shared" si="61"/>
        <v>100.31</v>
      </c>
      <c r="S787" s="60">
        <f t="shared" si="62"/>
        <v>81.490000000000009</v>
      </c>
      <c r="T787" s="65">
        <f t="shared" si="63"/>
        <v>0.44823982398239826</v>
      </c>
    </row>
    <row r="788" spans="1:20">
      <c r="A788" s="41">
        <f t="shared" si="64"/>
        <v>11</v>
      </c>
      <c r="B788" s="6" t="s">
        <v>929</v>
      </c>
      <c r="C788" s="20">
        <v>45973</v>
      </c>
      <c r="D788" s="6" t="s">
        <v>113</v>
      </c>
      <c r="E788" s="6" t="s">
        <v>114</v>
      </c>
      <c r="F788" s="6" t="s">
        <v>97</v>
      </c>
      <c r="G788" s="6" t="s">
        <v>127</v>
      </c>
      <c r="H788" s="6" t="s">
        <v>124</v>
      </c>
      <c r="I788" s="6" t="s">
        <v>193</v>
      </c>
      <c r="J788" s="25">
        <v>3</v>
      </c>
      <c r="K788" s="21">
        <v>403.7</v>
      </c>
      <c r="L788" s="63">
        <v>0.1</v>
      </c>
      <c r="M788" s="21">
        <v>174.96</v>
      </c>
      <c r="N788" s="6" t="s">
        <v>94</v>
      </c>
      <c r="O788" s="60">
        <f>Vendas2025[[#This Row],[Quantidade]]*Vendas2025[[#This Row],[Preço_Unitário_R$]]</f>
        <v>1211.0999999999999</v>
      </c>
      <c r="P788" s="60">
        <f>Vendas2025[[#This Row],[Receita_Bruta_R$]]*Vendas2025[[#This Row],[Desconto_pct]]</f>
        <v>121.11</v>
      </c>
      <c r="Q788" s="60">
        <f t="shared" si="60"/>
        <v>1089.99</v>
      </c>
      <c r="R788" s="60">
        <f t="shared" si="61"/>
        <v>524.88</v>
      </c>
      <c r="S788" s="60">
        <f t="shared" si="62"/>
        <v>565.11</v>
      </c>
      <c r="T788" s="65">
        <f t="shared" si="63"/>
        <v>0.51845429774585083</v>
      </c>
    </row>
    <row r="789" spans="1:20">
      <c r="A789" s="41">
        <f t="shared" si="64"/>
        <v>11</v>
      </c>
      <c r="B789" s="6" t="s">
        <v>930</v>
      </c>
      <c r="C789" s="20">
        <v>45973</v>
      </c>
      <c r="D789" s="6" t="s">
        <v>132</v>
      </c>
      <c r="E789" s="6" t="s">
        <v>89</v>
      </c>
      <c r="F789" s="6" t="s">
        <v>90</v>
      </c>
      <c r="G789" s="6" t="s">
        <v>98</v>
      </c>
      <c r="H789" s="6" t="s">
        <v>99</v>
      </c>
      <c r="I789" s="6" t="s">
        <v>173</v>
      </c>
      <c r="J789" s="25">
        <v>1</v>
      </c>
      <c r="K789" s="21">
        <v>4068.91</v>
      </c>
      <c r="L789" s="63">
        <v>7.5000000000000011E-2</v>
      </c>
      <c r="M789" s="21">
        <v>3214.34</v>
      </c>
      <c r="N789" s="6" t="s">
        <v>94</v>
      </c>
      <c r="O789" s="60">
        <f>Vendas2025[[#This Row],[Quantidade]]*Vendas2025[[#This Row],[Preço_Unitário_R$]]</f>
        <v>4068.91</v>
      </c>
      <c r="P789" s="60">
        <f>Vendas2025[[#This Row],[Receita_Bruta_R$]]*Vendas2025[[#This Row],[Desconto_pct]]</f>
        <v>305.16825000000006</v>
      </c>
      <c r="Q789" s="60">
        <f t="shared" si="60"/>
        <v>3763.7417499999997</v>
      </c>
      <c r="R789" s="60">
        <f t="shared" si="61"/>
        <v>3214.34</v>
      </c>
      <c r="S789" s="60">
        <f t="shared" si="62"/>
        <v>549.40174999999954</v>
      </c>
      <c r="T789" s="65">
        <f t="shared" si="63"/>
        <v>0.14597222298793469</v>
      </c>
    </row>
    <row r="790" spans="1:20">
      <c r="A790" s="41">
        <f t="shared" si="64"/>
        <v>11</v>
      </c>
      <c r="B790" s="6" t="s">
        <v>931</v>
      </c>
      <c r="C790" s="20">
        <v>45973</v>
      </c>
      <c r="D790" s="6" t="s">
        <v>102</v>
      </c>
      <c r="E790" s="6" t="s">
        <v>103</v>
      </c>
      <c r="F790" s="6" t="s">
        <v>122</v>
      </c>
      <c r="G790" s="6" t="s">
        <v>160</v>
      </c>
      <c r="H790" s="6" t="s">
        <v>119</v>
      </c>
      <c r="I790" s="6" t="s">
        <v>138</v>
      </c>
      <c r="J790" s="25">
        <v>1</v>
      </c>
      <c r="K790" s="21">
        <v>148.93</v>
      </c>
      <c r="L790" s="63">
        <v>0.05</v>
      </c>
      <c r="M790" s="21">
        <v>59.38</v>
      </c>
      <c r="N790" s="6" t="s">
        <v>94</v>
      </c>
      <c r="O790" s="60">
        <f>Vendas2025[[#This Row],[Quantidade]]*Vendas2025[[#This Row],[Preço_Unitário_R$]]</f>
        <v>148.93</v>
      </c>
      <c r="P790" s="60">
        <f>Vendas2025[[#This Row],[Receita_Bruta_R$]]*Vendas2025[[#This Row],[Desconto_pct]]</f>
        <v>7.4465000000000003</v>
      </c>
      <c r="Q790" s="60">
        <f t="shared" si="60"/>
        <v>141.48349999999999</v>
      </c>
      <c r="R790" s="60">
        <f t="shared" si="61"/>
        <v>59.38</v>
      </c>
      <c r="S790" s="60">
        <f t="shared" si="62"/>
        <v>82.103499999999997</v>
      </c>
      <c r="T790" s="65">
        <f t="shared" si="63"/>
        <v>0.58030441712284475</v>
      </c>
    </row>
    <row r="791" spans="1:20">
      <c r="A791" s="41">
        <f t="shared" si="64"/>
        <v>11</v>
      </c>
      <c r="B791" s="6" t="s">
        <v>932</v>
      </c>
      <c r="C791" s="20">
        <v>45973</v>
      </c>
      <c r="D791" s="6" t="s">
        <v>118</v>
      </c>
      <c r="E791" s="6" t="s">
        <v>114</v>
      </c>
      <c r="F791" s="6" t="s">
        <v>122</v>
      </c>
      <c r="G791" s="6" t="s">
        <v>110</v>
      </c>
      <c r="H791" s="6" t="s">
        <v>99</v>
      </c>
      <c r="I791" s="6" t="s">
        <v>100</v>
      </c>
      <c r="J791" s="25">
        <v>1</v>
      </c>
      <c r="K791" s="21">
        <v>450.23</v>
      </c>
      <c r="L791" s="63">
        <v>0.03</v>
      </c>
      <c r="M791" s="21">
        <v>261.14</v>
      </c>
      <c r="N791" s="6" t="s">
        <v>94</v>
      </c>
      <c r="O791" s="60">
        <f>Vendas2025[[#This Row],[Quantidade]]*Vendas2025[[#This Row],[Preço_Unitário_R$]]</f>
        <v>450.23</v>
      </c>
      <c r="P791" s="60">
        <f>Vendas2025[[#This Row],[Receita_Bruta_R$]]*Vendas2025[[#This Row],[Desconto_pct]]</f>
        <v>13.5069</v>
      </c>
      <c r="Q791" s="60">
        <f t="shared" si="60"/>
        <v>436.72310000000004</v>
      </c>
      <c r="R791" s="60">
        <f t="shared" si="61"/>
        <v>261.14</v>
      </c>
      <c r="S791" s="60">
        <f t="shared" si="62"/>
        <v>175.58310000000006</v>
      </c>
      <c r="T791" s="65">
        <f t="shared" si="63"/>
        <v>0.40204674311938171</v>
      </c>
    </row>
    <row r="792" spans="1:20">
      <c r="A792" s="41">
        <f t="shared" si="64"/>
        <v>11</v>
      </c>
      <c r="B792" s="6" t="s">
        <v>933</v>
      </c>
      <c r="C792" s="20">
        <v>45974</v>
      </c>
      <c r="D792" s="6" t="s">
        <v>88</v>
      </c>
      <c r="E792" s="6" t="s">
        <v>89</v>
      </c>
      <c r="F792" s="6" t="s">
        <v>97</v>
      </c>
      <c r="G792" s="6" t="s">
        <v>105</v>
      </c>
      <c r="H792" s="6" t="s">
        <v>99</v>
      </c>
      <c r="I792" s="6" t="s">
        <v>130</v>
      </c>
      <c r="J792" s="25">
        <v>1</v>
      </c>
      <c r="K792" s="21">
        <v>258.18</v>
      </c>
      <c r="L792" s="63">
        <v>0.15</v>
      </c>
      <c r="M792" s="21">
        <v>124.57</v>
      </c>
      <c r="N792" s="6" t="s">
        <v>94</v>
      </c>
      <c r="O792" s="60">
        <f>Vendas2025[[#This Row],[Quantidade]]*Vendas2025[[#This Row],[Preço_Unitário_R$]]</f>
        <v>258.18</v>
      </c>
      <c r="P792" s="60">
        <f>Vendas2025[[#This Row],[Receita_Bruta_R$]]*Vendas2025[[#This Row],[Desconto_pct]]</f>
        <v>38.726999999999997</v>
      </c>
      <c r="Q792" s="60">
        <f t="shared" si="60"/>
        <v>219.453</v>
      </c>
      <c r="R792" s="60">
        <f t="shared" si="61"/>
        <v>124.57</v>
      </c>
      <c r="S792" s="60">
        <f t="shared" si="62"/>
        <v>94.88300000000001</v>
      </c>
      <c r="T792" s="65">
        <f t="shared" si="63"/>
        <v>0.43236137122755219</v>
      </c>
    </row>
    <row r="793" spans="1:20">
      <c r="A793" s="41">
        <f t="shared" si="64"/>
        <v>11</v>
      </c>
      <c r="B793" s="6" t="s">
        <v>934</v>
      </c>
      <c r="C793" s="20">
        <v>45974</v>
      </c>
      <c r="D793" s="6" t="s">
        <v>88</v>
      </c>
      <c r="E793" s="6" t="s">
        <v>89</v>
      </c>
      <c r="F793" s="6" t="s">
        <v>97</v>
      </c>
      <c r="G793" s="6" t="s">
        <v>98</v>
      </c>
      <c r="H793" s="6" t="s">
        <v>106</v>
      </c>
      <c r="I793" s="6" t="s">
        <v>184</v>
      </c>
      <c r="J793" s="25">
        <v>1</v>
      </c>
      <c r="K793" s="21">
        <v>1120.02</v>
      </c>
      <c r="L793" s="63">
        <v>0.08</v>
      </c>
      <c r="M793" s="21">
        <v>849.63</v>
      </c>
      <c r="N793" s="6" t="s">
        <v>94</v>
      </c>
      <c r="O793" s="60">
        <f>Vendas2025[[#This Row],[Quantidade]]*Vendas2025[[#This Row],[Preço_Unitário_R$]]</f>
        <v>1120.02</v>
      </c>
      <c r="P793" s="60">
        <f>Vendas2025[[#This Row],[Receita_Bruta_R$]]*Vendas2025[[#This Row],[Desconto_pct]]</f>
        <v>89.601600000000005</v>
      </c>
      <c r="Q793" s="60">
        <f t="shared" si="60"/>
        <v>1030.4184</v>
      </c>
      <c r="R793" s="60">
        <f t="shared" si="61"/>
        <v>849.63</v>
      </c>
      <c r="S793" s="60">
        <f t="shared" si="62"/>
        <v>180.78840000000002</v>
      </c>
      <c r="T793" s="65">
        <f t="shared" si="63"/>
        <v>0.17545144768377585</v>
      </c>
    </row>
    <row r="794" spans="1:20">
      <c r="A794" s="41">
        <f t="shared" si="64"/>
        <v>11</v>
      </c>
      <c r="B794" s="6" t="s">
        <v>935</v>
      </c>
      <c r="C794" s="20">
        <v>45974</v>
      </c>
      <c r="D794" s="6" t="s">
        <v>136</v>
      </c>
      <c r="E794" s="6" t="s">
        <v>137</v>
      </c>
      <c r="F794" s="6" t="s">
        <v>122</v>
      </c>
      <c r="G794" s="6" t="s">
        <v>151</v>
      </c>
      <c r="H794" s="6" t="s">
        <v>92</v>
      </c>
      <c r="I794" s="6" t="s">
        <v>134</v>
      </c>
      <c r="J794" s="25">
        <v>2</v>
      </c>
      <c r="K794" s="21">
        <v>423.89</v>
      </c>
      <c r="L794" s="63">
        <v>0.05</v>
      </c>
      <c r="M794" s="21">
        <v>224.8</v>
      </c>
      <c r="N794" s="6" t="s">
        <v>94</v>
      </c>
      <c r="O794" s="60">
        <f>Vendas2025[[#This Row],[Quantidade]]*Vendas2025[[#This Row],[Preço_Unitário_R$]]</f>
        <v>847.78</v>
      </c>
      <c r="P794" s="60">
        <f>Vendas2025[[#This Row],[Receita_Bruta_R$]]*Vendas2025[[#This Row],[Desconto_pct]]</f>
        <v>42.389000000000003</v>
      </c>
      <c r="Q794" s="60">
        <f t="shared" si="60"/>
        <v>805.39099999999996</v>
      </c>
      <c r="R794" s="60">
        <f t="shared" si="61"/>
        <v>449.6</v>
      </c>
      <c r="S794" s="60">
        <f t="shared" si="62"/>
        <v>355.79099999999994</v>
      </c>
      <c r="T794" s="65">
        <f t="shared" si="63"/>
        <v>0.44176182748503517</v>
      </c>
    </row>
    <row r="795" spans="1:20">
      <c r="A795" s="41">
        <f t="shared" si="64"/>
        <v>11</v>
      </c>
      <c r="B795" s="6" t="s">
        <v>936</v>
      </c>
      <c r="C795" s="20">
        <v>45975</v>
      </c>
      <c r="D795" s="6" t="s">
        <v>118</v>
      </c>
      <c r="E795" s="6" t="s">
        <v>114</v>
      </c>
      <c r="F795" s="6" t="s">
        <v>122</v>
      </c>
      <c r="G795" s="6" t="s">
        <v>151</v>
      </c>
      <c r="H795" s="6" t="s">
        <v>106</v>
      </c>
      <c r="I795" s="6" t="s">
        <v>111</v>
      </c>
      <c r="J795" s="25">
        <v>1</v>
      </c>
      <c r="K795" s="21">
        <v>274.99</v>
      </c>
      <c r="L795" s="63">
        <v>0.1</v>
      </c>
      <c r="M795" s="21">
        <v>123.26</v>
      </c>
      <c r="N795" s="6" t="s">
        <v>94</v>
      </c>
      <c r="O795" s="60">
        <f>Vendas2025[[#This Row],[Quantidade]]*Vendas2025[[#This Row],[Preço_Unitário_R$]]</f>
        <v>274.99</v>
      </c>
      <c r="P795" s="60">
        <f>Vendas2025[[#This Row],[Receita_Bruta_R$]]*Vendas2025[[#This Row],[Desconto_pct]]</f>
        <v>27.499000000000002</v>
      </c>
      <c r="Q795" s="60">
        <f t="shared" si="60"/>
        <v>247.49100000000001</v>
      </c>
      <c r="R795" s="60">
        <f t="shared" si="61"/>
        <v>123.26</v>
      </c>
      <c r="S795" s="60">
        <f t="shared" si="62"/>
        <v>124.23100000000001</v>
      </c>
      <c r="T795" s="65">
        <f t="shared" si="63"/>
        <v>0.50196168749570691</v>
      </c>
    </row>
    <row r="796" spans="1:20">
      <c r="A796" s="41">
        <f t="shared" si="64"/>
        <v>11</v>
      </c>
      <c r="B796" s="6" t="s">
        <v>937</v>
      </c>
      <c r="C796" s="20">
        <v>45975</v>
      </c>
      <c r="D796" s="6" t="s">
        <v>102</v>
      </c>
      <c r="E796" s="6" t="s">
        <v>103</v>
      </c>
      <c r="F796" s="6" t="s">
        <v>97</v>
      </c>
      <c r="G796" s="6" t="s">
        <v>98</v>
      </c>
      <c r="H796" s="6" t="s">
        <v>106</v>
      </c>
      <c r="I796" s="6" t="s">
        <v>184</v>
      </c>
      <c r="J796" s="25">
        <v>1</v>
      </c>
      <c r="K796" s="21">
        <v>1258.32</v>
      </c>
      <c r="L796" s="63">
        <v>7.5000000000000011E-2</v>
      </c>
      <c r="M796" s="21">
        <v>913.9</v>
      </c>
      <c r="N796" s="6" t="s">
        <v>94</v>
      </c>
      <c r="O796" s="60">
        <f>Vendas2025[[#This Row],[Quantidade]]*Vendas2025[[#This Row],[Preço_Unitário_R$]]</f>
        <v>1258.32</v>
      </c>
      <c r="P796" s="60">
        <f>Vendas2025[[#This Row],[Receita_Bruta_R$]]*Vendas2025[[#This Row],[Desconto_pct]]</f>
        <v>94.374000000000009</v>
      </c>
      <c r="Q796" s="60">
        <f t="shared" si="60"/>
        <v>1163.9459999999999</v>
      </c>
      <c r="R796" s="60">
        <f t="shared" si="61"/>
        <v>913.9</v>
      </c>
      <c r="S796" s="60">
        <f t="shared" si="62"/>
        <v>250.04599999999994</v>
      </c>
      <c r="T796" s="65">
        <f t="shared" si="63"/>
        <v>0.21482611736283294</v>
      </c>
    </row>
    <row r="797" spans="1:20">
      <c r="A797" s="41">
        <f t="shared" si="64"/>
        <v>11</v>
      </c>
      <c r="B797" s="6" t="s">
        <v>938</v>
      </c>
      <c r="C797" s="20">
        <v>45975</v>
      </c>
      <c r="D797" s="6" t="s">
        <v>132</v>
      </c>
      <c r="E797" s="6" t="s">
        <v>89</v>
      </c>
      <c r="F797" s="6" t="s">
        <v>122</v>
      </c>
      <c r="G797" s="6" t="s">
        <v>123</v>
      </c>
      <c r="H797" s="6" t="s">
        <v>92</v>
      </c>
      <c r="I797" s="6" t="s">
        <v>93</v>
      </c>
      <c r="J797" s="25">
        <v>1</v>
      </c>
      <c r="K797" s="21">
        <v>230.23</v>
      </c>
      <c r="L797" s="63">
        <v>0.1</v>
      </c>
      <c r="M797" s="21">
        <v>99.05</v>
      </c>
      <c r="N797" s="6" t="s">
        <v>94</v>
      </c>
      <c r="O797" s="60">
        <f>Vendas2025[[#This Row],[Quantidade]]*Vendas2025[[#This Row],[Preço_Unitário_R$]]</f>
        <v>230.23</v>
      </c>
      <c r="P797" s="60">
        <f>Vendas2025[[#This Row],[Receita_Bruta_R$]]*Vendas2025[[#This Row],[Desconto_pct]]</f>
        <v>23.023</v>
      </c>
      <c r="Q797" s="60">
        <f t="shared" si="60"/>
        <v>207.20699999999999</v>
      </c>
      <c r="R797" s="60">
        <f t="shared" si="61"/>
        <v>99.05</v>
      </c>
      <c r="S797" s="60">
        <f t="shared" si="62"/>
        <v>108.157</v>
      </c>
      <c r="T797" s="65">
        <f t="shared" si="63"/>
        <v>0.52197560893213069</v>
      </c>
    </row>
    <row r="798" spans="1:20">
      <c r="A798" s="41">
        <f t="shared" si="64"/>
        <v>11</v>
      </c>
      <c r="B798" s="6" t="s">
        <v>939</v>
      </c>
      <c r="C798" s="20">
        <v>45975</v>
      </c>
      <c r="D798" s="6" t="s">
        <v>88</v>
      </c>
      <c r="E798" s="6" t="s">
        <v>89</v>
      </c>
      <c r="F798" s="6" t="s">
        <v>122</v>
      </c>
      <c r="G798" s="6" t="s">
        <v>160</v>
      </c>
      <c r="H798" s="6" t="s">
        <v>106</v>
      </c>
      <c r="I798" s="6" t="s">
        <v>116</v>
      </c>
      <c r="J798" s="25">
        <v>2</v>
      </c>
      <c r="K798" s="21">
        <v>437.14</v>
      </c>
      <c r="L798" s="63">
        <v>0.05</v>
      </c>
      <c r="M798" s="21">
        <v>237.49</v>
      </c>
      <c r="N798" s="6" t="s">
        <v>94</v>
      </c>
      <c r="O798" s="60">
        <f>Vendas2025[[#This Row],[Quantidade]]*Vendas2025[[#This Row],[Preço_Unitário_R$]]</f>
        <v>874.28</v>
      </c>
      <c r="P798" s="60">
        <f>Vendas2025[[#This Row],[Receita_Bruta_R$]]*Vendas2025[[#This Row],[Desconto_pct]]</f>
        <v>43.713999999999999</v>
      </c>
      <c r="Q798" s="60">
        <f t="shared" si="60"/>
        <v>830.56600000000003</v>
      </c>
      <c r="R798" s="60">
        <f t="shared" si="61"/>
        <v>474.98</v>
      </c>
      <c r="S798" s="60">
        <f t="shared" si="62"/>
        <v>355.58600000000001</v>
      </c>
      <c r="T798" s="65">
        <f t="shared" si="63"/>
        <v>0.42812491722512119</v>
      </c>
    </row>
    <row r="799" spans="1:20">
      <c r="A799" s="41">
        <f t="shared" si="64"/>
        <v>11</v>
      </c>
      <c r="B799" s="6" t="s">
        <v>940</v>
      </c>
      <c r="C799" s="20">
        <v>45975</v>
      </c>
      <c r="D799" s="6" t="s">
        <v>102</v>
      </c>
      <c r="E799" s="6" t="s">
        <v>103</v>
      </c>
      <c r="F799" s="6" t="s">
        <v>122</v>
      </c>
      <c r="G799" s="6" t="s">
        <v>98</v>
      </c>
      <c r="H799" s="6" t="s">
        <v>92</v>
      </c>
      <c r="I799" s="6" t="s">
        <v>144</v>
      </c>
      <c r="J799" s="25">
        <v>1</v>
      </c>
      <c r="K799" s="21">
        <v>159.07</v>
      </c>
      <c r="L799" s="63">
        <v>0.03</v>
      </c>
      <c r="M799" s="21">
        <v>54.36</v>
      </c>
      <c r="N799" s="6" t="s">
        <v>94</v>
      </c>
      <c r="O799" s="60">
        <f>Vendas2025[[#This Row],[Quantidade]]*Vendas2025[[#This Row],[Preço_Unitário_R$]]</f>
        <v>159.07</v>
      </c>
      <c r="P799" s="60">
        <f>Vendas2025[[#This Row],[Receita_Bruta_R$]]*Vendas2025[[#This Row],[Desconto_pct]]</f>
        <v>4.7721</v>
      </c>
      <c r="Q799" s="60">
        <f t="shared" si="60"/>
        <v>154.2979</v>
      </c>
      <c r="R799" s="60">
        <f t="shared" si="61"/>
        <v>54.36</v>
      </c>
      <c r="S799" s="60">
        <f t="shared" si="62"/>
        <v>99.937899999999999</v>
      </c>
      <c r="T799" s="65">
        <f t="shared" si="63"/>
        <v>0.64769449227760068</v>
      </c>
    </row>
    <row r="800" spans="1:20">
      <c r="A800" s="41">
        <f t="shared" si="64"/>
        <v>11</v>
      </c>
      <c r="B800" s="6" t="s">
        <v>941</v>
      </c>
      <c r="C800" s="20">
        <v>45975</v>
      </c>
      <c r="D800" s="6" t="s">
        <v>132</v>
      </c>
      <c r="E800" s="6" t="s">
        <v>89</v>
      </c>
      <c r="F800" s="6" t="s">
        <v>90</v>
      </c>
      <c r="G800" s="6" t="s">
        <v>123</v>
      </c>
      <c r="H800" s="6" t="s">
        <v>106</v>
      </c>
      <c r="I800" s="6" t="s">
        <v>184</v>
      </c>
      <c r="J800" s="25">
        <v>1</v>
      </c>
      <c r="K800" s="21">
        <v>1125.27</v>
      </c>
      <c r="L800" s="63">
        <v>0.125</v>
      </c>
      <c r="M800" s="21">
        <v>795.68</v>
      </c>
      <c r="N800" s="6" t="s">
        <v>94</v>
      </c>
      <c r="O800" s="60">
        <f>Vendas2025[[#This Row],[Quantidade]]*Vendas2025[[#This Row],[Preço_Unitário_R$]]</f>
        <v>1125.27</v>
      </c>
      <c r="P800" s="60">
        <f>Vendas2025[[#This Row],[Receita_Bruta_R$]]*Vendas2025[[#This Row],[Desconto_pct]]</f>
        <v>140.65875</v>
      </c>
      <c r="Q800" s="60">
        <f t="shared" si="60"/>
        <v>984.61124999999993</v>
      </c>
      <c r="R800" s="60">
        <f t="shared" si="61"/>
        <v>795.68</v>
      </c>
      <c r="S800" s="60">
        <f t="shared" si="62"/>
        <v>188.93124999999998</v>
      </c>
      <c r="T800" s="65">
        <f t="shared" si="63"/>
        <v>0.19188410654458801</v>
      </c>
    </row>
    <row r="801" spans="1:20">
      <c r="A801" s="41">
        <f t="shared" si="64"/>
        <v>11</v>
      </c>
      <c r="B801" s="6" t="s">
        <v>942</v>
      </c>
      <c r="C801" s="20">
        <v>45975</v>
      </c>
      <c r="D801" s="6" t="s">
        <v>129</v>
      </c>
      <c r="E801" s="6" t="s">
        <v>103</v>
      </c>
      <c r="F801" s="6" t="s">
        <v>97</v>
      </c>
      <c r="G801" s="6" t="s">
        <v>154</v>
      </c>
      <c r="H801" s="6" t="s">
        <v>99</v>
      </c>
      <c r="I801" s="6" t="s">
        <v>100</v>
      </c>
      <c r="J801" s="25">
        <v>1</v>
      </c>
      <c r="K801" s="21">
        <v>428.02</v>
      </c>
      <c r="L801" s="63">
        <v>0.05</v>
      </c>
      <c r="M801" s="21">
        <v>245</v>
      </c>
      <c r="N801" s="6" t="s">
        <v>94</v>
      </c>
      <c r="O801" s="60">
        <f>Vendas2025[[#This Row],[Quantidade]]*Vendas2025[[#This Row],[Preço_Unitário_R$]]</f>
        <v>428.02</v>
      </c>
      <c r="P801" s="60">
        <f>Vendas2025[[#This Row],[Receita_Bruta_R$]]*Vendas2025[[#This Row],[Desconto_pct]]</f>
        <v>21.401</v>
      </c>
      <c r="Q801" s="60">
        <f t="shared" si="60"/>
        <v>406.61899999999997</v>
      </c>
      <c r="R801" s="60">
        <f t="shared" si="61"/>
        <v>245</v>
      </c>
      <c r="S801" s="60">
        <f t="shared" si="62"/>
        <v>161.61899999999997</v>
      </c>
      <c r="T801" s="65">
        <f t="shared" si="63"/>
        <v>0.39747035923063107</v>
      </c>
    </row>
    <row r="802" spans="1:20">
      <c r="A802" s="41">
        <f t="shared" si="64"/>
        <v>11</v>
      </c>
      <c r="B802" s="6" t="s">
        <v>943</v>
      </c>
      <c r="C802" s="20">
        <v>45975</v>
      </c>
      <c r="D802" s="6" t="s">
        <v>132</v>
      </c>
      <c r="E802" s="6" t="s">
        <v>89</v>
      </c>
      <c r="F802" s="6" t="s">
        <v>104</v>
      </c>
      <c r="G802" s="6" t="s">
        <v>115</v>
      </c>
      <c r="H802" s="6" t="s">
        <v>106</v>
      </c>
      <c r="I802" s="6" t="s">
        <v>107</v>
      </c>
      <c r="J802" s="25">
        <v>3</v>
      </c>
      <c r="K802" s="21">
        <v>647.73</v>
      </c>
      <c r="L802" s="63">
        <v>2.5000000000000001E-2</v>
      </c>
      <c r="M802" s="21">
        <v>373.99</v>
      </c>
      <c r="N802" s="6" t="s">
        <v>94</v>
      </c>
      <c r="O802" s="60">
        <f>Vendas2025[[#This Row],[Quantidade]]*Vendas2025[[#This Row],[Preço_Unitário_R$]]</f>
        <v>1943.19</v>
      </c>
      <c r="P802" s="60">
        <f>Vendas2025[[#This Row],[Receita_Bruta_R$]]*Vendas2025[[#This Row],[Desconto_pct]]</f>
        <v>48.579750000000004</v>
      </c>
      <c r="Q802" s="60">
        <f t="shared" si="60"/>
        <v>1894.61025</v>
      </c>
      <c r="R802" s="60">
        <f t="shared" si="61"/>
        <v>1121.97</v>
      </c>
      <c r="S802" s="60">
        <f t="shared" si="62"/>
        <v>772.64024999999992</v>
      </c>
      <c r="T802" s="65">
        <f t="shared" si="63"/>
        <v>0.40780960094562979</v>
      </c>
    </row>
    <row r="803" spans="1:20">
      <c r="A803" s="41">
        <f t="shared" si="64"/>
        <v>11</v>
      </c>
      <c r="B803" s="6" t="s">
        <v>944</v>
      </c>
      <c r="C803" s="20">
        <v>45976</v>
      </c>
      <c r="D803" s="6" t="s">
        <v>113</v>
      </c>
      <c r="E803" s="6" t="s">
        <v>114</v>
      </c>
      <c r="F803" s="6" t="s">
        <v>97</v>
      </c>
      <c r="G803" s="6" t="s">
        <v>105</v>
      </c>
      <c r="H803" s="6" t="s">
        <v>106</v>
      </c>
      <c r="I803" s="6" t="s">
        <v>107</v>
      </c>
      <c r="J803" s="25">
        <v>2</v>
      </c>
      <c r="K803" s="21">
        <v>664.43</v>
      </c>
      <c r="L803" s="63">
        <v>0.05</v>
      </c>
      <c r="M803" s="21">
        <v>372.2</v>
      </c>
      <c r="N803" s="6" t="s">
        <v>94</v>
      </c>
      <c r="O803" s="60">
        <f>Vendas2025[[#This Row],[Quantidade]]*Vendas2025[[#This Row],[Preço_Unitário_R$]]</f>
        <v>1328.86</v>
      </c>
      <c r="P803" s="60">
        <f>Vendas2025[[#This Row],[Receita_Bruta_R$]]*Vendas2025[[#This Row],[Desconto_pct]]</f>
        <v>66.442999999999998</v>
      </c>
      <c r="Q803" s="60">
        <f t="shared" si="60"/>
        <v>1262.4169999999999</v>
      </c>
      <c r="R803" s="60">
        <f t="shared" si="61"/>
        <v>744.4</v>
      </c>
      <c r="S803" s="60">
        <f t="shared" si="62"/>
        <v>518.01699999999994</v>
      </c>
      <c r="T803" s="65">
        <f t="shared" si="63"/>
        <v>0.41033747169120821</v>
      </c>
    </row>
    <row r="804" spans="1:20">
      <c r="A804" s="41">
        <f t="shared" si="64"/>
        <v>11</v>
      </c>
      <c r="B804" s="6" t="s">
        <v>945</v>
      </c>
      <c r="C804" s="20">
        <v>45976</v>
      </c>
      <c r="D804" s="6" t="s">
        <v>118</v>
      </c>
      <c r="E804" s="6" t="s">
        <v>114</v>
      </c>
      <c r="F804" s="6" t="s">
        <v>97</v>
      </c>
      <c r="G804" s="6" t="s">
        <v>123</v>
      </c>
      <c r="H804" s="6" t="s">
        <v>119</v>
      </c>
      <c r="I804" s="6" t="s">
        <v>138</v>
      </c>
      <c r="J804" s="25">
        <v>1</v>
      </c>
      <c r="K804" s="21">
        <v>130.31</v>
      </c>
      <c r="L804" s="63">
        <v>0.08</v>
      </c>
      <c r="M804" s="21">
        <v>50.38</v>
      </c>
      <c r="N804" s="6" t="s">
        <v>94</v>
      </c>
      <c r="O804" s="60">
        <f>Vendas2025[[#This Row],[Quantidade]]*Vendas2025[[#This Row],[Preço_Unitário_R$]]</f>
        <v>130.31</v>
      </c>
      <c r="P804" s="60">
        <f>Vendas2025[[#This Row],[Receita_Bruta_R$]]*Vendas2025[[#This Row],[Desconto_pct]]</f>
        <v>10.424800000000001</v>
      </c>
      <c r="Q804" s="60">
        <f t="shared" si="60"/>
        <v>119.8852</v>
      </c>
      <c r="R804" s="60">
        <f t="shared" si="61"/>
        <v>50.38</v>
      </c>
      <c r="S804" s="60">
        <f t="shared" si="62"/>
        <v>69.505200000000002</v>
      </c>
      <c r="T804" s="65">
        <f t="shared" si="63"/>
        <v>0.57976464150704177</v>
      </c>
    </row>
    <row r="805" spans="1:20">
      <c r="A805" s="41">
        <f t="shared" si="64"/>
        <v>11</v>
      </c>
      <c r="B805" s="6" t="s">
        <v>946</v>
      </c>
      <c r="C805" s="20">
        <v>45976</v>
      </c>
      <c r="D805" s="6" t="s">
        <v>129</v>
      </c>
      <c r="E805" s="6" t="s">
        <v>103</v>
      </c>
      <c r="F805" s="6" t="s">
        <v>104</v>
      </c>
      <c r="G805" s="6" t="s">
        <v>98</v>
      </c>
      <c r="H805" s="6" t="s">
        <v>124</v>
      </c>
      <c r="I805" s="6" t="s">
        <v>125</v>
      </c>
      <c r="J805" s="25">
        <v>1</v>
      </c>
      <c r="K805" s="21">
        <v>686.95</v>
      </c>
      <c r="L805" s="63">
        <v>0.03</v>
      </c>
      <c r="M805" s="21">
        <v>324.56</v>
      </c>
      <c r="N805" s="6" t="s">
        <v>94</v>
      </c>
      <c r="O805" s="60">
        <f>Vendas2025[[#This Row],[Quantidade]]*Vendas2025[[#This Row],[Preço_Unitário_R$]]</f>
        <v>686.95</v>
      </c>
      <c r="P805" s="60">
        <f>Vendas2025[[#This Row],[Receita_Bruta_R$]]*Vendas2025[[#This Row],[Desconto_pct]]</f>
        <v>20.608499999999999</v>
      </c>
      <c r="Q805" s="60">
        <f t="shared" si="60"/>
        <v>666.3415</v>
      </c>
      <c r="R805" s="60">
        <f t="shared" si="61"/>
        <v>324.56</v>
      </c>
      <c r="S805" s="60">
        <f t="shared" si="62"/>
        <v>341.78149999999999</v>
      </c>
      <c r="T805" s="65">
        <f t="shared" si="63"/>
        <v>0.51292242791421516</v>
      </c>
    </row>
    <row r="806" spans="1:20">
      <c r="A806" s="41">
        <f t="shared" si="64"/>
        <v>11</v>
      </c>
      <c r="B806" s="6" t="s">
        <v>947</v>
      </c>
      <c r="C806" s="20">
        <v>45976</v>
      </c>
      <c r="D806" s="6" t="s">
        <v>88</v>
      </c>
      <c r="E806" s="6" t="s">
        <v>89</v>
      </c>
      <c r="F806" s="6" t="s">
        <v>97</v>
      </c>
      <c r="G806" s="6" t="s">
        <v>151</v>
      </c>
      <c r="H806" s="6" t="s">
        <v>99</v>
      </c>
      <c r="I806" s="6" t="s">
        <v>158</v>
      </c>
      <c r="J806" s="25">
        <v>1</v>
      </c>
      <c r="K806" s="21">
        <v>197.72</v>
      </c>
      <c r="L806" s="63">
        <v>0.1</v>
      </c>
      <c r="M806" s="21">
        <v>87.48</v>
      </c>
      <c r="N806" s="6" t="s">
        <v>94</v>
      </c>
      <c r="O806" s="60">
        <f>Vendas2025[[#This Row],[Quantidade]]*Vendas2025[[#This Row],[Preço_Unitário_R$]]</f>
        <v>197.72</v>
      </c>
      <c r="P806" s="60">
        <f>Vendas2025[[#This Row],[Receita_Bruta_R$]]*Vendas2025[[#This Row],[Desconto_pct]]</f>
        <v>19.772000000000002</v>
      </c>
      <c r="Q806" s="60">
        <f t="shared" si="60"/>
        <v>177.94800000000001</v>
      </c>
      <c r="R806" s="60">
        <f t="shared" si="61"/>
        <v>87.48</v>
      </c>
      <c r="S806" s="60">
        <f t="shared" si="62"/>
        <v>90.468000000000004</v>
      </c>
      <c r="T806" s="65">
        <f t="shared" si="63"/>
        <v>0.50839571110661541</v>
      </c>
    </row>
    <row r="807" spans="1:20">
      <c r="A807" s="41">
        <f t="shared" si="64"/>
        <v>11</v>
      </c>
      <c r="B807" s="6" t="s">
        <v>948</v>
      </c>
      <c r="C807" s="20">
        <v>45976</v>
      </c>
      <c r="D807" s="6" t="s">
        <v>102</v>
      </c>
      <c r="E807" s="6" t="s">
        <v>103</v>
      </c>
      <c r="F807" s="6" t="s">
        <v>104</v>
      </c>
      <c r="G807" s="6" t="s">
        <v>177</v>
      </c>
      <c r="H807" s="6" t="s">
        <v>99</v>
      </c>
      <c r="I807" s="6" t="s">
        <v>158</v>
      </c>
      <c r="J807" s="25">
        <v>1</v>
      </c>
      <c r="K807" s="21">
        <v>190.37</v>
      </c>
      <c r="L807" s="63">
        <v>0</v>
      </c>
      <c r="M807" s="21">
        <v>90.17</v>
      </c>
      <c r="N807" s="6" t="s">
        <v>94</v>
      </c>
      <c r="O807" s="60">
        <f>Vendas2025[[#This Row],[Quantidade]]*Vendas2025[[#This Row],[Preço_Unitário_R$]]</f>
        <v>190.37</v>
      </c>
      <c r="P807" s="60">
        <f>Vendas2025[[#This Row],[Receita_Bruta_R$]]*Vendas2025[[#This Row],[Desconto_pct]]</f>
        <v>0</v>
      </c>
      <c r="Q807" s="60">
        <f t="shared" si="60"/>
        <v>190.37</v>
      </c>
      <c r="R807" s="60">
        <f t="shared" si="61"/>
        <v>90.17</v>
      </c>
      <c r="S807" s="60">
        <f t="shared" si="62"/>
        <v>100.2</v>
      </c>
      <c r="T807" s="65">
        <f t="shared" si="63"/>
        <v>0.52634343646582971</v>
      </c>
    </row>
    <row r="808" spans="1:20">
      <c r="A808" s="41">
        <f t="shared" si="64"/>
        <v>11</v>
      </c>
      <c r="B808" s="6" t="s">
        <v>949</v>
      </c>
      <c r="C808" s="20">
        <v>45977</v>
      </c>
      <c r="D808" s="6" t="s">
        <v>136</v>
      </c>
      <c r="E808" s="6" t="s">
        <v>137</v>
      </c>
      <c r="F808" s="6" t="s">
        <v>90</v>
      </c>
      <c r="G808" s="6" t="s">
        <v>115</v>
      </c>
      <c r="H808" s="6" t="s">
        <v>99</v>
      </c>
      <c r="I808" s="6" t="s">
        <v>173</v>
      </c>
      <c r="J808" s="25">
        <v>2</v>
      </c>
      <c r="K808" s="21">
        <v>3650.09</v>
      </c>
      <c r="L808" s="63">
        <v>0.17499999999999999</v>
      </c>
      <c r="M808" s="21">
        <v>2856.01</v>
      </c>
      <c r="N808" s="6" t="s">
        <v>94</v>
      </c>
      <c r="O808" s="60">
        <f>Vendas2025[[#This Row],[Quantidade]]*Vendas2025[[#This Row],[Preço_Unitário_R$]]</f>
        <v>7300.18</v>
      </c>
      <c r="P808" s="60">
        <f>Vendas2025[[#This Row],[Receita_Bruta_R$]]*Vendas2025[[#This Row],[Desconto_pct]]</f>
        <v>1277.5315000000001</v>
      </c>
      <c r="Q808" s="60">
        <f t="shared" si="60"/>
        <v>6022.6485000000002</v>
      </c>
      <c r="R808" s="60">
        <f t="shared" si="61"/>
        <v>5712.02</v>
      </c>
      <c r="S808" s="60">
        <f t="shared" si="62"/>
        <v>310.6284999999998</v>
      </c>
      <c r="T808" s="65">
        <f t="shared" si="63"/>
        <v>5.1576727414857401E-2</v>
      </c>
    </row>
    <row r="809" spans="1:20">
      <c r="A809" s="41">
        <f t="shared" si="64"/>
        <v>11</v>
      </c>
      <c r="B809" s="6" t="s">
        <v>950</v>
      </c>
      <c r="C809" s="20">
        <v>45977</v>
      </c>
      <c r="D809" s="6" t="s">
        <v>129</v>
      </c>
      <c r="E809" s="6" t="s">
        <v>103</v>
      </c>
      <c r="F809" s="6" t="s">
        <v>90</v>
      </c>
      <c r="G809" s="6" t="s">
        <v>115</v>
      </c>
      <c r="H809" s="6" t="s">
        <v>92</v>
      </c>
      <c r="I809" s="6" t="s">
        <v>93</v>
      </c>
      <c r="J809" s="25">
        <v>1</v>
      </c>
      <c r="K809" s="21">
        <v>238.74</v>
      </c>
      <c r="L809" s="63">
        <v>0.15</v>
      </c>
      <c r="M809" s="21">
        <v>102.12</v>
      </c>
      <c r="N809" s="6" t="s">
        <v>94</v>
      </c>
      <c r="O809" s="60">
        <f>Vendas2025[[#This Row],[Quantidade]]*Vendas2025[[#This Row],[Preço_Unitário_R$]]</f>
        <v>238.74</v>
      </c>
      <c r="P809" s="60">
        <f>Vendas2025[[#This Row],[Receita_Bruta_R$]]*Vendas2025[[#This Row],[Desconto_pct]]</f>
        <v>35.811</v>
      </c>
      <c r="Q809" s="60">
        <f t="shared" si="60"/>
        <v>202.929</v>
      </c>
      <c r="R809" s="60">
        <f t="shared" si="61"/>
        <v>102.12</v>
      </c>
      <c r="S809" s="60">
        <f t="shared" si="62"/>
        <v>100.809</v>
      </c>
      <c r="T809" s="65">
        <f t="shared" si="63"/>
        <v>0.4967698061883713</v>
      </c>
    </row>
    <row r="810" spans="1:20">
      <c r="A810" s="41">
        <f t="shared" si="64"/>
        <v>11</v>
      </c>
      <c r="B810" s="6" t="s">
        <v>951</v>
      </c>
      <c r="C810" s="20">
        <v>45977</v>
      </c>
      <c r="D810" s="6" t="s">
        <v>96</v>
      </c>
      <c r="E810" s="6" t="s">
        <v>89</v>
      </c>
      <c r="F810" s="6" t="s">
        <v>90</v>
      </c>
      <c r="G810" s="6" t="s">
        <v>105</v>
      </c>
      <c r="H810" s="6" t="s">
        <v>106</v>
      </c>
      <c r="I810" s="6" t="s">
        <v>184</v>
      </c>
      <c r="J810" s="25">
        <v>1</v>
      </c>
      <c r="K810" s="21">
        <v>1129.1400000000001</v>
      </c>
      <c r="L810" s="63">
        <v>0.22500000000000001</v>
      </c>
      <c r="M810" s="21">
        <v>843.2</v>
      </c>
      <c r="N810" s="6" t="s">
        <v>94</v>
      </c>
      <c r="O810" s="60">
        <f>Vendas2025[[#This Row],[Quantidade]]*Vendas2025[[#This Row],[Preço_Unitário_R$]]</f>
        <v>1129.1400000000001</v>
      </c>
      <c r="P810" s="60">
        <f>Vendas2025[[#This Row],[Receita_Bruta_R$]]*Vendas2025[[#This Row],[Desconto_pct]]</f>
        <v>254.05650000000003</v>
      </c>
      <c r="Q810" s="60">
        <f t="shared" si="60"/>
        <v>875.08350000000007</v>
      </c>
      <c r="R810" s="60">
        <f t="shared" si="61"/>
        <v>843.2</v>
      </c>
      <c r="S810" s="60">
        <f t="shared" si="62"/>
        <v>31.883500000000026</v>
      </c>
      <c r="T810" s="65">
        <f t="shared" si="63"/>
        <v>3.64348087925324E-2</v>
      </c>
    </row>
    <row r="811" spans="1:20">
      <c r="A811" s="41">
        <f t="shared" si="64"/>
        <v>11</v>
      </c>
      <c r="B811" s="6" t="s">
        <v>952</v>
      </c>
      <c r="C811" s="20">
        <v>45977</v>
      </c>
      <c r="D811" s="6" t="s">
        <v>129</v>
      </c>
      <c r="E811" s="6" t="s">
        <v>103</v>
      </c>
      <c r="F811" s="6" t="s">
        <v>97</v>
      </c>
      <c r="G811" s="6" t="s">
        <v>154</v>
      </c>
      <c r="H811" s="6" t="s">
        <v>106</v>
      </c>
      <c r="I811" s="6" t="s">
        <v>170</v>
      </c>
      <c r="J811" s="25">
        <v>1</v>
      </c>
      <c r="K811" s="21">
        <v>556.85</v>
      </c>
      <c r="L811" s="63">
        <v>0.08</v>
      </c>
      <c r="M811" s="21">
        <v>294.64999999999998</v>
      </c>
      <c r="N811" s="6" t="s">
        <v>94</v>
      </c>
      <c r="O811" s="60">
        <f>Vendas2025[[#This Row],[Quantidade]]*Vendas2025[[#This Row],[Preço_Unitário_R$]]</f>
        <v>556.85</v>
      </c>
      <c r="P811" s="60">
        <f>Vendas2025[[#This Row],[Receita_Bruta_R$]]*Vendas2025[[#This Row],[Desconto_pct]]</f>
        <v>44.548000000000002</v>
      </c>
      <c r="Q811" s="60">
        <f t="shared" si="60"/>
        <v>512.30200000000002</v>
      </c>
      <c r="R811" s="60">
        <f t="shared" si="61"/>
        <v>294.64999999999998</v>
      </c>
      <c r="S811" s="60">
        <f t="shared" si="62"/>
        <v>217.65200000000004</v>
      </c>
      <c r="T811" s="65">
        <f t="shared" si="63"/>
        <v>0.42485096681254425</v>
      </c>
    </row>
    <row r="812" spans="1:20">
      <c r="A812" s="41">
        <f t="shared" si="64"/>
        <v>11</v>
      </c>
      <c r="B812" s="6" t="s">
        <v>953</v>
      </c>
      <c r="C812" s="20">
        <v>45978</v>
      </c>
      <c r="D812" s="6" t="s">
        <v>129</v>
      </c>
      <c r="E812" s="6" t="s">
        <v>103</v>
      </c>
      <c r="F812" s="6" t="s">
        <v>97</v>
      </c>
      <c r="G812" s="6" t="s">
        <v>91</v>
      </c>
      <c r="H812" s="6" t="s">
        <v>92</v>
      </c>
      <c r="I812" s="6" t="s">
        <v>134</v>
      </c>
      <c r="J812" s="25">
        <v>1</v>
      </c>
      <c r="K812" s="21">
        <v>413.45</v>
      </c>
      <c r="L812" s="63">
        <v>0.05</v>
      </c>
      <c r="M812" s="21">
        <v>223.35</v>
      </c>
      <c r="N812" s="6" t="s">
        <v>94</v>
      </c>
      <c r="O812" s="60">
        <f>Vendas2025[[#This Row],[Quantidade]]*Vendas2025[[#This Row],[Preço_Unitário_R$]]</f>
        <v>413.45</v>
      </c>
      <c r="P812" s="60">
        <f>Vendas2025[[#This Row],[Receita_Bruta_R$]]*Vendas2025[[#This Row],[Desconto_pct]]</f>
        <v>20.672499999999999</v>
      </c>
      <c r="Q812" s="60">
        <f t="shared" si="60"/>
        <v>392.77749999999997</v>
      </c>
      <c r="R812" s="60">
        <f t="shared" si="61"/>
        <v>223.35</v>
      </c>
      <c r="S812" s="60">
        <f t="shared" si="62"/>
        <v>169.42749999999998</v>
      </c>
      <c r="T812" s="65">
        <f t="shared" si="63"/>
        <v>0.43135744791898717</v>
      </c>
    </row>
    <row r="813" spans="1:20">
      <c r="A813" s="41">
        <f t="shared" si="64"/>
        <v>11</v>
      </c>
      <c r="B813" s="6" t="s">
        <v>954</v>
      </c>
      <c r="C813" s="20">
        <v>45978</v>
      </c>
      <c r="D813" s="6" t="s">
        <v>132</v>
      </c>
      <c r="E813" s="6" t="s">
        <v>89</v>
      </c>
      <c r="F813" s="6" t="s">
        <v>122</v>
      </c>
      <c r="G813" s="6" t="s">
        <v>123</v>
      </c>
      <c r="H813" s="6" t="s">
        <v>106</v>
      </c>
      <c r="I813" s="6" t="s">
        <v>116</v>
      </c>
      <c r="J813" s="25">
        <v>1</v>
      </c>
      <c r="K813" s="21">
        <v>455.42</v>
      </c>
      <c r="L813" s="63">
        <v>0.1</v>
      </c>
      <c r="M813" s="21">
        <v>241.07</v>
      </c>
      <c r="N813" s="6" t="s">
        <v>94</v>
      </c>
      <c r="O813" s="60">
        <f>Vendas2025[[#This Row],[Quantidade]]*Vendas2025[[#This Row],[Preço_Unitário_R$]]</f>
        <v>455.42</v>
      </c>
      <c r="P813" s="60">
        <f>Vendas2025[[#This Row],[Receita_Bruta_R$]]*Vendas2025[[#This Row],[Desconto_pct]]</f>
        <v>45.542000000000002</v>
      </c>
      <c r="Q813" s="60">
        <f t="shared" si="60"/>
        <v>409.87800000000004</v>
      </c>
      <c r="R813" s="60">
        <f t="shared" si="61"/>
        <v>241.07</v>
      </c>
      <c r="S813" s="60">
        <f t="shared" si="62"/>
        <v>168.80800000000005</v>
      </c>
      <c r="T813" s="65">
        <f t="shared" si="63"/>
        <v>0.41184937957148232</v>
      </c>
    </row>
    <row r="814" spans="1:20">
      <c r="A814" s="41">
        <f t="shared" si="64"/>
        <v>11</v>
      </c>
      <c r="B814" s="6" t="s">
        <v>955</v>
      </c>
      <c r="C814" s="20">
        <v>45978</v>
      </c>
      <c r="D814" s="6" t="s">
        <v>129</v>
      </c>
      <c r="E814" s="6" t="s">
        <v>103</v>
      </c>
      <c r="F814" s="6" t="s">
        <v>104</v>
      </c>
      <c r="G814" s="6" t="s">
        <v>177</v>
      </c>
      <c r="H814" s="6" t="s">
        <v>124</v>
      </c>
      <c r="I814" s="6" t="s">
        <v>199</v>
      </c>
      <c r="J814" s="25">
        <v>2</v>
      </c>
      <c r="K814" s="21">
        <v>343.75</v>
      </c>
      <c r="L814" s="63">
        <v>0.1</v>
      </c>
      <c r="M814" s="21">
        <v>159.11000000000001</v>
      </c>
      <c r="N814" s="6" t="s">
        <v>94</v>
      </c>
      <c r="O814" s="60">
        <f>Vendas2025[[#This Row],[Quantidade]]*Vendas2025[[#This Row],[Preço_Unitário_R$]]</f>
        <v>687.5</v>
      </c>
      <c r="P814" s="60">
        <f>Vendas2025[[#This Row],[Receita_Bruta_R$]]*Vendas2025[[#This Row],[Desconto_pct]]</f>
        <v>68.75</v>
      </c>
      <c r="Q814" s="60">
        <f t="shared" si="60"/>
        <v>618.75</v>
      </c>
      <c r="R814" s="60">
        <f t="shared" si="61"/>
        <v>318.22000000000003</v>
      </c>
      <c r="S814" s="60">
        <f t="shared" si="62"/>
        <v>300.52999999999997</v>
      </c>
      <c r="T814" s="65">
        <f t="shared" si="63"/>
        <v>0.48570505050505047</v>
      </c>
    </row>
    <row r="815" spans="1:20">
      <c r="A815" s="41">
        <f t="shared" si="64"/>
        <v>11</v>
      </c>
      <c r="B815" s="6" t="s">
        <v>956</v>
      </c>
      <c r="C815" s="20">
        <v>45978</v>
      </c>
      <c r="D815" s="6" t="s">
        <v>88</v>
      </c>
      <c r="E815" s="6" t="s">
        <v>89</v>
      </c>
      <c r="F815" s="6" t="s">
        <v>122</v>
      </c>
      <c r="G815" s="6" t="s">
        <v>154</v>
      </c>
      <c r="H815" s="6" t="s">
        <v>92</v>
      </c>
      <c r="I815" s="6" t="s">
        <v>144</v>
      </c>
      <c r="J815" s="25">
        <v>2</v>
      </c>
      <c r="K815" s="21">
        <v>144.76</v>
      </c>
      <c r="L815" s="63">
        <v>0.1</v>
      </c>
      <c r="M815" s="21">
        <v>51.42</v>
      </c>
      <c r="N815" s="6" t="s">
        <v>94</v>
      </c>
      <c r="O815" s="60">
        <f>Vendas2025[[#This Row],[Quantidade]]*Vendas2025[[#This Row],[Preço_Unitário_R$]]</f>
        <v>289.52</v>
      </c>
      <c r="P815" s="60">
        <f>Vendas2025[[#This Row],[Receita_Bruta_R$]]*Vendas2025[[#This Row],[Desconto_pct]]</f>
        <v>28.951999999999998</v>
      </c>
      <c r="Q815" s="60">
        <f t="shared" si="60"/>
        <v>260.56799999999998</v>
      </c>
      <c r="R815" s="60">
        <f t="shared" si="61"/>
        <v>102.84</v>
      </c>
      <c r="S815" s="60">
        <f t="shared" si="62"/>
        <v>157.72799999999998</v>
      </c>
      <c r="T815" s="65">
        <f t="shared" si="63"/>
        <v>0.60532375425992446</v>
      </c>
    </row>
    <row r="816" spans="1:20">
      <c r="A816" s="41">
        <f t="shared" si="64"/>
        <v>11</v>
      </c>
      <c r="B816" s="6" t="s">
        <v>957</v>
      </c>
      <c r="C816" s="20">
        <v>45978</v>
      </c>
      <c r="D816" s="6" t="s">
        <v>102</v>
      </c>
      <c r="E816" s="6" t="s">
        <v>103</v>
      </c>
      <c r="F816" s="6" t="s">
        <v>97</v>
      </c>
      <c r="G816" s="6" t="s">
        <v>123</v>
      </c>
      <c r="H816" s="6" t="s">
        <v>92</v>
      </c>
      <c r="I816" s="6" t="s">
        <v>134</v>
      </c>
      <c r="J816" s="25">
        <v>2</v>
      </c>
      <c r="K816" s="21">
        <v>408.32</v>
      </c>
      <c r="L816" s="63">
        <v>0.05</v>
      </c>
      <c r="M816" s="21">
        <v>222.04</v>
      </c>
      <c r="N816" s="6" t="s">
        <v>94</v>
      </c>
      <c r="O816" s="60">
        <f>Vendas2025[[#This Row],[Quantidade]]*Vendas2025[[#This Row],[Preço_Unitário_R$]]</f>
        <v>816.64</v>
      </c>
      <c r="P816" s="60">
        <f>Vendas2025[[#This Row],[Receita_Bruta_R$]]*Vendas2025[[#This Row],[Desconto_pct]]</f>
        <v>40.832000000000001</v>
      </c>
      <c r="Q816" s="60">
        <f t="shared" si="60"/>
        <v>775.80799999999999</v>
      </c>
      <c r="R816" s="60">
        <f t="shared" si="61"/>
        <v>444.08</v>
      </c>
      <c r="S816" s="60">
        <f t="shared" si="62"/>
        <v>331.72800000000001</v>
      </c>
      <c r="T816" s="65">
        <f t="shared" si="63"/>
        <v>0.42759033162844418</v>
      </c>
    </row>
    <row r="817" spans="1:20">
      <c r="A817" s="41">
        <f t="shared" si="64"/>
        <v>11</v>
      </c>
      <c r="B817" s="6" t="s">
        <v>958</v>
      </c>
      <c r="C817" s="20">
        <v>45979</v>
      </c>
      <c r="D817" s="6" t="s">
        <v>96</v>
      </c>
      <c r="E817" s="6" t="s">
        <v>89</v>
      </c>
      <c r="F817" s="6" t="s">
        <v>122</v>
      </c>
      <c r="G817" s="6" t="s">
        <v>105</v>
      </c>
      <c r="H817" s="6" t="s">
        <v>106</v>
      </c>
      <c r="I817" s="6" t="s">
        <v>107</v>
      </c>
      <c r="J817" s="25">
        <v>2</v>
      </c>
      <c r="K817" s="21">
        <v>683.94</v>
      </c>
      <c r="L817" s="63">
        <v>0.05</v>
      </c>
      <c r="M817" s="21">
        <v>398.69</v>
      </c>
      <c r="N817" s="6" t="s">
        <v>94</v>
      </c>
      <c r="O817" s="60">
        <f>Vendas2025[[#This Row],[Quantidade]]*Vendas2025[[#This Row],[Preço_Unitário_R$]]</f>
        <v>1367.88</v>
      </c>
      <c r="P817" s="60">
        <f>Vendas2025[[#This Row],[Receita_Bruta_R$]]*Vendas2025[[#This Row],[Desconto_pct]]</f>
        <v>68.394000000000005</v>
      </c>
      <c r="Q817" s="60">
        <f t="shared" si="60"/>
        <v>1299.4860000000001</v>
      </c>
      <c r="R817" s="60">
        <f t="shared" si="61"/>
        <v>797.38</v>
      </c>
      <c r="S817" s="60">
        <f t="shared" si="62"/>
        <v>502.10600000000011</v>
      </c>
      <c r="T817" s="65">
        <f t="shared" si="63"/>
        <v>0.38638815654805059</v>
      </c>
    </row>
    <row r="818" spans="1:20">
      <c r="A818" s="41">
        <f t="shared" si="64"/>
        <v>11</v>
      </c>
      <c r="B818" s="6" t="s">
        <v>959</v>
      </c>
      <c r="C818" s="20">
        <v>45979</v>
      </c>
      <c r="D818" s="6" t="s">
        <v>129</v>
      </c>
      <c r="E818" s="6" t="s">
        <v>103</v>
      </c>
      <c r="F818" s="6" t="s">
        <v>97</v>
      </c>
      <c r="G818" s="6" t="s">
        <v>151</v>
      </c>
      <c r="H818" s="6" t="s">
        <v>106</v>
      </c>
      <c r="I818" s="6" t="s">
        <v>184</v>
      </c>
      <c r="J818" s="25">
        <v>2</v>
      </c>
      <c r="K818" s="21">
        <v>1152.78</v>
      </c>
      <c r="L818" s="63">
        <v>0</v>
      </c>
      <c r="M818" s="21">
        <v>857.65</v>
      </c>
      <c r="N818" s="6" t="s">
        <v>94</v>
      </c>
      <c r="O818" s="60">
        <f>Vendas2025[[#This Row],[Quantidade]]*Vendas2025[[#This Row],[Preço_Unitário_R$]]</f>
        <v>2305.56</v>
      </c>
      <c r="P818" s="60">
        <f>Vendas2025[[#This Row],[Receita_Bruta_R$]]*Vendas2025[[#This Row],[Desconto_pct]]</f>
        <v>0</v>
      </c>
      <c r="Q818" s="60">
        <f t="shared" si="60"/>
        <v>2305.56</v>
      </c>
      <c r="R818" s="60">
        <f t="shared" si="61"/>
        <v>1715.3</v>
      </c>
      <c r="S818" s="60">
        <f t="shared" si="62"/>
        <v>590.26</v>
      </c>
      <c r="T818" s="65">
        <f t="shared" si="63"/>
        <v>0.25601589201755753</v>
      </c>
    </row>
    <row r="819" spans="1:20">
      <c r="A819" s="41">
        <f t="shared" si="64"/>
        <v>11</v>
      </c>
      <c r="B819" s="6" t="s">
        <v>960</v>
      </c>
      <c r="C819" s="20">
        <v>45980</v>
      </c>
      <c r="D819" s="6" t="s">
        <v>96</v>
      </c>
      <c r="E819" s="6" t="s">
        <v>89</v>
      </c>
      <c r="F819" s="6" t="s">
        <v>122</v>
      </c>
      <c r="G819" s="6" t="s">
        <v>154</v>
      </c>
      <c r="H819" s="6" t="s">
        <v>106</v>
      </c>
      <c r="I819" s="6" t="s">
        <v>107</v>
      </c>
      <c r="J819" s="25">
        <v>2</v>
      </c>
      <c r="K819" s="21">
        <v>637.19000000000005</v>
      </c>
      <c r="L819" s="63">
        <v>0.03</v>
      </c>
      <c r="M819" s="21">
        <v>374.59</v>
      </c>
      <c r="N819" s="6" t="s">
        <v>94</v>
      </c>
      <c r="O819" s="60">
        <f>Vendas2025[[#This Row],[Quantidade]]*Vendas2025[[#This Row],[Preço_Unitário_R$]]</f>
        <v>1274.3800000000001</v>
      </c>
      <c r="P819" s="60">
        <f>Vendas2025[[#This Row],[Receita_Bruta_R$]]*Vendas2025[[#This Row],[Desconto_pct]]</f>
        <v>38.231400000000001</v>
      </c>
      <c r="Q819" s="60">
        <f t="shared" si="60"/>
        <v>1236.1486000000002</v>
      </c>
      <c r="R819" s="60">
        <f t="shared" si="61"/>
        <v>749.18</v>
      </c>
      <c r="S819" s="60">
        <f t="shared" si="62"/>
        <v>486.96860000000027</v>
      </c>
      <c r="T819" s="65">
        <f t="shared" si="63"/>
        <v>0.39394017838955625</v>
      </c>
    </row>
    <row r="820" spans="1:20">
      <c r="A820" s="41">
        <f t="shared" si="64"/>
        <v>11</v>
      </c>
      <c r="B820" s="6" t="s">
        <v>961</v>
      </c>
      <c r="C820" s="20">
        <v>45980</v>
      </c>
      <c r="D820" s="6" t="s">
        <v>129</v>
      </c>
      <c r="E820" s="6" t="s">
        <v>103</v>
      </c>
      <c r="F820" s="6" t="s">
        <v>97</v>
      </c>
      <c r="G820" s="6" t="s">
        <v>140</v>
      </c>
      <c r="H820" s="6" t="s">
        <v>119</v>
      </c>
      <c r="I820" s="6" t="s">
        <v>120</v>
      </c>
      <c r="J820" s="25">
        <v>1</v>
      </c>
      <c r="K820" s="21">
        <v>2258.52</v>
      </c>
      <c r="L820" s="63">
        <v>0.08</v>
      </c>
      <c r="M820" s="21">
        <v>1575.87</v>
      </c>
      <c r="N820" s="6" t="s">
        <v>94</v>
      </c>
      <c r="O820" s="60">
        <f>Vendas2025[[#This Row],[Quantidade]]*Vendas2025[[#This Row],[Preço_Unitário_R$]]</f>
        <v>2258.52</v>
      </c>
      <c r="P820" s="60">
        <f>Vendas2025[[#This Row],[Receita_Bruta_R$]]*Vendas2025[[#This Row],[Desconto_pct]]</f>
        <v>180.6816</v>
      </c>
      <c r="Q820" s="60">
        <f t="shared" si="60"/>
        <v>2077.8384000000001</v>
      </c>
      <c r="R820" s="60">
        <f t="shared" si="61"/>
        <v>1575.87</v>
      </c>
      <c r="S820" s="60">
        <f t="shared" si="62"/>
        <v>501.9684000000002</v>
      </c>
      <c r="T820" s="65">
        <f t="shared" si="63"/>
        <v>0.24158202100798606</v>
      </c>
    </row>
    <row r="821" spans="1:20">
      <c r="A821" s="41">
        <f t="shared" si="64"/>
        <v>11</v>
      </c>
      <c r="B821" s="6" t="s">
        <v>962</v>
      </c>
      <c r="C821" s="20">
        <v>45980</v>
      </c>
      <c r="D821" s="6" t="s">
        <v>88</v>
      </c>
      <c r="E821" s="6" t="s">
        <v>89</v>
      </c>
      <c r="F821" s="6" t="s">
        <v>97</v>
      </c>
      <c r="G821" s="6" t="s">
        <v>140</v>
      </c>
      <c r="H821" s="6" t="s">
        <v>124</v>
      </c>
      <c r="I821" s="6" t="s">
        <v>193</v>
      </c>
      <c r="J821" s="25">
        <v>1</v>
      </c>
      <c r="K821" s="21">
        <v>377.44</v>
      </c>
      <c r="L821" s="63">
        <v>0.05</v>
      </c>
      <c r="M821" s="21">
        <v>171.35</v>
      </c>
      <c r="N821" s="6" t="s">
        <v>94</v>
      </c>
      <c r="O821" s="60">
        <f>Vendas2025[[#This Row],[Quantidade]]*Vendas2025[[#This Row],[Preço_Unitário_R$]]</f>
        <v>377.44</v>
      </c>
      <c r="P821" s="60">
        <f>Vendas2025[[#This Row],[Receita_Bruta_R$]]*Vendas2025[[#This Row],[Desconto_pct]]</f>
        <v>18.872</v>
      </c>
      <c r="Q821" s="60">
        <f t="shared" si="60"/>
        <v>358.56799999999998</v>
      </c>
      <c r="R821" s="60">
        <f t="shared" si="61"/>
        <v>171.35</v>
      </c>
      <c r="S821" s="60">
        <f t="shared" si="62"/>
        <v>187.21799999999999</v>
      </c>
      <c r="T821" s="65">
        <f t="shared" si="63"/>
        <v>0.52212690479908974</v>
      </c>
    </row>
    <row r="822" spans="1:20">
      <c r="A822" s="41">
        <f t="shared" si="64"/>
        <v>11</v>
      </c>
      <c r="B822" s="6" t="s">
        <v>963</v>
      </c>
      <c r="C822" s="20">
        <v>45981</v>
      </c>
      <c r="D822" s="6" t="s">
        <v>88</v>
      </c>
      <c r="E822" s="6" t="s">
        <v>89</v>
      </c>
      <c r="F822" s="6" t="s">
        <v>90</v>
      </c>
      <c r="G822" s="6" t="s">
        <v>160</v>
      </c>
      <c r="H822" s="6" t="s">
        <v>124</v>
      </c>
      <c r="I822" s="6" t="s">
        <v>199</v>
      </c>
      <c r="J822" s="25">
        <v>2</v>
      </c>
      <c r="K822" s="21">
        <v>297.54000000000002</v>
      </c>
      <c r="L822" s="63">
        <v>0.125</v>
      </c>
      <c r="M822" s="21">
        <v>134.69999999999999</v>
      </c>
      <c r="N822" s="6" t="s">
        <v>94</v>
      </c>
      <c r="O822" s="60">
        <f>Vendas2025[[#This Row],[Quantidade]]*Vendas2025[[#This Row],[Preço_Unitário_R$]]</f>
        <v>595.08000000000004</v>
      </c>
      <c r="P822" s="60">
        <f>Vendas2025[[#This Row],[Receita_Bruta_R$]]*Vendas2025[[#This Row],[Desconto_pct]]</f>
        <v>74.385000000000005</v>
      </c>
      <c r="Q822" s="60">
        <f t="shared" si="60"/>
        <v>520.69500000000005</v>
      </c>
      <c r="R822" s="60">
        <f t="shared" si="61"/>
        <v>269.39999999999998</v>
      </c>
      <c r="S822" s="60">
        <f t="shared" si="62"/>
        <v>251.29500000000007</v>
      </c>
      <c r="T822" s="65">
        <f t="shared" si="63"/>
        <v>0.4826145824330943</v>
      </c>
    </row>
    <row r="823" spans="1:20">
      <c r="A823" s="41">
        <f t="shared" si="64"/>
        <v>11</v>
      </c>
      <c r="B823" s="6" t="s">
        <v>964</v>
      </c>
      <c r="C823" s="20">
        <v>45981</v>
      </c>
      <c r="D823" s="6" t="s">
        <v>118</v>
      </c>
      <c r="E823" s="6" t="s">
        <v>114</v>
      </c>
      <c r="F823" s="6" t="s">
        <v>90</v>
      </c>
      <c r="G823" s="6" t="s">
        <v>105</v>
      </c>
      <c r="H823" s="6" t="s">
        <v>99</v>
      </c>
      <c r="I823" s="6" t="s">
        <v>163</v>
      </c>
      <c r="J823" s="25">
        <v>1</v>
      </c>
      <c r="K823" s="21">
        <v>1345.53</v>
      </c>
      <c r="L823" s="63">
        <v>0.05</v>
      </c>
      <c r="M823" s="21">
        <v>944.83</v>
      </c>
      <c r="N823" s="6" t="s">
        <v>94</v>
      </c>
      <c r="O823" s="60">
        <f>Vendas2025[[#This Row],[Quantidade]]*Vendas2025[[#This Row],[Preço_Unitário_R$]]</f>
        <v>1345.53</v>
      </c>
      <c r="P823" s="60">
        <f>Vendas2025[[#This Row],[Receita_Bruta_R$]]*Vendas2025[[#This Row],[Desconto_pct]]</f>
        <v>67.276499999999999</v>
      </c>
      <c r="Q823" s="60">
        <f t="shared" si="60"/>
        <v>1278.2535</v>
      </c>
      <c r="R823" s="60">
        <f t="shared" si="61"/>
        <v>944.83</v>
      </c>
      <c r="S823" s="60">
        <f t="shared" si="62"/>
        <v>333.42349999999999</v>
      </c>
      <c r="T823" s="65">
        <f t="shared" si="63"/>
        <v>0.26084301744528765</v>
      </c>
    </row>
    <row r="824" spans="1:20">
      <c r="A824" s="41">
        <f t="shared" si="64"/>
        <v>11</v>
      </c>
      <c r="B824" s="6" t="s">
        <v>965</v>
      </c>
      <c r="C824" s="20">
        <v>45981</v>
      </c>
      <c r="D824" s="6" t="s">
        <v>132</v>
      </c>
      <c r="E824" s="6" t="s">
        <v>89</v>
      </c>
      <c r="F824" s="6" t="s">
        <v>104</v>
      </c>
      <c r="G824" s="6" t="s">
        <v>123</v>
      </c>
      <c r="H824" s="6" t="s">
        <v>92</v>
      </c>
      <c r="I824" s="6" t="s">
        <v>134</v>
      </c>
      <c r="J824" s="25">
        <v>1</v>
      </c>
      <c r="K824" s="21">
        <v>424.6</v>
      </c>
      <c r="L824" s="63">
        <v>0.03</v>
      </c>
      <c r="M824" s="21">
        <v>232.55</v>
      </c>
      <c r="N824" s="6" t="s">
        <v>94</v>
      </c>
      <c r="O824" s="60">
        <f>Vendas2025[[#This Row],[Quantidade]]*Vendas2025[[#This Row],[Preço_Unitário_R$]]</f>
        <v>424.6</v>
      </c>
      <c r="P824" s="60">
        <f>Vendas2025[[#This Row],[Receita_Bruta_R$]]*Vendas2025[[#This Row],[Desconto_pct]]</f>
        <v>12.738</v>
      </c>
      <c r="Q824" s="60">
        <f t="shared" si="60"/>
        <v>411.86200000000002</v>
      </c>
      <c r="R824" s="60">
        <f t="shared" si="61"/>
        <v>232.55</v>
      </c>
      <c r="S824" s="60">
        <f t="shared" si="62"/>
        <v>179.31200000000001</v>
      </c>
      <c r="T824" s="65">
        <f t="shared" si="63"/>
        <v>0.43536912849449572</v>
      </c>
    </row>
    <row r="825" spans="1:20">
      <c r="A825" s="41">
        <f t="shared" si="64"/>
        <v>11</v>
      </c>
      <c r="B825" s="6" t="s">
        <v>966</v>
      </c>
      <c r="C825" s="20">
        <v>45982</v>
      </c>
      <c r="D825" s="6" t="s">
        <v>102</v>
      </c>
      <c r="E825" s="6" t="s">
        <v>103</v>
      </c>
      <c r="F825" s="6" t="s">
        <v>97</v>
      </c>
      <c r="G825" s="6" t="s">
        <v>154</v>
      </c>
      <c r="H825" s="6" t="s">
        <v>99</v>
      </c>
      <c r="I825" s="6" t="s">
        <v>100</v>
      </c>
      <c r="J825" s="25">
        <v>1</v>
      </c>
      <c r="K825" s="21">
        <v>436.53</v>
      </c>
      <c r="L825" s="63">
        <v>0.05</v>
      </c>
      <c r="M825" s="21">
        <v>249.75</v>
      </c>
      <c r="N825" s="6" t="s">
        <v>94</v>
      </c>
      <c r="O825" s="60">
        <f>Vendas2025[[#This Row],[Quantidade]]*Vendas2025[[#This Row],[Preço_Unitário_R$]]</f>
        <v>436.53</v>
      </c>
      <c r="P825" s="60">
        <f>Vendas2025[[#This Row],[Receita_Bruta_R$]]*Vendas2025[[#This Row],[Desconto_pct]]</f>
        <v>21.826499999999999</v>
      </c>
      <c r="Q825" s="60">
        <f t="shared" si="60"/>
        <v>414.70349999999996</v>
      </c>
      <c r="R825" s="60">
        <f t="shared" si="61"/>
        <v>249.75</v>
      </c>
      <c r="S825" s="60">
        <f t="shared" si="62"/>
        <v>164.95349999999996</v>
      </c>
      <c r="T825" s="65">
        <f t="shared" si="63"/>
        <v>0.39776249778456169</v>
      </c>
    </row>
    <row r="826" spans="1:20">
      <c r="A826" s="41">
        <f t="shared" si="64"/>
        <v>11</v>
      </c>
      <c r="B826" s="6" t="s">
        <v>967</v>
      </c>
      <c r="C826" s="20">
        <v>45982</v>
      </c>
      <c r="D826" s="6" t="s">
        <v>132</v>
      </c>
      <c r="E826" s="6" t="s">
        <v>89</v>
      </c>
      <c r="F826" s="6" t="s">
        <v>97</v>
      </c>
      <c r="G826" s="6" t="s">
        <v>110</v>
      </c>
      <c r="H826" s="6" t="s">
        <v>99</v>
      </c>
      <c r="I826" s="6" t="s">
        <v>163</v>
      </c>
      <c r="J826" s="25">
        <v>1</v>
      </c>
      <c r="K826" s="21">
        <v>1247.26</v>
      </c>
      <c r="L826" s="63">
        <v>0.05</v>
      </c>
      <c r="M826" s="21">
        <v>878.99</v>
      </c>
      <c r="N826" s="6" t="s">
        <v>94</v>
      </c>
      <c r="O826" s="60">
        <f>Vendas2025[[#This Row],[Quantidade]]*Vendas2025[[#This Row],[Preço_Unitário_R$]]</f>
        <v>1247.26</v>
      </c>
      <c r="P826" s="60">
        <f>Vendas2025[[#This Row],[Receita_Bruta_R$]]*Vendas2025[[#This Row],[Desconto_pct]]</f>
        <v>62.363</v>
      </c>
      <c r="Q826" s="60">
        <f t="shared" si="60"/>
        <v>1184.8969999999999</v>
      </c>
      <c r="R826" s="60">
        <f t="shared" si="61"/>
        <v>878.99</v>
      </c>
      <c r="S826" s="60">
        <f t="shared" si="62"/>
        <v>305.90699999999993</v>
      </c>
      <c r="T826" s="65">
        <f t="shared" si="63"/>
        <v>0.25817180733852813</v>
      </c>
    </row>
    <row r="827" spans="1:20">
      <c r="A827" s="41">
        <f t="shared" si="64"/>
        <v>11</v>
      </c>
      <c r="B827" s="6" t="s">
        <v>968</v>
      </c>
      <c r="C827" s="20">
        <v>45982</v>
      </c>
      <c r="D827" s="6" t="s">
        <v>102</v>
      </c>
      <c r="E827" s="6" t="s">
        <v>103</v>
      </c>
      <c r="F827" s="6" t="s">
        <v>90</v>
      </c>
      <c r="G827" s="6" t="s">
        <v>98</v>
      </c>
      <c r="H827" s="6" t="s">
        <v>124</v>
      </c>
      <c r="I827" s="6" t="s">
        <v>193</v>
      </c>
      <c r="J827" s="25">
        <v>1</v>
      </c>
      <c r="K827" s="21">
        <v>402.58</v>
      </c>
      <c r="L827" s="63">
        <v>0.15</v>
      </c>
      <c r="M827" s="21">
        <v>180.59</v>
      </c>
      <c r="N827" s="6" t="s">
        <v>94</v>
      </c>
      <c r="O827" s="60">
        <f>Vendas2025[[#This Row],[Quantidade]]*Vendas2025[[#This Row],[Preço_Unitário_R$]]</f>
        <v>402.58</v>
      </c>
      <c r="P827" s="60">
        <f>Vendas2025[[#This Row],[Receita_Bruta_R$]]*Vendas2025[[#This Row],[Desconto_pct]]</f>
        <v>60.386999999999993</v>
      </c>
      <c r="Q827" s="60">
        <f t="shared" si="60"/>
        <v>342.19299999999998</v>
      </c>
      <c r="R827" s="60">
        <f t="shared" si="61"/>
        <v>180.59</v>
      </c>
      <c r="S827" s="60">
        <f t="shared" si="62"/>
        <v>161.60299999999998</v>
      </c>
      <c r="T827" s="65">
        <f t="shared" si="63"/>
        <v>0.47225688427291029</v>
      </c>
    </row>
    <row r="828" spans="1:20">
      <c r="A828" s="41">
        <f t="shared" si="64"/>
        <v>11</v>
      </c>
      <c r="B828" s="6" t="s">
        <v>969</v>
      </c>
      <c r="C828" s="20">
        <v>45982</v>
      </c>
      <c r="D828" s="6" t="s">
        <v>129</v>
      </c>
      <c r="E828" s="6" t="s">
        <v>103</v>
      </c>
      <c r="F828" s="6" t="s">
        <v>97</v>
      </c>
      <c r="G828" s="6" t="s">
        <v>127</v>
      </c>
      <c r="H828" s="6" t="s">
        <v>99</v>
      </c>
      <c r="I828" s="6" t="s">
        <v>130</v>
      </c>
      <c r="J828" s="25">
        <v>1</v>
      </c>
      <c r="K828" s="21">
        <v>253.61</v>
      </c>
      <c r="L828" s="63">
        <v>0</v>
      </c>
      <c r="M828" s="21">
        <v>119.5</v>
      </c>
      <c r="N828" s="6" t="s">
        <v>94</v>
      </c>
      <c r="O828" s="60">
        <f>Vendas2025[[#This Row],[Quantidade]]*Vendas2025[[#This Row],[Preço_Unitário_R$]]</f>
        <v>253.61</v>
      </c>
      <c r="P828" s="60">
        <f>Vendas2025[[#This Row],[Receita_Bruta_R$]]*Vendas2025[[#This Row],[Desconto_pct]]</f>
        <v>0</v>
      </c>
      <c r="Q828" s="60">
        <f t="shared" si="60"/>
        <v>253.61</v>
      </c>
      <c r="R828" s="60">
        <f t="shared" si="61"/>
        <v>119.5</v>
      </c>
      <c r="S828" s="60">
        <f t="shared" si="62"/>
        <v>134.11000000000001</v>
      </c>
      <c r="T828" s="65">
        <f t="shared" si="63"/>
        <v>0.52880406924017198</v>
      </c>
    </row>
    <row r="829" spans="1:20">
      <c r="A829" s="41">
        <f t="shared" si="64"/>
        <v>11</v>
      </c>
      <c r="B829" s="6" t="s">
        <v>970</v>
      </c>
      <c r="C829" s="20">
        <v>45982</v>
      </c>
      <c r="D829" s="6" t="s">
        <v>132</v>
      </c>
      <c r="E829" s="6" t="s">
        <v>89</v>
      </c>
      <c r="F829" s="6" t="s">
        <v>122</v>
      </c>
      <c r="G829" s="6" t="s">
        <v>91</v>
      </c>
      <c r="H829" s="6" t="s">
        <v>119</v>
      </c>
      <c r="I829" s="6" t="s">
        <v>138</v>
      </c>
      <c r="J829" s="25">
        <v>1</v>
      </c>
      <c r="K829" s="21">
        <v>143.57</v>
      </c>
      <c r="L829" s="63">
        <v>5.5E-2</v>
      </c>
      <c r="M829" s="21">
        <v>57.41</v>
      </c>
      <c r="N829" s="6" t="s">
        <v>94</v>
      </c>
      <c r="O829" s="60">
        <f>Vendas2025[[#This Row],[Quantidade]]*Vendas2025[[#This Row],[Preço_Unitário_R$]]</f>
        <v>143.57</v>
      </c>
      <c r="P829" s="60">
        <f>Vendas2025[[#This Row],[Receita_Bruta_R$]]*Vendas2025[[#This Row],[Desconto_pct]]</f>
        <v>7.89635</v>
      </c>
      <c r="Q829" s="60">
        <f t="shared" si="60"/>
        <v>135.67364999999998</v>
      </c>
      <c r="R829" s="60">
        <f t="shared" si="61"/>
        <v>57.41</v>
      </c>
      <c r="S829" s="60">
        <f t="shared" si="62"/>
        <v>78.263649999999984</v>
      </c>
      <c r="T829" s="65">
        <f t="shared" si="63"/>
        <v>0.57685224802310542</v>
      </c>
    </row>
    <row r="830" spans="1:20">
      <c r="A830" s="41">
        <f t="shared" si="64"/>
        <v>11</v>
      </c>
      <c r="B830" s="6" t="s">
        <v>971</v>
      </c>
      <c r="C830" s="20">
        <v>45983</v>
      </c>
      <c r="D830" s="6" t="s">
        <v>118</v>
      </c>
      <c r="E830" s="6" t="s">
        <v>114</v>
      </c>
      <c r="F830" s="6" t="s">
        <v>122</v>
      </c>
      <c r="G830" s="6" t="s">
        <v>98</v>
      </c>
      <c r="H830" s="6" t="s">
        <v>99</v>
      </c>
      <c r="I830" s="6" t="s">
        <v>100</v>
      </c>
      <c r="J830" s="25">
        <v>1</v>
      </c>
      <c r="K830" s="21">
        <v>409.78</v>
      </c>
      <c r="L830" s="63">
        <v>0.03</v>
      </c>
      <c r="M830" s="21">
        <v>230.8</v>
      </c>
      <c r="N830" s="6" t="s">
        <v>94</v>
      </c>
      <c r="O830" s="60">
        <f>Vendas2025[[#This Row],[Quantidade]]*Vendas2025[[#This Row],[Preço_Unitário_R$]]</f>
        <v>409.78</v>
      </c>
      <c r="P830" s="60">
        <f>Vendas2025[[#This Row],[Receita_Bruta_R$]]*Vendas2025[[#This Row],[Desconto_pct]]</f>
        <v>12.293399999999998</v>
      </c>
      <c r="Q830" s="60">
        <f t="shared" si="60"/>
        <v>397.48659999999995</v>
      </c>
      <c r="R830" s="60">
        <f t="shared" si="61"/>
        <v>230.8</v>
      </c>
      <c r="S830" s="60">
        <f t="shared" si="62"/>
        <v>166.68659999999994</v>
      </c>
      <c r="T830" s="65">
        <f t="shared" si="63"/>
        <v>0.41935149511958381</v>
      </c>
    </row>
    <row r="831" spans="1:20">
      <c r="A831" s="41">
        <f t="shared" si="64"/>
        <v>11</v>
      </c>
      <c r="B831" s="6" t="s">
        <v>972</v>
      </c>
      <c r="C831" s="20">
        <v>45983</v>
      </c>
      <c r="D831" s="6" t="s">
        <v>129</v>
      </c>
      <c r="E831" s="6" t="s">
        <v>103</v>
      </c>
      <c r="F831" s="6" t="s">
        <v>97</v>
      </c>
      <c r="G831" s="6" t="s">
        <v>160</v>
      </c>
      <c r="H831" s="6" t="s">
        <v>99</v>
      </c>
      <c r="I831" s="6" t="s">
        <v>158</v>
      </c>
      <c r="J831" s="25">
        <v>1</v>
      </c>
      <c r="K831" s="21">
        <v>201.01</v>
      </c>
      <c r="L831" s="63">
        <v>0.10500000000000001</v>
      </c>
      <c r="M831" s="21">
        <v>91.6</v>
      </c>
      <c r="N831" s="6" t="s">
        <v>94</v>
      </c>
      <c r="O831" s="60">
        <f>Vendas2025[[#This Row],[Quantidade]]*Vendas2025[[#This Row],[Preço_Unitário_R$]]</f>
        <v>201.01</v>
      </c>
      <c r="P831" s="60">
        <f>Vendas2025[[#This Row],[Receita_Bruta_R$]]*Vendas2025[[#This Row],[Desconto_pct]]</f>
        <v>21.10605</v>
      </c>
      <c r="Q831" s="60">
        <f t="shared" si="60"/>
        <v>179.90394999999998</v>
      </c>
      <c r="R831" s="60">
        <f t="shared" si="61"/>
        <v>91.6</v>
      </c>
      <c r="S831" s="60">
        <f t="shared" si="62"/>
        <v>88.303949999999986</v>
      </c>
      <c r="T831" s="65">
        <f t="shared" si="63"/>
        <v>0.49083941736687825</v>
      </c>
    </row>
    <row r="832" spans="1:20">
      <c r="A832" s="41">
        <f t="shared" si="64"/>
        <v>11</v>
      </c>
      <c r="B832" s="6" t="s">
        <v>973</v>
      </c>
      <c r="C832" s="20">
        <v>45983</v>
      </c>
      <c r="D832" s="6" t="s">
        <v>88</v>
      </c>
      <c r="E832" s="6" t="s">
        <v>89</v>
      </c>
      <c r="F832" s="6" t="s">
        <v>97</v>
      </c>
      <c r="G832" s="6" t="s">
        <v>151</v>
      </c>
      <c r="H832" s="6" t="s">
        <v>106</v>
      </c>
      <c r="I832" s="6" t="s">
        <v>184</v>
      </c>
      <c r="J832" s="25">
        <v>1</v>
      </c>
      <c r="K832" s="21">
        <v>1203.02</v>
      </c>
      <c r="L832" s="63">
        <v>0</v>
      </c>
      <c r="M832" s="21">
        <v>897.73</v>
      </c>
      <c r="N832" s="6" t="s">
        <v>94</v>
      </c>
      <c r="O832" s="60">
        <f>Vendas2025[[#This Row],[Quantidade]]*Vendas2025[[#This Row],[Preço_Unitário_R$]]</f>
        <v>1203.02</v>
      </c>
      <c r="P832" s="60">
        <f>Vendas2025[[#This Row],[Receita_Bruta_R$]]*Vendas2025[[#This Row],[Desconto_pct]]</f>
        <v>0</v>
      </c>
      <c r="Q832" s="60">
        <f t="shared" si="60"/>
        <v>1203.02</v>
      </c>
      <c r="R832" s="60">
        <f t="shared" si="61"/>
        <v>897.73</v>
      </c>
      <c r="S832" s="60">
        <f t="shared" si="62"/>
        <v>305.28999999999996</v>
      </c>
      <c r="T832" s="65">
        <f t="shared" si="63"/>
        <v>0.2537696796395737</v>
      </c>
    </row>
    <row r="833" spans="1:20">
      <c r="A833" s="41">
        <f t="shared" si="64"/>
        <v>11</v>
      </c>
      <c r="B833" s="6" t="s">
        <v>974</v>
      </c>
      <c r="C833" s="20">
        <v>45983</v>
      </c>
      <c r="D833" s="6" t="s">
        <v>96</v>
      </c>
      <c r="E833" s="6" t="s">
        <v>89</v>
      </c>
      <c r="F833" s="6" t="s">
        <v>122</v>
      </c>
      <c r="G833" s="6" t="s">
        <v>110</v>
      </c>
      <c r="H833" s="6" t="s">
        <v>99</v>
      </c>
      <c r="I833" s="6" t="s">
        <v>100</v>
      </c>
      <c r="J833" s="25">
        <v>1</v>
      </c>
      <c r="K833" s="21">
        <v>395.74</v>
      </c>
      <c r="L833" s="63">
        <v>0.1</v>
      </c>
      <c r="M833" s="21">
        <v>232.72</v>
      </c>
      <c r="N833" s="6" t="s">
        <v>94</v>
      </c>
      <c r="O833" s="60">
        <f>Vendas2025[[#This Row],[Quantidade]]*Vendas2025[[#This Row],[Preço_Unitário_R$]]</f>
        <v>395.74</v>
      </c>
      <c r="P833" s="60">
        <f>Vendas2025[[#This Row],[Receita_Bruta_R$]]*Vendas2025[[#This Row],[Desconto_pct]]</f>
        <v>39.574000000000005</v>
      </c>
      <c r="Q833" s="60">
        <f t="shared" si="60"/>
        <v>356.166</v>
      </c>
      <c r="R833" s="60">
        <f t="shared" si="61"/>
        <v>232.72</v>
      </c>
      <c r="S833" s="60">
        <f t="shared" si="62"/>
        <v>123.446</v>
      </c>
      <c r="T833" s="65">
        <f t="shared" si="63"/>
        <v>0.34659681159908584</v>
      </c>
    </row>
    <row r="834" spans="1:20">
      <c r="A834" s="41">
        <f t="shared" si="64"/>
        <v>11</v>
      </c>
      <c r="B834" s="6" t="s">
        <v>975</v>
      </c>
      <c r="C834" s="20">
        <v>45984</v>
      </c>
      <c r="D834" s="6" t="s">
        <v>118</v>
      </c>
      <c r="E834" s="6" t="s">
        <v>114</v>
      </c>
      <c r="F834" s="6" t="s">
        <v>97</v>
      </c>
      <c r="G834" s="6" t="s">
        <v>151</v>
      </c>
      <c r="H834" s="6" t="s">
        <v>124</v>
      </c>
      <c r="I834" s="6" t="s">
        <v>199</v>
      </c>
      <c r="J834" s="25">
        <v>2</v>
      </c>
      <c r="K834" s="21">
        <v>338.03</v>
      </c>
      <c r="L834" s="63">
        <v>0.15</v>
      </c>
      <c r="M834" s="21">
        <v>157.08000000000001</v>
      </c>
      <c r="N834" s="6" t="s">
        <v>94</v>
      </c>
      <c r="O834" s="60">
        <f>Vendas2025[[#This Row],[Quantidade]]*Vendas2025[[#This Row],[Preço_Unitário_R$]]</f>
        <v>676.06</v>
      </c>
      <c r="P834" s="60">
        <f>Vendas2025[[#This Row],[Receita_Bruta_R$]]*Vendas2025[[#This Row],[Desconto_pct]]</f>
        <v>101.40899999999999</v>
      </c>
      <c r="Q834" s="60">
        <f t="shared" ref="Q834:Q897" si="65">IF(N834="Concluída",O834-P834,0)</f>
        <v>574.65099999999995</v>
      </c>
      <c r="R834" s="60">
        <f t="shared" ref="R834:R897" si="66">IF(N834="Concluída",J834*M834,0)</f>
        <v>314.16000000000003</v>
      </c>
      <c r="S834" s="60">
        <f t="shared" ref="S834:S897" si="67">Q834-R834</f>
        <v>260.49099999999993</v>
      </c>
      <c r="T834" s="65">
        <f t="shared" ref="T834:T897" si="68">IF(Q834=0,"",S834/Q834)</f>
        <v>0.45330296127562636</v>
      </c>
    </row>
    <row r="835" spans="1:20">
      <c r="A835" s="41">
        <f t="shared" ref="A835:A898" si="69">MONTH(C835)</f>
        <v>11</v>
      </c>
      <c r="B835" s="6" t="s">
        <v>976</v>
      </c>
      <c r="C835" s="20">
        <v>45985</v>
      </c>
      <c r="D835" s="6" t="s">
        <v>113</v>
      </c>
      <c r="E835" s="6" t="s">
        <v>114</v>
      </c>
      <c r="F835" s="6" t="s">
        <v>90</v>
      </c>
      <c r="G835" s="6" t="s">
        <v>115</v>
      </c>
      <c r="H835" s="6" t="s">
        <v>106</v>
      </c>
      <c r="I835" s="6" t="s">
        <v>107</v>
      </c>
      <c r="J835" s="25">
        <v>1</v>
      </c>
      <c r="K835" s="21">
        <v>667.88</v>
      </c>
      <c r="L835" s="63">
        <v>0.22500000000000001</v>
      </c>
      <c r="M835" s="21">
        <v>376.88</v>
      </c>
      <c r="N835" s="6" t="s">
        <v>94</v>
      </c>
      <c r="O835" s="60">
        <f>Vendas2025[[#This Row],[Quantidade]]*Vendas2025[[#This Row],[Preço_Unitário_R$]]</f>
        <v>667.88</v>
      </c>
      <c r="P835" s="60">
        <f>Vendas2025[[#This Row],[Receita_Bruta_R$]]*Vendas2025[[#This Row],[Desconto_pct]]</f>
        <v>150.273</v>
      </c>
      <c r="Q835" s="60">
        <f t="shared" si="65"/>
        <v>517.60699999999997</v>
      </c>
      <c r="R835" s="60">
        <f t="shared" si="66"/>
        <v>376.88</v>
      </c>
      <c r="S835" s="60">
        <f t="shared" si="67"/>
        <v>140.72699999999998</v>
      </c>
      <c r="T835" s="65">
        <f t="shared" si="68"/>
        <v>0.27188001707859433</v>
      </c>
    </row>
    <row r="836" spans="1:20">
      <c r="A836" s="41">
        <f t="shared" si="69"/>
        <v>11</v>
      </c>
      <c r="B836" s="6" t="s">
        <v>977</v>
      </c>
      <c r="C836" s="20">
        <v>45986</v>
      </c>
      <c r="D836" s="6" t="s">
        <v>118</v>
      </c>
      <c r="E836" s="6" t="s">
        <v>114</v>
      </c>
      <c r="F836" s="6" t="s">
        <v>90</v>
      </c>
      <c r="G836" s="6" t="s">
        <v>160</v>
      </c>
      <c r="H836" s="6" t="s">
        <v>99</v>
      </c>
      <c r="I836" s="6" t="s">
        <v>100</v>
      </c>
      <c r="J836" s="25">
        <v>1</v>
      </c>
      <c r="K836" s="21">
        <v>394.31</v>
      </c>
      <c r="L836" s="63">
        <v>0.15</v>
      </c>
      <c r="M836" s="21">
        <v>226.51</v>
      </c>
      <c r="N836" s="6" t="s">
        <v>94</v>
      </c>
      <c r="O836" s="60">
        <f>Vendas2025[[#This Row],[Quantidade]]*Vendas2025[[#This Row],[Preço_Unitário_R$]]</f>
        <v>394.31</v>
      </c>
      <c r="P836" s="60">
        <f>Vendas2025[[#This Row],[Receita_Bruta_R$]]*Vendas2025[[#This Row],[Desconto_pct]]</f>
        <v>59.146499999999996</v>
      </c>
      <c r="Q836" s="60">
        <f t="shared" si="65"/>
        <v>335.1635</v>
      </c>
      <c r="R836" s="60">
        <f t="shared" si="66"/>
        <v>226.51</v>
      </c>
      <c r="S836" s="60">
        <f t="shared" si="67"/>
        <v>108.65350000000001</v>
      </c>
      <c r="T836" s="65">
        <f t="shared" si="68"/>
        <v>0.32418058648987735</v>
      </c>
    </row>
    <row r="837" spans="1:20">
      <c r="A837" s="41">
        <f t="shared" si="69"/>
        <v>11</v>
      </c>
      <c r="B837" s="6" t="s">
        <v>978</v>
      </c>
      <c r="C837" s="20">
        <v>45986</v>
      </c>
      <c r="D837" s="6" t="s">
        <v>136</v>
      </c>
      <c r="E837" s="6" t="s">
        <v>137</v>
      </c>
      <c r="F837" s="6" t="s">
        <v>97</v>
      </c>
      <c r="G837" s="6" t="s">
        <v>105</v>
      </c>
      <c r="H837" s="6" t="s">
        <v>99</v>
      </c>
      <c r="I837" s="6" t="s">
        <v>130</v>
      </c>
      <c r="J837" s="25">
        <v>1</v>
      </c>
      <c r="K837" s="21">
        <v>244.13</v>
      </c>
      <c r="L837" s="63">
        <v>0.05</v>
      </c>
      <c r="M837" s="21">
        <v>118.53</v>
      </c>
      <c r="N837" s="6" t="s">
        <v>94</v>
      </c>
      <c r="O837" s="60">
        <f>Vendas2025[[#This Row],[Quantidade]]*Vendas2025[[#This Row],[Preço_Unitário_R$]]</f>
        <v>244.13</v>
      </c>
      <c r="P837" s="60">
        <f>Vendas2025[[#This Row],[Receita_Bruta_R$]]*Vendas2025[[#This Row],[Desconto_pct]]</f>
        <v>12.2065</v>
      </c>
      <c r="Q837" s="60">
        <f t="shared" si="65"/>
        <v>231.92349999999999</v>
      </c>
      <c r="R837" s="60">
        <f t="shared" si="66"/>
        <v>118.53</v>
      </c>
      <c r="S837" s="60">
        <f t="shared" si="67"/>
        <v>113.39349999999999</v>
      </c>
      <c r="T837" s="65">
        <f t="shared" si="68"/>
        <v>0.48892630544123383</v>
      </c>
    </row>
    <row r="838" spans="1:20">
      <c r="A838" s="41">
        <f t="shared" si="69"/>
        <v>11</v>
      </c>
      <c r="B838" s="6" t="s">
        <v>979</v>
      </c>
      <c r="C838" s="20">
        <v>45986</v>
      </c>
      <c r="D838" s="6" t="s">
        <v>129</v>
      </c>
      <c r="E838" s="6" t="s">
        <v>103</v>
      </c>
      <c r="F838" s="6" t="s">
        <v>97</v>
      </c>
      <c r="G838" s="6" t="s">
        <v>177</v>
      </c>
      <c r="H838" s="6" t="s">
        <v>92</v>
      </c>
      <c r="I838" s="6" t="s">
        <v>144</v>
      </c>
      <c r="J838" s="25">
        <v>1</v>
      </c>
      <c r="K838" s="21">
        <v>156.13999999999999</v>
      </c>
      <c r="L838" s="63">
        <v>2.5000000000000001E-2</v>
      </c>
      <c r="M838" s="21">
        <v>55.03</v>
      </c>
      <c r="N838" s="6" t="s">
        <v>94</v>
      </c>
      <c r="O838" s="60">
        <f>Vendas2025[[#This Row],[Quantidade]]*Vendas2025[[#This Row],[Preço_Unitário_R$]]</f>
        <v>156.13999999999999</v>
      </c>
      <c r="P838" s="60">
        <f>Vendas2025[[#This Row],[Receita_Bruta_R$]]*Vendas2025[[#This Row],[Desconto_pct]]</f>
        <v>3.9034999999999997</v>
      </c>
      <c r="Q838" s="60">
        <f t="shared" si="65"/>
        <v>152.23649999999998</v>
      </c>
      <c r="R838" s="60">
        <f t="shared" si="66"/>
        <v>55.03</v>
      </c>
      <c r="S838" s="60">
        <f t="shared" si="67"/>
        <v>97.206499999999977</v>
      </c>
      <c r="T838" s="65">
        <f t="shared" si="68"/>
        <v>0.63852295605850107</v>
      </c>
    </row>
    <row r="839" spans="1:20">
      <c r="A839" s="41">
        <f t="shared" si="69"/>
        <v>11</v>
      </c>
      <c r="B839" s="6" t="s">
        <v>980</v>
      </c>
      <c r="C839" s="20">
        <v>45986</v>
      </c>
      <c r="D839" s="6" t="s">
        <v>132</v>
      </c>
      <c r="E839" s="6" t="s">
        <v>89</v>
      </c>
      <c r="F839" s="6" t="s">
        <v>122</v>
      </c>
      <c r="G839" s="6" t="s">
        <v>91</v>
      </c>
      <c r="H839" s="6" t="s">
        <v>99</v>
      </c>
      <c r="I839" s="6" t="s">
        <v>100</v>
      </c>
      <c r="J839" s="25">
        <v>2</v>
      </c>
      <c r="K839" s="21">
        <v>406.2</v>
      </c>
      <c r="L839" s="63">
        <v>0.15</v>
      </c>
      <c r="M839" s="21">
        <v>234.93</v>
      </c>
      <c r="N839" s="6" t="s">
        <v>94</v>
      </c>
      <c r="O839" s="60">
        <f>Vendas2025[[#This Row],[Quantidade]]*Vendas2025[[#This Row],[Preço_Unitário_R$]]</f>
        <v>812.4</v>
      </c>
      <c r="P839" s="60">
        <f>Vendas2025[[#This Row],[Receita_Bruta_R$]]*Vendas2025[[#This Row],[Desconto_pct]]</f>
        <v>121.85999999999999</v>
      </c>
      <c r="Q839" s="60">
        <f t="shared" si="65"/>
        <v>690.54</v>
      </c>
      <c r="R839" s="60">
        <f t="shared" si="66"/>
        <v>469.86</v>
      </c>
      <c r="S839" s="60">
        <f t="shared" si="67"/>
        <v>220.67999999999995</v>
      </c>
      <c r="T839" s="65">
        <f t="shared" si="68"/>
        <v>0.31957598401251192</v>
      </c>
    </row>
    <row r="840" spans="1:20">
      <c r="A840" s="41">
        <f t="shared" si="69"/>
        <v>11</v>
      </c>
      <c r="B840" s="6" t="s">
        <v>981</v>
      </c>
      <c r="C840" s="20">
        <v>45987</v>
      </c>
      <c r="D840" s="6" t="s">
        <v>88</v>
      </c>
      <c r="E840" s="6" t="s">
        <v>89</v>
      </c>
      <c r="F840" s="6" t="s">
        <v>90</v>
      </c>
      <c r="G840" s="6" t="s">
        <v>123</v>
      </c>
      <c r="H840" s="6" t="s">
        <v>119</v>
      </c>
      <c r="I840" s="6" t="s">
        <v>141</v>
      </c>
      <c r="J840" s="25">
        <v>1</v>
      </c>
      <c r="K840" s="21">
        <v>2865.57</v>
      </c>
      <c r="L840" s="63">
        <v>0.25</v>
      </c>
      <c r="M840" s="21">
        <v>2077.73</v>
      </c>
      <c r="N840" s="6" t="s">
        <v>94</v>
      </c>
      <c r="O840" s="60">
        <f>Vendas2025[[#This Row],[Quantidade]]*Vendas2025[[#This Row],[Preço_Unitário_R$]]</f>
        <v>2865.57</v>
      </c>
      <c r="P840" s="60">
        <f>Vendas2025[[#This Row],[Receita_Bruta_R$]]*Vendas2025[[#This Row],[Desconto_pct]]</f>
        <v>716.39250000000004</v>
      </c>
      <c r="Q840" s="60">
        <f t="shared" si="65"/>
        <v>2149.1775000000002</v>
      </c>
      <c r="R840" s="60">
        <f t="shared" si="66"/>
        <v>2077.73</v>
      </c>
      <c r="S840" s="60">
        <f t="shared" si="67"/>
        <v>71.447500000000218</v>
      </c>
      <c r="T840" s="65">
        <f t="shared" si="68"/>
        <v>3.3244113154916342E-2</v>
      </c>
    </row>
    <row r="841" spans="1:20">
      <c r="A841" s="41">
        <f t="shared" si="69"/>
        <v>11</v>
      </c>
      <c r="B841" s="6" t="s">
        <v>982</v>
      </c>
      <c r="C841" s="20">
        <v>45987</v>
      </c>
      <c r="D841" s="6" t="s">
        <v>132</v>
      </c>
      <c r="E841" s="6" t="s">
        <v>89</v>
      </c>
      <c r="F841" s="6" t="s">
        <v>97</v>
      </c>
      <c r="G841" s="6" t="s">
        <v>151</v>
      </c>
      <c r="H841" s="6" t="s">
        <v>106</v>
      </c>
      <c r="I841" s="6" t="s">
        <v>116</v>
      </c>
      <c r="J841" s="25">
        <v>2</v>
      </c>
      <c r="K841" s="21">
        <v>478.82</v>
      </c>
      <c r="L841" s="63">
        <v>0.15</v>
      </c>
      <c r="M841" s="21">
        <v>268.85000000000002</v>
      </c>
      <c r="N841" s="6" t="s">
        <v>94</v>
      </c>
      <c r="O841" s="60">
        <f>Vendas2025[[#This Row],[Quantidade]]*Vendas2025[[#This Row],[Preço_Unitário_R$]]</f>
        <v>957.64</v>
      </c>
      <c r="P841" s="60">
        <f>Vendas2025[[#This Row],[Receita_Bruta_R$]]*Vendas2025[[#This Row],[Desconto_pct]]</f>
        <v>143.64599999999999</v>
      </c>
      <c r="Q841" s="60">
        <f t="shared" si="65"/>
        <v>813.99400000000003</v>
      </c>
      <c r="R841" s="60">
        <f t="shared" si="66"/>
        <v>537.70000000000005</v>
      </c>
      <c r="S841" s="60">
        <f t="shared" si="67"/>
        <v>276.29399999999998</v>
      </c>
      <c r="T841" s="65">
        <f t="shared" si="68"/>
        <v>0.33943002036870046</v>
      </c>
    </row>
    <row r="842" spans="1:20">
      <c r="A842" s="41">
        <f t="shared" si="69"/>
        <v>11</v>
      </c>
      <c r="B842" s="6" t="s">
        <v>983</v>
      </c>
      <c r="C842" s="20">
        <v>45987</v>
      </c>
      <c r="D842" s="6" t="s">
        <v>129</v>
      </c>
      <c r="E842" s="6" t="s">
        <v>103</v>
      </c>
      <c r="F842" s="6" t="s">
        <v>90</v>
      </c>
      <c r="G842" s="6" t="s">
        <v>140</v>
      </c>
      <c r="H842" s="6" t="s">
        <v>106</v>
      </c>
      <c r="I842" s="6" t="s">
        <v>116</v>
      </c>
      <c r="J842" s="25">
        <v>1</v>
      </c>
      <c r="K842" s="21">
        <v>476.97</v>
      </c>
      <c r="L842" s="63">
        <v>0.2</v>
      </c>
      <c r="M842" s="21">
        <v>253.7</v>
      </c>
      <c r="N842" s="6" t="s">
        <v>94</v>
      </c>
      <c r="O842" s="60">
        <f>Vendas2025[[#This Row],[Quantidade]]*Vendas2025[[#This Row],[Preço_Unitário_R$]]</f>
        <v>476.97</v>
      </c>
      <c r="P842" s="60">
        <f>Vendas2025[[#This Row],[Receita_Bruta_R$]]*Vendas2025[[#This Row],[Desconto_pct]]</f>
        <v>95.394000000000005</v>
      </c>
      <c r="Q842" s="60">
        <f t="shared" si="65"/>
        <v>381.57600000000002</v>
      </c>
      <c r="R842" s="60">
        <f t="shared" si="66"/>
        <v>253.7</v>
      </c>
      <c r="S842" s="60">
        <f t="shared" si="67"/>
        <v>127.87600000000003</v>
      </c>
      <c r="T842" s="65">
        <f t="shared" si="68"/>
        <v>0.33512589890349503</v>
      </c>
    </row>
    <row r="843" spans="1:20">
      <c r="A843" s="41">
        <f t="shared" si="69"/>
        <v>11</v>
      </c>
      <c r="B843" s="6" t="s">
        <v>984</v>
      </c>
      <c r="C843" s="20">
        <v>45988</v>
      </c>
      <c r="D843" s="6" t="s">
        <v>96</v>
      </c>
      <c r="E843" s="6" t="s">
        <v>89</v>
      </c>
      <c r="F843" s="6" t="s">
        <v>97</v>
      </c>
      <c r="G843" s="6" t="s">
        <v>110</v>
      </c>
      <c r="H843" s="6" t="s">
        <v>119</v>
      </c>
      <c r="I843" s="6" t="s">
        <v>138</v>
      </c>
      <c r="J843" s="25">
        <v>1</v>
      </c>
      <c r="K843" s="21">
        <v>143.96</v>
      </c>
      <c r="L843" s="63">
        <v>0.08</v>
      </c>
      <c r="M843" s="21">
        <v>57.72</v>
      </c>
      <c r="N843" s="6" t="s">
        <v>94</v>
      </c>
      <c r="O843" s="60">
        <f>Vendas2025[[#This Row],[Quantidade]]*Vendas2025[[#This Row],[Preço_Unitário_R$]]</f>
        <v>143.96</v>
      </c>
      <c r="P843" s="60">
        <f>Vendas2025[[#This Row],[Receita_Bruta_R$]]*Vendas2025[[#This Row],[Desconto_pct]]</f>
        <v>11.516800000000002</v>
      </c>
      <c r="Q843" s="60">
        <f t="shared" si="65"/>
        <v>132.44320000000002</v>
      </c>
      <c r="R843" s="60">
        <f t="shared" si="66"/>
        <v>57.72</v>
      </c>
      <c r="S843" s="60">
        <f t="shared" si="67"/>
        <v>74.72320000000002</v>
      </c>
      <c r="T843" s="65">
        <f t="shared" si="68"/>
        <v>0.56419053601845925</v>
      </c>
    </row>
    <row r="844" spans="1:20">
      <c r="A844" s="41">
        <f t="shared" si="69"/>
        <v>11</v>
      </c>
      <c r="B844" s="6" t="s">
        <v>985</v>
      </c>
      <c r="C844" s="20">
        <v>45988</v>
      </c>
      <c r="D844" s="6" t="s">
        <v>132</v>
      </c>
      <c r="E844" s="6" t="s">
        <v>89</v>
      </c>
      <c r="F844" s="6" t="s">
        <v>97</v>
      </c>
      <c r="G844" s="6" t="s">
        <v>115</v>
      </c>
      <c r="H844" s="6" t="s">
        <v>119</v>
      </c>
      <c r="I844" s="6" t="s">
        <v>155</v>
      </c>
      <c r="J844" s="25">
        <v>1</v>
      </c>
      <c r="K844" s="21">
        <v>338.3</v>
      </c>
      <c r="L844" s="63">
        <v>0.05</v>
      </c>
      <c r="M844" s="21">
        <v>192.13</v>
      </c>
      <c r="N844" s="6" t="s">
        <v>94</v>
      </c>
      <c r="O844" s="60">
        <f>Vendas2025[[#This Row],[Quantidade]]*Vendas2025[[#This Row],[Preço_Unitário_R$]]</f>
        <v>338.3</v>
      </c>
      <c r="P844" s="60">
        <f>Vendas2025[[#This Row],[Receita_Bruta_R$]]*Vendas2025[[#This Row],[Desconto_pct]]</f>
        <v>16.915000000000003</v>
      </c>
      <c r="Q844" s="60">
        <f t="shared" si="65"/>
        <v>321.38499999999999</v>
      </c>
      <c r="R844" s="60">
        <f t="shared" si="66"/>
        <v>192.13</v>
      </c>
      <c r="S844" s="60">
        <f t="shared" si="67"/>
        <v>129.255</v>
      </c>
      <c r="T844" s="65">
        <f t="shared" si="68"/>
        <v>0.40218118456057378</v>
      </c>
    </row>
    <row r="845" spans="1:20">
      <c r="A845" s="41">
        <f t="shared" si="69"/>
        <v>11</v>
      </c>
      <c r="B845" s="6" t="s">
        <v>986</v>
      </c>
      <c r="C845" s="20">
        <v>45988</v>
      </c>
      <c r="D845" s="6" t="s">
        <v>136</v>
      </c>
      <c r="E845" s="6" t="s">
        <v>137</v>
      </c>
      <c r="F845" s="6" t="s">
        <v>97</v>
      </c>
      <c r="G845" s="6" t="s">
        <v>151</v>
      </c>
      <c r="H845" s="6" t="s">
        <v>124</v>
      </c>
      <c r="I845" s="6" t="s">
        <v>199</v>
      </c>
      <c r="J845" s="25">
        <v>1</v>
      </c>
      <c r="K845" s="21">
        <v>342.91</v>
      </c>
      <c r="L845" s="63">
        <v>0.1</v>
      </c>
      <c r="M845" s="21">
        <v>156.87</v>
      </c>
      <c r="N845" s="6" t="s">
        <v>94</v>
      </c>
      <c r="O845" s="60">
        <f>Vendas2025[[#This Row],[Quantidade]]*Vendas2025[[#This Row],[Preço_Unitário_R$]]</f>
        <v>342.91</v>
      </c>
      <c r="P845" s="60">
        <f>Vendas2025[[#This Row],[Receita_Bruta_R$]]*Vendas2025[[#This Row],[Desconto_pct]]</f>
        <v>34.291000000000004</v>
      </c>
      <c r="Q845" s="60">
        <f t="shared" si="65"/>
        <v>308.61900000000003</v>
      </c>
      <c r="R845" s="60">
        <f t="shared" si="66"/>
        <v>156.87</v>
      </c>
      <c r="S845" s="60">
        <f t="shared" si="67"/>
        <v>151.74900000000002</v>
      </c>
      <c r="T845" s="65">
        <f t="shared" si="68"/>
        <v>0.49170336239829698</v>
      </c>
    </row>
    <row r="846" spans="1:20">
      <c r="A846" s="41">
        <f t="shared" si="69"/>
        <v>11</v>
      </c>
      <c r="B846" s="6" t="s">
        <v>987</v>
      </c>
      <c r="C846" s="20">
        <v>45988</v>
      </c>
      <c r="D846" s="6" t="s">
        <v>118</v>
      </c>
      <c r="E846" s="6" t="s">
        <v>114</v>
      </c>
      <c r="F846" s="6" t="s">
        <v>90</v>
      </c>
      <c r="G846" s="6" t="s">
        <v>140</v>
      </c>
      <c r="H846" s="6" t="s">
        <v>99</v>
      </c>
      <c r="I846" s="6" t="s">
        <v>163</v>
      </c>
      <c r="J846" s="25">
        <v>1</v>
      </c>
      <c r="K846" s="21">
        <v>1206.28</v>
      </c>
      <c r="L846" s="63">
        <v>0.25</v>
      </c>
      <c r="M846" s="21">
        <v>860.96</v>
      </c>
      <c r="N846" s="6" t="s">
        <v>94</v>
      </c>
      <c r="O846" s="60">
        <f>Vendas2025[[#This Row],[Quantidade]]*Vendas2025[[#This Row],[Preço_Unitário_R$]]</f>
        <v>1206.28</v>
      </c>
      <c r="P846" s="60">
        <f>Vendas2025[[#This Row],[Receita_Bruta_R$]]*Vendas2025[[#This Row],[Desconto_pct]]</f>
        <v>301.57</v>
      </c>
      <c r="Q846" s="60">
        <f t="shared" si="65"/>
        <v>904.71</v>
      </c>
      <c r="R846" s="60">
        <f t="shared" si="66"/>
        <v>860.96</v>
      </c>
      <c r="S846" s="60">
        <f t="shared" si="67"/>
        <v>43.75</v>
      </c>
      <c r="T846" s="65">
        <f t="shared" si="68"/>
        <v>4.8358037382144552E-2</v>
      </c>
    </row>
    <row r="847" spans="1:20">
      <c r="A847" s="41">
        <f t="shared" si="69"/>
        <v>11</v>
      </c>
      <c r="B847" s="6" t="s">
        <v>988</v>
      </c>
      <c r="C847" s="20">
        <v>45988</v>
      </c>
      <c r="D847" s="6" t="s">
        <v>96</v>
      </c>
      <c r="E847" s="6" t="s">
        <v>89</v>
      </c>
      <c r="F847" s="6" t="s">
        <v>97</v>
      </c>
      <c r="G847" s="6" t="s">
        <v>151</v>
      </c>
      <c r="H847" s="6" t="s">
        <v>119</v>
      </c>
      <c r="I847" s="6" t="s">
        <v>155</v>
      </c>
      <c r="J847" s="25">
        <v>2</v>
      </c>
      <c r="K847" s="21">
        <v>382.29</v>
      </c>
      <c r="L847" s="63">
        <v>0.05</v>
      </c>
      <c r="M847" s="21">
        <v>218.52</v>
      </c>
      <c r="N847" s="6" t="s">
        <v>94</v>
      </c>
      <c r="O847" s="60">
        <f>Vendas2025[[#This Row],[Quantidade]]*Vendas2025[[#This Row],[Preço_Unitário_R$]]</f>
        <v>764.58</v>
      </c>
      <c r="P847" s="60">
        <f>Vendas2025[[#This Row],[Receita_Bruta_R$]]*Vendas2025[[#This Row],[Desconto_pct]]</f>
        <v>38.229000000000006</v>
      </c>
      <c r="Q847" s="60">
        <f t="shared" si="65"/>
        <v>726.351</v>
      </c>
      <c r="R847" s="60">
        <f t="shared" si="66"/>
        <v>437.04</v>
      </c>
      <c r="S847" s="60">
        <f t="shared" si="67"/>
        <v>289.31099999999998</v>
      </c>
      <c r="T847" s="65">
        <f t="shared" si="68"/>
        <v>0.3983074298789428</v>
      </c>
    </row>
    <row r="848" spans="1:20">
      <c r="A848" s="41">
        <f t="shared" si="69"/>
        <v>11</v>
      </c>
      <c r="B848" s="6" t="s">
        <v>989</v>
      </c>
      <c r="C848" s="20">
        <v>45989</v>
      </c>
      <c r="D848" s="6" t="s">
        <v>96</v>
      </c>
      <c r="E848" s="6" t="s">
        <v>89</v>
      </c>
      <c r="F848" s="6" t="s">
        <v>122</v>
      </c>
      <c r="G848" s="6" t="s">
        <v>115</v>
      </c>
      <c r="H848" s="6" t="s">
        <v>106</v>
      </c>
      <c r="I848" s="6" t="s">
        <v>116</v>
      </c>
      <c r="J848" s="25">
        <v>1</v>
      </c>
      <c r="K848" s="21">
        <v>416.45</v>
      </c>
      <c r="L848" s="63">
        <v>0.1</v>
      </c>
      <c r="M848" s="21">
        <v>229.93</v>
      </c>
      <c r="N848" s="6" t="s">
        <v>94</v>
      </c>
      <c r="O848" s="60">
        <f>Vendas2025[[#This Row],[Quantidade]]*Vendas2025[[#This Row],[Preço_Unitário_R$]]</f>
        <v>416.45</v>
      </c>
      <c r="P848" s="60">
        <f>Vendas2025[[#This Row],[Receita_Bruta_R$]]*Vendas2025[[#This Row],[Desconto_pct]]</f>
        <v>41.645000000000003</v>
      </c>
      <c r="Q848" s="60">
        <f t="shared" si="65"/>
        <v>374.80500000000001</v>
      </c>
      <c r="R848" s="60">
        <f t="shared" si="66"/>
        <v>229.93</v>
      </c>
      <c r="S848" s="60">
        <f t="shared" si="67"/>
        <v>144.875</v>
      </c>
      <c r="T848" s="65">
        <f t="shared" si="68"/>
        <v>0.38653433118554981</v>
      </c>
    </row>
    <row r="849" spans="1:20">
      <c r="A849" s="41">
        <f t="shared" si="69"/>
        <v>11</v>
      </c>
      <c r="B849" s="6" t="s">
        <v>990</v>
      </c>
      <c r="C849" s="20">
        <v>45989</v>
      </c>
      <c r="D849" s="6" t="s">
        <v>129</v>
      </c>
      <c r="E849" s="6" t="s">
        <v>103</v>
      </c>
      <c r="F849" s="6" t="s">
        <v>122</v>
      </c>
      <c r="G849" s="6" t="s">
        <v>127</v>
      </c>
      <c r="H849" s="6" t="s">
        <v>92</v>
      </c>
      <c r="I849" s="6" t="s">
        <v>134</v>
      </c>
      <c r="J849" s="25">
        <v>2</v>
      </c>
      <c r="K849" s="21">
        <v>429.29</v>
      </c>
      <c r="L849" s="63">
        <v>0.2</v>
      </c>
      <c r="M849" s="21">
        <v>230.22</v>
      </c>
      <c r="N849" s="6" t="s">
        <v>94</v>
      </c>
      <c r="O849" s="60">
        <f>Vendas2025[[#This Row],[Quantidade]]*Vendas2025[[#This Row],[Preço_Unitário_R$]]</f>
        <v>858.58</v>
      </c>
      <c r="P849" s="60">
        <f>Vendas2025[[#This Row],[Receita_Bruta_R$]]*Vendas2025[[#This Row],[Desconto_pct]]</f>
        <v>171.71600000000001</v>
      </c>
      <c r="Q849" s="60">
        <f t="shared" si="65"/>
        <v>686.86400000000003</v>
      </c>
      <c r="R849" s="60">
        <f t="shared" si="66"/>
        <v>460.44</v>
      </c>
      <c r="S849" s="60">
        <f t="shared" si="67"/>
        <v>226.42400000000004</v>
      </c>
      <c r="T849" s="65">
        <f t="shared" si="68"/>
        <v>0.32964895525169469</v>
      </c>
    </row>
    <row r="850" spans="1:20">
      <c r="A850" s="41">
        <f t="shared" si="69"/>
        <v>11</v>
      </c>
      <c r="B850" s="6" t="s">
        <v>991</v>
      </c>
      <c r="C850" s="20">
        <v>45989</v>
      </c>
      <c r="D850" s="6" t="s">
        <v>96</v>
      </c>
      <c r="E850" s="6" t="s">
        <v>89</v>
      </c>
      <c r="F850" s="6" t="s">
        <v>90</v>
      </c>
      <c r="G850" s="6" t="s">
        <v>115</v>
      </c>
      <c r="H850" s="6" t="s">
        <v>119</v>
      </c>
      <c r="I850" s="6" t="s">
        <v>155</v>
      </c>
      <c r="J850" s="25">
        <v>1</v>
      </c>
      <c r="K850" s="21">
        <v>349.67</v>
      </c>
      <c r="L850" s="63">
        <v>0.05</v>
      </c>
      <c r="M850" s="21">
        <v>202.17</v>
      </c>
      <c r="N850" s="6" t="s">
        <v>94</v>
      </c>
      <c r="O850" s="60">
        <f>Vendas2025[[#This Row],[Quantidade]]*Vendas2025[[#This Row],[Preço_Unitário_R$]]</f>
        <v>349.67</v>
      </c>
      <c r="P850" s="60">
        <f>Vendas2025[[#This Row],[Receita_Bruta_R$]]*Vendas2025[[#This Row],[Desconto_pct]]</f>
        <v>17.483500000000003</v>
      </c>
      <c r="Q850" s="60">
        <f t="shared" si="65"/>
        <v>332.18650000000002</v>
      </c>
      <c r="R850" s="60">
        <f t="shared" si="66"/>
        <v>202.17</v>
      </c>
      <c r="S850" s="60">
        <f t="shared" si="67"/>
        <v>130.01650000000004</v>
      </c>
      <c r="T850" s="65">
        <f t="shared" si="68"/>
        <v>0.39139609827611904</v>
      </c>
    </row>
    <row r="851" spans="1:20">
      <c r="A851" s="41">
        <f t="shared" si="69"/>
        <v>12</v>
      </c>
      <c r="B851" s="6" t="s">
        <v>992</v>
      </c>
      <c r="C851" s="20">
        <v>45992</v>
      </c>
      <c r="D851" s="6" t="s">
        <v>132</v>
      </c>
      <c r="E851" s="6" t="s">
        <v>89</v>
      </c>
      <c r="F851" s="6" t="s">
        <v>104</v>
      </c>
      <c r="G851" s="6" t="s">
        <v>127</v>
      </c>
      <c r="H851" s="6" t="s">
        <v>106</v>
      </c>
      <c r="I851" s="6" t="s">
        <v>184</v>
      </c>
      <c r="J851" s="25">
        <v>1</v>
      </c>
      <c r="K851" s="21">
        <v>1149.5</v>
      </c>
      <c r="L851" s="63">
        <v>0.03</v>
      </c>
      <c r="M851" s="21">
        <v>812.65</v>
      </c>
      <c r="N851" s="6" t="s">
        <v>94</v>
      </c>
      <c r="O851" s="60">
        <f>Vendas2025[[#This Row],[Quantidade]]*Vendas2025[[#This Row],[Preço_Unitário_R$]]</f>
        <v>1149.5</v>
      </c>
      <c r="P851" s="60">
        <f>Vendas2025[[#This Row],[Receita_Bruta_R$]]*Vendas2025[[#This Row],[Desconto_pct]]</f>
        <v>34.484999999999999</v>
      </c>
      <c r="Q851" s="60">
        <f t="shared" si="65"/>
        <v>1115.0150000000001</v>
      </c>
      <c r="R851" s="60">
        <f t="shared" si="66"/>
        <v>812.65</v>
      </c>
      <c r="S851" s="60">
        <f t="shared" si="67"/>
        <v>302.36500000000012</v>
      </c>
      <c r="T851" s="65">
        <f t="shared" si="68"/>
        <v>0.27117572409339791</v>
      </c>
    </row>
    <row r="852" spans="1:20">
      <c r="A852" s="41">
        <f t="shared" si="69"/>
        <v>12</v>
      </c>
      <c r="B852" s="6" t="s">
        <v>993</v>
      </c>
      <c r="C852" s="20">
        <v>45992</v>
      </c>
      <c r="D852" s="6" t="s">
        <v>113</v>
      </c>
      <c r="E852" s="6" t="s">
        <v>114</v>
      </c>
      <c r="F852" s="6" t="s">
        <v>122</v>
      </c>
      <c r="G852" s="6" t="s">
        <v>115</v>
      </c>
      <c r="H852" s="6" t="s">
        <v>119</v>
      </c>
      <c r="I852" s="6" t="s">
        <v>155</v>
      </c>
      <c r="J852" s="25">
        <v>1</v>
      </c>
      <c r="K852" s="21">
        <v>371.07</v>
      </c>
      <c r="L852" s="63">
        <v>0.1</v>
      </c>
      <c r="M852" s="21">
        <v>215.16</v>
      </c>
      <c r="N852" s="6" t="s">
        <v>94</v>
      </c>
      <c r="O852" s="60">
        <f>Vendas2025[[#This Row],[Quantidade]]*Vendas2025[[#This Row],[Preço_Unitário_R$]]</f>
        <v>371.07</v>
      </c>
      <c r="P852" s="60">
        <f>Vendas2025[[#This Row],[Receita_Bruta_R$]]*Vendas2025[[#This Row],[Desconto_pct]]</f>
        <v>37.106999999999999</v>
      </c>
      <c r="Q852" s="60">
        <f t="shared" si="65"/>
        <v>333.96299999999997</v>
      </c>
      <c r="R852" s="60">
        <f t="shared" si="66"/>
        <v>215.16</v>
      </c>
      <c r="S852" s="60">
        <f t="shared" si="67"/>
        <v>118.80299999999997</v>
      </c>
      <c r="T852" s="65">
        <f t="shared" si="68"/>
        <v>0.35573701278285313</v>
      </c>
    </row>
    <row r="853" spans="1:20">
      <c r="A853" s="41">
        <f t="shared" si="69"/>
        <v>12</v>
      </c>
      <c r="B853" s="6" t="s">
        <v>994</v>
      </c>
      <c r="C853" s="20">
        <v>45992</v>
      </c>
      <c r="D853" s="6" t="s">
        <v>132</v>
      </c>
      <c r="E853" s="6" t="s">
        <v>89</v>
      </c>
      <c r="F853" s="6" t="s">
        <v>90</v>
      </c>
      <c r="G853" s="6" t="s">
        <v>105</v>
      </c>
      <c r="H853" s="6" t="s">
        <v>106</v>
      </c>
      <c r="I853" s="6" t="s">
        <v>170</v>
      </c>
      <c r="J853" s="25">
        <v>1</v>
      </c>
      <c r="K853" s="21">
        <v>566.70000000000005</v>
      </c>
      <c r="L853" s="63">
        <v>0.2</v>
      </c>
      <c r="M853" s="21">
        <v>299.73</v>
      </c>
      <c r="N853" s="6" t="s">
        <v>94</v>
      </c>
      <c r="O853" s="60">
        <f>Vendas2025[[#This Row],[Quantidade]]*Vendas2025[[#This Row],[Preço_Unitário_R$]]</f>
        <v>566.70000000000005</v>
      </c>
      <c r="P853" s="60">
        <f>Vendas2025[[#This Row],[Receita_Bruta_R$]]*Vendas2025[[#This Row],[Desconto_pct]]</f>
        <v>113.34000000000002</v>
      </c>
      <c r="Q853" s="60">
        <f t="shared" si="65"/>
        <v>453.36</v>
      </c>
      <c r="R853" s="60">
        <f t="shared" si="66"/>
        <v>299.73</v>
      </c>
      <c r="S853" s="60">
        <f t="shared" si="67"/>
        <v>153.63</v>
      </c>
      <c r="T853" s="65">
        <f t="shared" si="68"/>
        <v>0.33886977236633137</v>
      </c>
    </row>
    <row r="854" spans="1:20">
      <c r="A854" s="41">
        <f t="shared" si="69"/>
        <v>12</v>
      </c>
      <c r="B854" s="6" t="s">
        <v>995</v>
      </c>
      <c r="C854" s="20">
        <v>45992</v>
      </c>
      <c r="D854" s="6" t="s">
        <v>132</v>
      </c>
      <c r="E854" s="6" t="s">
        <v>89</v>
      </c>
      <c r="F854" s="6" t="s">
        <v>97</v>
      </c>
      <c r="G854" s="6" t="s">
        <v>127</v>
      </c>
      <c r="H854" s="6" t="s">
        <v>119</v>
      </c>
      <c r="I854" s="6" t="s">
        <v>141</v>
      </c>
      <c r="J854" s="25">
        <v>1</v>
      </c>
      <c r="K854" s="21">
        <v>2992.2</v>
      </c>
      <c r="L854" s="63">
        <v>0</v>
      </c>
      <c r="M854" s="21">
        <v>2119.46</v>
      </c>
      <c r="N854" s="6" t="s">
        <v>94</v>
      </c>
      <c r="O854" s="60">
        <f>Vendas2025[[#This Row],[Quantidade]]*Vendas2025[[#This Row],[Preço_Unitário_R$]]</f>
        <v>2992.2</v>
      </c>
      <c r="P854" s="60">
        <f>Vendas2025[[#This Row],[Receita_Bruta_R$]]*Vendas2025[[#This Row],[Desconto_pct]]</f>
        <v>0</v>
      </c>
      <c r="Q854" s="60">
        <f t="shared" si="65"/>
        <v>2992.2</v>
      </c>
      <c r="R854" s="60">
        <f t="shared" si="66"/>
        <v>2119.46</v>
      </c>
      <c r="S854" s="60">
        <f t="shared" si="67"/>
        <v>872.73999999999978</v>
      </c>
      <c r="T854" s="65">
        <f t="shared" si="68"/>
        <v>0.29167167970055474</v>
      </c>
    </row>
    <row r="855" spans="1:20">
      <c r="A855" s="41">
        <f t="shared" si="69"/>
        <v>12</v>
      </c>
      <c r="B855" s="6" t="s">
        <v>996</v>
      </c>
      <c r="C855" s="20">
        <v>45992</v>
      </c>
      <c r="D855" s="6" t="s">
        <v>88</v>
      </c>
      <c r="E855" s="6" t="s">
        <v>89</v>
      </c>
      <c r="F855" s="6" t="s">
        <v>122</v>
      </c>
      <c r="G855" s="6" t="s">
        <v>123</v>
      </c>
      <c r="H855" s="6" t="s">
        <v>92</v>
      </c>
      <c r="I855" s="6" t="s">
        <v>134</v>
      </c>
      <c r="J855" s="25">
        <v>1</v>
      </c>
      <c r="K855" s="21">
        <v>448.4</v>
      </c>
      <c r="L855" s="63">
        <v>0.03</v>
      </c>
      <c r="M855" s="21">
        <v>248.79</v>
      </c>
      <c r="N855" s="6" t="s">
        <v>94</v>
      </c>
      <c r="O855" s="60">
        <f>Vendas2025[[#This Row],[Quantidade]]*Vendas2025[[#This Row],[Preço_Unitário_R$]]</f>
        <v>448.4</v>
      </c>
      <c r="P855" s="60">
        <f>Vendas2025[[#This Row],[Receita_Bruta_R$]]*Vendas2025[[#This Row],[Desconto_pct]]</f>
        <v>13.451999999999998</v>
      </c>
      <c r="Q855" s="60">
        <f t="shared" si="65"/>
        <v>434.94799999999998</v>
      </c>
      <c r="R855" s="60">
        <f t="shared" si="66"/>
        <v>248.79</v>
      </c>
      <c r="S855" s="60">
        <f t="shared" si="67"/>
        <v>186.15799999999999</v>
      </c>
      <c r="T855" s="65">
        <f t="shared" si="68"/>
        <v>0.42800058857610562</v>
      </c>
    </row>
    <row r="856" spans="1:20">
      <c r="A856" s="41">
        <f t="shared" si="69"/>
        <v>12</v>
      </c>
      <c r="B856" s="6" t="s">
        <v>997</v>
      </c>
      <c r="C856" s="20">
        <v>45992</v>
      </c>
      <c r="D856" s="6" t="s">
        <v>129</v>
      </c>
      <c r="E856" s="6" t="s">
        <v>103</v>
      </c>
      <c r="F856" s="6" t="s">
        <v>90</v>
      </c>
      <c r="G856" s="6" t="s">
        <v>110</v>
      </c>
      <c r="H856" s="6" t="s">
        <v>99</v>
      </c>
      <c r="I856" s="6" t="s">
        <v>173</v>
      </c>
      <c r="J856" s="25">
        <v>2</v>
      </c>
      <c r="K856" s="21">
        <v>3638.32</v>
      </c>
      <c r="L856" s="63">
        <v>0.1</v>
      </c>
      <c r="M856" s="21">
        <v>2814.79</v>
      </c>
      <c r="N856" s="6" t="s">
        <v>94</v>
      </c>
      <c r="O856" s="60">
        <f>Vendas2025[[#This Row],[Quantidade]]*Vendas2025[[#This Row],[Preço_Unitário_R$]]</f>
        <v>7276.64</v>
      </c>
      <c r="P856" s="60">
        <f>Vendas2025[[#This Row],[Receita_Bruta_R$]]*Vendas2025[[#This Row],[Desconto_pct]]</f>
        <v>727.6640000000001</v>
      </c>
      <c r="Q856" s="60">
        <f t="shared" si="65"/>
        <v>6548.9760000000006</v>
      </c>
      <c r="R856" s="60">
        <f t="shared" si="66"/>
        <v>5629.58</v>
      </c>
      <c r="S856" s="60">
        <f t="shared" si="67"/>
        <v>919.39600000000064</v>
      </c>
      <c r="T856" s="65">
        <f t="shared" si="68"/>
        <v>0.1403877491687251</v>
      </c>
    </row>
    <row r="857" spans="1:20">
      <c r="A857" s="41">
        <f t="shared" si="69"/>
        <v>12</v>
      </c>
      <c r="B857" s="6" t="s">
        <v>998</v>
      </c>
      <c r="C857" s="20">
        <v>45992</v>
      </c>
      <c r="D857" s="6" t="s">
        <v>136</v>
      </c>
      <c r="E857" s="6" t="s">
        <v>137</v>
      </c>
      <c r="F857" s="6" t="s">
        <v>97</v>
      </c>
      <c r="G857" s="6" t="s">
        <v>115</v>
      </c>
      <c r="H857" s="6" t="s">
        <v>99</v>
      </c>
      <c r="I857" s="6" t="s">
        <v>130</v>
      </c>
      <c r="J857" s="25">
        <v>1</v>
      </c>
      <c r="K857" s="21">
        <v>255.16</v>
      </c>
      <c r="L857" s="63">
        <v>0.05</v>
      </c>
      <c r="M857" s="21">
        <v>123.14</v>
      </c>
      <c r="N857" s="6" t="s">
        <v>94</v>
      </c>
      <c r="O857" s="60">
        <f>Vendas2025[[#This Row],[Quantidade]]*Vendas2025[[#This Row],[Preço_Unitário_R$]]</f>
        <v>255.16</v>
      </c>
      <c r="P857" s="60">
        <f>Vendas2025[[#This Row],[Receita_Bruta_R$]]*Vendas2025[[#This Row],[Desconto_pct]]</f>
        <v>12.758000000000001</v>
      </c>
      <c r="Q857" s="60">
        <f t="shared" si="65"/>
        <v>242.40199999999999</v>
      </c>
      <c r="R857" s="60">
        <f t="shared" si="66"/>
        <v>123.14</v>
      </c>
      <c r="S857" s="60">
        <f t="shared" si="67"/>
        <v>119.26199999999999</v>
      </c>
      <c r="T857" s="65">
        <f t="shared" si="68"/>
        <v>0.49200089108175671</v>
      </c>
    </row>
    <row r="858" spans="1:20">
      <c r="A858" s="41">
        <f t="shared" si="69"/>
        <v>12</v>
      </c>
      <c r="B858" s="6" t="s">
        <v>999</v>
      </c>
      <c r="C858" s="20">
        <v>45993</v>
      </c>
      <c r="D858" s="6" t="s">
        <v>88</v>
      </c>
      <c r="E858" s="6" t="s">
        <v>89</v>
      </c>
      <c r="F858" s="6" t="s">
        <v>122</v>
      </c>
      <c r="G858" s="6" t="s">
        <v>151</v>
      </c>
      <c r="H858" s="6" t="s">
        <v>99</v>
      </c>
      <c r="I858" s="6" t="s">
        <v>173</v>
      </c>
      <c r="J858" s="25">
        <v>1</v>
      </c>
      <c r="K858" s="21">
        <v>3718.99</v>
      </c>
      <c r="L858" s="63">
        <v>0.125</v>
      </c>
      <c r="M858" s="21">
        <v>2889.27</v>
      </c>
      <c r="N858" s="6" t="s">
        <v>94</v>
      </c>
      <c r="O858" s="60">
        <f>Vendas2025[[#This Row],[Quantidade]]*Vendas2025[[#This Row],[Preço_Unitário_R$]]</f>
        <v>3718.99</v>
      </c>
      <c r="P858" s="60">
        <f>Vendas2025[[#This Row],[Receita_Bruta_R$]]*Vendas2025[[#This Row],[Desconto_pct]]</f>
        <v>464.87374999999997</v>
      </c>
      <c r="Q858" s="60">
        <f t="shared" si="65"/>
        <v>3254.11625</v>
      </c>
      <c r="R858" s="60">
        <f t="shared" si="66"/>
        <v>2889.27</v>
      </c>
      <c r="S858" s="60">
        <f t="shared" si="67"/>
        <v>364.84625000000005</v>
      </c>
      <c r="T858" s="65">
        <f t="shared" si="68"/>
        <v>0.11211838237186519</v>
      </c>
    </row>
    <row r="859" spans="1:20">
      <c r="A859" s="41">
        <f t="shared" si="69"/>
        <v>12</v>
      </c>
      <c r="B859" s="6" t="s">
        <v>1000</v>
      </c>
      <c r="C859" s="20">
        <v>45993</v>
      </c>
      <c r="D859" s="6" t="s">
        <v>129</v>
      </c>
      <c r="E859" s="6" t="s">
        <v>103</v>
      </c>
      <c r="F859" s="6" t="s">
        <v>97</v>
      </c>
      <c r="G859" s="6" t="s">
        <v>127</v>
      </c>
      <c r="H859" s="6" t="s">
        <v>124</v>
      </c>
      <c r="I859" s="6" t="s">
        <v>193</v>
      </c>
      <c r="J859" s="25">
        <v>2</v>
      </c>
      <c r="K859" s="21">
        <v>359.95</v>
      </c>
      <c r="L859" s="63">
        <v>0</v>
      </c>
      <c r="M859" s="21">
        <v>158.66</v>
      </c>
      <c r="N859" s="6" t="s">
        <v>94</v>
      </c>
      <c r="O859" s="60">
        <f>Vendas2025[[#This Row],[Quantidade]]*Vendas2025[[#This Row],[Preço_Unitário_R$]]</f>
        <v>719.9</v>
      </c>
      <c r="P859" s="60">
        <f>Vendas2025[[#This Row],[Receita_Bruta_R$]]*Vendas2025[[#This Row],[Desconto_pct]]</f>
        <v>0</v>
      </c>
      <c r="Q859" s="60">
        <f t="shared" si="65"/>
        <v>719.9</v>
      </c>
      <c r="R859" s="60">
        <f t="shared" si="66"/>
        <v>317.32</v>
      </c>
      <c r="S859" s="60">
        <f t="shared" si="67"/>
        <v>402.58</v>
      </c>
      <c r="T859" s="65">
        <f t="shared" si="68"/>
        <v>0.5592165578552577</v>
      </c>
    </row>
    <row r="860" spans="1:20">
      <c r="A860" s="41">
        <f t="shared" si="69"/>
        <v>12</v>
      </c>
      <c r="B860" s="6" t="s">
        <v>1001</v>
      </c>
      <c r="C860" s="20">
        <v>45993</v>
      </c>
      <c r="D860" s="6" t="s">
        <v>118</v>
      </c>
      <c r="E860" s="6" t="s">
        <v>114</v>
      </c>
      <c r="F860" s="6" t="s">
        <v>97</v>
      </c>
      <c r="G860" s="6" t="s">
        <v>127</v>
      </c>
      <c r="H860" s="6" t="s">
        <v>124</v>
      </c>
      <c r="I860" s="6" t="s">
        <v>193</v>
      </c>
      <c r="J860" s="25">
        <v>1</v>
      </c>
      <c r="K860" s="21">
        <v>395.1</v>
      </c>
      <c r="L860" s="63">
        <v>0.05</v>
      </c>
      <c r="M860" s="21">
        <v>177.82</v>
      </c>
      <c r="N860" s="6" t="s">
        <v>94</v>
      </c>
      <c r="O860" s="60">
        <f>Vendas2025[[#This Row],[Quantidade]]*Vendas2025[[#This Row],[Preço_Unitário_R$]]</f>
        <v>395.1</v>
      </c>
      <c r="P860" s="60">
        <f>Vendas2025[[#This Row],[Receita_Bruta_R$]]*Vendas2025[[#This Row],[Desconto_pct]]</f>
        <v>19.755000000000003</v>
      </c>
      <c r="Q860" s="60">
        <f t="shared" si="65"/>
        <v>375.34500000000003</v>
      </c>
      <c r="R860" s="60">
        <f t="shared" si="66"/>
        <v>177.82</v>
      </c>
      <c r="S860" s="60">
        <f t="shared" si="67"/>
        <v>197.52500000000003</v>
      </c>
      <c r="T860" s="65">
        <f t="shared" si="68"/>
        <v>0.52624918408397614</v>
      </c>
    </row>
    <row r="861" spans="1:20">
      <c r="A861" s="41">
        <f t="shared" si="69"/>
        <v>12</v>
      </c>
      <c r="B861" s="6" t="s">
        <v>1002</v>
      </c>
      <c r="C861" s="20">
        <v>45993</v>
      </c>
      <c r="D861" s="6" t="s">
        <v>129</v>
      </c>
      <c r="E861" s="6" t="s">
        <v>103</v>
      </c>
      <c r="F861" s="6" t="s">
        <v>104</v>
      </c>
      <c r="G861" s="6" t="s">
        <v>98</v>
      </c>
      <c r="H861" s="6" t="s">
        <v>119</v>
      </c>
      <c r="I861" s="6" t="s">
        <v>138</v>
      </c>
      <c r="J861" s="25">
        <v>2</v>
      </c>
      <c r="K861" s="21">
        <v>144.99</v>
      </c>
      <c r="L861" s="63">
        <v>0.1</v>
      </c>
      <c r="M861" s="21">
        <v>59.63</v>
      </c>
      <c r="N861" s="6" t="s">
        <v>94</v>
      </c>
      <c r="O861" s="60">
        <f>Vendas2025[[#This Row],[Quantidade]]*Vendas2025[[#This Row],[Preço_Unitário_R$]]</f>
        <v>289.98</v>
      </c>
      <c r="P861" s="60">
        <f>Vendas2025[[#This Row],[Receita_Bruta_R$]]*Vendas2025[[#This Row],[Desconto_pct]]</f>
        <v>28.998000000000005</v>
      </c>
      <c r="Q861" s="60">
        <f t="shared" si="65"/>
        <v>260.98200000000003</v>
      </c>
      <c r="R861" s="60">
        <f t="shared" si="66"/>
        <v>119.26</v>
      </c>
      <c r="S861" s="60">
        <f t="shared" si="67"/>
        <v>141.72200000000004</v>
      </c>
      <c r="T861" s="65">
        <f t="shared" si="68"/>
        <v>0.5430336191768016</v>
      </c>
    </row>
    <row r="862" spans="1:20">
      <c r="A862" s="41">
        <f t="shared" si="69"/>
        <v>12</v>
      </c>
      <c r="B862" s="6" t="s">
        <v>1003</v>
      </c>
      <c r="C862" s="20">
        <v>45994</v>
      </c>
      <c r="D862" s="6" t="s">
        <v>118</v>
      </c>
      <c r="E862" s="6" t="s">
        <v>114</v>
      </c>
      <c r="F862" s="6" t="s">
        <v>97</v>
      </c>
      <c r="G862" s="6" t="s">
        <v>110</v>
      </c>
      <c r="H862" s="6" t="s">
        <v>99</v>
      </c>
      <c r="I862" s="6" t="s">
        <v>130</v>
      </c>
      <c r="J862" s="25">
        <v>2</v>
      </c>
      <c r="K862" s="21">
        <v>248.67</v>
      </c>
      <c r="L862" s="63">
        <v>0.17499999999999999</v>
      </c>
      <c r="M862" s="21">
        <v>116.24</v>
      </c>
      <c r="N862" s="6" t="s">
        <v>94</v>
      </c>
      <c r="O862" s="60">
        <f>Vendas2025[[#This Row],[Quantidade]]*Vendas2025[[#This Row],[Preço_Unitário_R$]]</f>
        <v>497.34</v>
      </c>
      <c r="P862" s="60">
        <f>Vendas2025[[#This Row],[Receita_Bruta_R$]]*Vendas2025[[#This Row],[Desconto_pct]]</f>
        <v>87.034499999999994</v>
      </c>
      <c r="Q862" s="60">
        <f t="shared" si="65"/>
        <v>410.30549999999999</v>
      </c>
      <c r="R862" s="60">
        <f t="shared" si="66"/>
        <v>232.48</v>
      </c>
      <c r="S862" s="60">
        <f t="shared" si="67"/>
        <v>177.82550000000001</v>
      </c>
      <c r="T862" s="65">
        <f t="shared" si="68"/>
        <v>0.43339779749479351</v>
      </c>
    </row>
    <row r="863" spans="1:20">
      <c r="A863" s="41">
        <f t="shared" si="69"/>
        <v>12</v>
      </c>
      <c r="B863" s="6" t="s">
        <v>1004</v>
      </c>
      <c r="C863" s="20">
        <v>45994</v>
      </c>
      <c r="D863" s="6" t="s">
        <v>88</v>
      </c>
      <c r="E863" s="6" t="s">
        <v>89</v>
      </c>
      <c r="F863" s="6" t="s">
        <v>90</v>
      </c>
      <c r="G863" s="6" t="s">
        <v>140</v>
      </c>
      <c r="H863" s="6" t="s">
        <v>99</v>
      </c>
      <c r="I863" s="6" t="s">
        <v>158</v>
      </c>
      <c r="J863" s="25">
        <v>1</v>
      </c>
      <c r="K863" s="21">
        <v>186.47</v>
      </c>
      <c r="L863" s="63">
        <v>0.25</v>
      </c>
      <c r="M863" s="21">
        <v>84.58</v>
      </c>
      <c r="N863" s="6" t="s">
        <v>94</v>
      </c>
      <c r="O863" s="60">
        <f>Vendas2025[[#This Row],[Quantidade]]*Vendas2025[[#This Row],[Preço_Unitário_R$]]</f>
        <v>186.47</v>
      </c>
      <c r="P863" s="60">
        <f>Vendas2025[[#This Row],[Receita_Bruta_R$]]*Vendas2025[[#This Row],[Desconto_pct]]</f>
        <v>46.6175</v>
      </c>
      <c r="Q863" s="60">
        <f t="shared" si="65"/>
        <v>139.85249999999999</v>
      </c>
      <c r="R863" s="60">
        <f t="shared" si="66"/>
        <v>84.58</v>
      </c>
      <c r="S863" s="60">
        <f t="shared" si="67"/>
        <v>55.272499999999994</v>
      </c>
      <c r="T863" s="65">
        <f t="shared" si="68"/>
        <v>0.39521996389052749</v>
      </c>
    </row>
    <row r="864" spans="1:20">
      <c r="A864" s="41">
        <f t="shared" si="69"/>
        <v>12</v>
      </c>
      <c r="B864" s="6" t="s">
        <v>1005</v>
      </c>
      <c r="C864" s="20">
        <v>45994</v>
      </c>
      <c r="D864" s="6" t="s">
        <v>136</v>
      </c>
      <c r="E864" s="6" t="s">
        <v>137</v>
      </c>
      <c r="F864" s="6" t="s">
        <v>90</v>
      </c>
      <c r="G864" s="6" t="s">
        <v>154</v>
      </c>
      <c r="H864" s="6" t="s">
        <v>124</v>
      </c>
      <c r="I864" s="6" t="s">
        <v>125</v>
      </c>
      <c r="J864" s="25">
        <v>1</v>
      </c>
      <c r="K864" s="21">
        <v>658.48</v>
      </c>
      <c r="L864" s="63">
        <v>0.25</v>
      </c>
      <c r="M864" s="21">
        <v>325.48</v>
      </c>
      <c r="N864" s="6" t="s">
        <v>94</v>
      </c>
      <c r="O864" s="60">
        <f>Vendas2025[[#This Row],[Quantidade]]*Vendas2025[[#This Row],[Preço_Unitário_R$]]</f>
        <v>658.48</v>
      </c>
      <c r="P864" s="60">
        <f>Vendas2025[[#This Row],[Receita_Bruta_R$]]*Vendas2025[[#This Row],[Desconto_pct]]</f>
        <v>164.62</v>
      </c>
      <c r="Q864" s="60">
        <f t="shared" si="65"/>
        <v>493.86</v>
      </c>
      <c r="R864" s="60">
        <f t="shared" si="66"/>
        <v>325.48</v>
      </c>
      <c r="S864" s="60">
        <f t="shared" si="67"/>
        <v>168.38</v>
      </c>
      <c r="T864" s="65">
        <f t="shared" si="68"/>
        <v>0.3409468270360021</v>
      </c>
    </row>
    <row r="865" spans="1:20">
      <c r="A865" s="41">
        <f t="shared" si="69"/>
        <v>12</v>
      </c>
      <c r="B865" s="6" t="s">
        <v>1006</v>
      </c>
      <c r="C865" s="20">
        <v>45994</v>
      </c>
      <c r="D865" s="6" t="s">
        <v>88</v>
      </c>
      <c r="E865" s="6" t="s">
        <v>89</v>
      </c>
      <c r="F865" s="6" t="s">
        <v>122</v>
      </c>
      <c r="G865" s="6" t="s">
        <v>110</v>
      </c>
      <c r="H865" s="6" t="s">
        <v>106</v>
      </c>
      <c r="I865" s="6" t="s">
        <v>107</v>
      </c>
      <c r="J865" s="25">
        <v>1</v>
      </c>
      <c r="K865" s="21">
        <v>680.56</v>
      </c>
      <c r="L865" s="63">
        <v>0.05</v>
      </c>
      <c r="M865" s="21">
        <v>379.22</v>
      </c>
      <c r="N865" s="6" t="s">
        <v>94</v>
      </c>
      <c r="O865" s="60">
        <f>Vendas2025[[#This Row],[Quantidade]]*Vendas2025[[#This Row],[Preço_Unitário_R$]]</f>
        <v>680.56</v>
      </c>
      <c r="P865" s="60">
        <f>Vendas2025[[#This Row],[Receita_Bruta_R$]]*Vendas2025[[#This Row],[Desconto_pct]]</f>
        <v>34.027999999999999</v>
      </c>
      <c r="Q865" s="60">
        <f t="shared" si="65"/>
        <v>646.53199999999993</v>
      </c>
      <c r="R865" s="60">
        <f t="shared" si="66"/>
        <v>379.22</v>
      </c>
      <c r="S865" s="60">
        <f t="shared" si="67"/>
        <v>267.3119999999999</v>
      </c>
      <c r="T865" s="65">
        <f t="shared" si="68"/>
        <v>0.41345517313914848</v>
      </c>
    </row>
    <row r="866" spans="1:20">
      <c r="A866" s="41">
        <f t="shared" si="69"/>
        <v>12</v>
      </c>
      <c r="B866" s="6" t="s">
        <v>1007</v>
      </c>
      <c r="C866" s="20">
        <v>45995</v>
      </c>
      <c r="D866" s="6" t="s">
        <v>96</v>
      </c>
      <c r="E866" s="6" t="s">
        <v>89</v>
      </c>
      <c r="F866" s="6" t="s">
        <v>104</v>
      </c>
      <c r="G866" s="6" t="s">
        <v>177</v>
      </c>
      <c r="H866" s="6" t="s">
        <v>99</v>
      </c>
      <c r="I866" s="6" t="s">
        <v>158</v>
      </c>
      <c r="J866" s="25">
        <v>2</v>
      </c>
      <c r="K866" s="21">
        <v>186.28</v>
      </c>
      <c r="L866" s="63">
        <v>0.1</v>
      </c>
      <c r="M866" s="21">
        <v>84.89</v>
      </c>
      <c r="N866" s="6" t="s">
        <v>94</v>
      </c>
      <c r="O866" s="60">
        <f>Vendas2025[[#This Row],[Quantidade]]*Vendas2025[[#This Row],[Preço_Unitário_R$]]</f>
        <v>372.56</v>
      </c>
      <c r="P866" s="60">
        <f>Vendas2025[[#This Row],[Receita_Bruta_R$]]*Vendas2025[[#This Row],[Desconto_pct]]</f>
        <v>37.256</v>
      </c>
      <c r="Q866" s="60">
        <f t="shared" si="65"/>
        <v>335.30399999999997</v>
      </c>
      <c r="R866" s="60">
        <f t="shared" si="66"/>
        <v>169.78</v>
      </c>
      <c r="S866" s="60">
        <f t="shared" si="67"/>
        <v>165.52399999999997</v>
      </c>
      <c r="T866" s="65">
        <f t="shared" si="68"/>
        <v>0.49365352038746924</v>
      </c>
    </row>
    <row r="867" spans="1:20">
      <c r="A867" s="41">
        <f t="shared" si="69"/>
        <v>12</v>
      </c>
      <c r="B867" s="6" t="s">
        <v>1008</v>
      </c>
      <c r="C867" s="20">
        <v>45995</v>
      </c>
      <c r="D867" s="6" t="s">
        <v>132</v>
      </c>
      <c r="E867" s="6" t="s">
        <v>89</v>
      </c>
      <c r="F867" s="6" t="s">
        <v>90</v>
      </c>
      <c r="G867" s="6" t="s">
        <v>110</v>
      </c>
      <c r="H867" s="6" t="s">
        <v>92</v>
      </c>
      <c r="I867" s="6" t="s">
        <v>144</v>
      </c>
      <c r="J867" s="25">
        <v>1</v>
      </c>
      <c r="K867" s="21">
        <v>140.13999999999999</v>
      </c>
      <c r="L867" s="63">
        <v>0.15</v>
      </c>
      <c r="M867" s="21">
        <v>48.47</v>
      </c>
      <c r="N867" s="6" t="s">
        <v>94</v>
      </c>
      <c r="O867" s="60">
        <f>Vendas2025[[#This Row],[Quantidade]]*Vendas2025[[#This Row],[Preço_Unitário_R$]]</f>
        <v>140.13999999999999</v>
      </c>
      <c r="P867" s="60">
        <f>Vendas2025[[#This Row],[Receita_Bruta_R$]]*Vendas2025[[#This Row],[Desconto_pct]]</f>
        <v>21.020999999999997</v>
      </c>
      <c r="Q867" s="60">
        <f t="shared" si="65"/>
        <v>119.11899999999999</v>
      </c>
      <c r="R867" s="60">
        <f t="shared" si="66"/>
        <v>48.47</v>
      </c>
      <c r="S867" s="60">
        <f t="shared" si="67"/>
        <v>70.648999999999987</v>
      </c>
      <c r="T867" s="65">
        <f t="shared" si="68"/>
        <v>0.59309597965060146</v>
      </c>
    </row>
    <row r="868" spans="1:20">
      <c r="A868" s="41">
        <f t="shared" si="69"/>
        <v>12</v>
      </c>
      <c r="B868" s="6" t="s">
        <v>1009</v>
      </c>
      <c r="C868" s="20">
        <v>45995</v>
      </c>
      <c r="D868" s="6" t="s">
        <v>96</v>
      </c>
      <c r="E868" s="6" t="s">
        <v>89</v>
      </c>
      <c r="F868" s="6" t="s">
        <v>90</v>
      </c>
      <c r="G868" s="6" t="s">
        <v>91</v>
      </c>
      <c r="H868" s="6" t="s">
        <v>106</v>
      </c>
      <c r="I868" s="6" t="s">
        <v>184</v>
      </c>
      <c r="J868" s="25">
        <v>1</v>
      </c>
      <c r="K868" s="21">
        <v>1193.6300000000001</v>
      </c>
      <c r="L868" s="63">
        <v>0.2</v>
      </c>
      <c r="M868" s="21">
        <v>896.94</v>
      </c>
      <c r="N868" s="6" t="s">
        <v>94</v>
      </c>
      <c r="O868" s="60">
        <f>Vendas2025[[#This Row],[Quantidade]]*Vendas2025[[#This Row],[Preço_Unitário_R$]]</f>
        <v>1193.6300000000001</v>
      </c>
      <c r="P868" s="60">
        <f>Vendas2025[[#This Row],[Receita_Bruta_R$]]*Vendas2025[[#This Row],[Desconto_pct]]</f>
        <v>238.72600000000003</v>
      </c>
      <c r="Q868" s="60">
        <f t="shared" si="65"/>
        <v>954.90400000000011</v>
      </c>
      <c r="R868" s="60">
        <f t="shared" si="66"/>
        <v>896.94</v>
      </c>
      <c r="S868" s="60">
        <f t="shared" si="67"/>
        <v>57.964000000000055</v>
      </c>
      <c r="T868" s="65">
        <f t="shared" si="68"/>
        <v>6.0701389877935427E-2</v>
      </c>
    </row>
    <row r="869" spans="1:20">
      <c r="A869" s="41">
        <f t="shared" si="69"/>
        <v>12</v>
      </c>
      <c r="B869" s="6" t="s">
        <v>1010</v>
      </c>
      <c r="C869" s="20">
        <v>45995</v>
      </c>
      <c r="D869" s="6" t="s">
        <v>129</v>
      </c>
      <c r="E869" s="6" t="s">
        <v>103</v>
      </c>
      <c r="F869" s="6" t="s">
        <v>104</v>
      </c>
      <c r="G869" s="6" t="s">
        <v>115</v>
      </c>
      <c r="H869" s="6" t="s">
        <v>119</v>
      </c>
      <c r="I869" s="6" t="s">
        <v>138</v>
      </c>
      <c r="J869" s="25">
        <v>1</v>
      </c>
      <c r="K869" s="21">
        <v>144.87</v>
      </c>
      <c r="L869" s="63">
        <v>5.5E-2</v>
      </c>
      <c r="M869" s="21">
        <v>57.36</v>
      </c>
      <c r="N869" s="6" t="s">
        <v>94</v>
      </c>
      <c r="O869" s="60">
        <f>Vendas2025[[#This Row],[Quantidade]]*Vendas2025[[#This Row],[Preço_Unitário_R$]]</f>
        <v>144.87</v>
      </c>
      <c r="P869" s="60">
        <f>Vendas2025[[#This Row],[Receita_Bruta_R$]]*Vendas2025[[#This Row],[Desconto_pct]]</f>
        <v>7.9678500000000003</v>
      </c>
      <c r="Q869" s="60">
        <f t="shared" si="65"/>
        <v>136.90215000000001</v>
      </c>
      <c r="R869" s="60">
        <f t="shared" si="66"/>
        <v>57.36</v>
      </c>
      <c r="S869" s="60">
        <f t="shared" si="67"/>
        <v>79.542150000000007</v>
      </c>
      <c r="T869" s="65">
        <f t="shared" si="68"/>
        <v>0.58101461518318009</v>
      </c>
    </row>
    <row r="870" spans="1:20">
      <c r="A870" s="41">
        <f t="shared" si="69"/>
        <v>12</v>
      </c>
      <c r="B870" s="6" t="s">
        <v>1011</v>
      </c>
      <c r="C870" s="20">
        <v>45995</v>
      </c>
      <c r="D870" s="6" t="s">
        <v>113</v>
      </c>
      <c r="E870" s="6" t="s">
        <v>114</v>
      </c>
      <c r="F870" s="6" t="s">
        <v>97</v>
      </c>
      <c r="G870" s="6" t="s">
        <v>123</v>
      </c>
      <c r="H870" s="6" t="s">
        <v>106</v>
      </c>
      <c r="I870" s="6" t="s">
        <v>107</v>
      </c>
      <c r="J870" s="25">
        <v>1</v>
      </c>
      <c r="K870" s="21">
        <v>678.39</v>
      </c>
      <c r="L870" s="63">
        <v>0.15</v>
      </c>
      <c r="M870" s="21">
        <v>400.87</v>
      </c>
      <c r="N870" s="6" t="s">
        <v>94</v>
      </c>
      <c r="O870" s="60">
        <f>Vendas2025[[#This Row],[Quantidade]]*Vendas2025[[#This Row],[Preço_Unitário_R$]]</f>
        <v>678.39</v>
      </c>
      <c r="P870" s="60">
        <f>Vendas2025[[#This Row],[Receita_Bruta_R$]]*Vendas2025[[#This Row],[Desconto_pct]]</f>
        <v>101.7585</v>
      </c>
      <c r="Q870" s="60">
        <f t="shared" si="65"/>
        <v>576.63149999999996</v>
      </c>
      <c r="R870" s="60">
        <f t="shared" si="66"/>
        <v>400.87</v>
      </c>
      <c r="S870" s="60">
        <f t="shared" si="67"/>
        <v>175.76149999999996</v>
      </c>
      <c r="T870" s="65">
        <f t="shared" si="68"/>
        <v>0.30480731628431673</v>
      </c>
    </row>
    <row r="871" spans="1:20">
      <c r="A871" s="41">
        <f t="shared" si="69"/>
        <v>12</v>
      </c>
      <c r="B871" s="6" t="s">
        <v>1012</v>
      </c>
      <c r="C871" s="20">
        <v>45996</v>
      </c>
      <c r="D871" s="6" t="s">
        <v>88</v>
      </c>
      <c r="E871" s="6" t="s">
        <v>89</v>
      </c>
      <c r="F871" s="6" t="s">
        <v>122</v>
      </c>
      <c r="G871" s="6" t="s">
        <v>105</v>
      </c>
      <c r="H871" s="6" t="s">
        <v>99</v>
      </c>
      <c r="I871" s="6" t="s">
        <v>173</v>
      </c>
      <c r="J871" s="25">
        <v>1</v>
      </c>
      <c r="K871" s="21">
        <v>4157.05</v>
      </c>
      <c r="L871" s="63">
        <v>0.15</v>
      </c>
      <c r="M871" s="21">
        <v>3299.32</v>
      </c>
      <c r="N871" s="6" t="s">
        <v>94</v>
      </c>
      <c r="O871" s="60">
        <f>Vendas2025[[#This Row],[Quantidade]]*Vendas2025[[#This Row],[Preço_Unitário_R$]]</f>
        <v>4157.05</v>
      </c>
      <c r="P871" s="60">
        <f>Vendas2025[[#This Row],[Receita_Bruta_R$]]*Vendas2025[[#This Row],[Desconto_pct]]</f>
        <v>623.5575</v>
      </c>
      <c r="Q871" s="60">
        <f t="shared" si="65"/>
        <v>3533.4925000000003</v>
      </c>
      <c r="R871" s="60">
        <f t="shared" si="66"/>
        <v>3299.32</v>
      </c>
      <c r="S871" s="60">
        <f t="shared" si="67"/>
        <v>234.17250000000013</v>
      </c>
      <c r="T871" s="65">
        <f t="shared" si="68"/>
        <v>6.627225047173585E-2</v>
      </c>
    </row>
    <row r="872" spans="1:20">
      <c r="A872" s="41">
        <f t="shared" si="69"/>
        <v>12</v>
      </c>
      <c r="B872" s="6" t="s">
        <v>1013</v>
      </c>
      <c r="C872" s="20">
        <v>45996</v>
      </c>
      <c r="D872" s="6" t="s">
        <v>88</v>
      </c>
      <c r="E872" s="6" t="s">
        <v>89</v>
      </c>
      <c r="F872" s="6" t="s">
        <v>90</v>
      </c>
      <c r="G872" s="6" t="s">
        <v>160</v>
      </c>
      <c r="H872" s="6" t="s">
        <v>92</v>
      </c>
      <c r="I872" s="6" t="s">
        <v>134</v>
      </c>
      <c r="J872" s="25">
        <v>1</v>
      </c>
      <c r="K872" s="21">
        <v>428.38</v>
      </c>
      <c r="L872" s="63">
        <v>0.25</v>
      </c>
      <c r="M872" s="21">
        <v>244.46</v>
      </c>
      <c r="N872" s="6" t="s">
        <v>94</v>
      </c>
      <c r="O872" s="60">
        <f>Vendas2025[[#This Row],[Quantidade]]*Vendas2025[[#This Row],[Preço_Unitário_R$]]</f>
        <v>428.38</v>
      </c>
      <c r="P872" s="60">
        <f>Vendas2025[[#This Row],[Receita_Bruta_R$]]*Vendas2025[[#This Row],[Desconto_pct]]</f>
        <v>107.095</v>
      </c>
      <c r="Q872" s="60">
        <f t="shared" si="65"/>
        <v>321.28499999999997</v>
      </c>
      <c r="R872" s="60">
        <f t="shared" si="66"/>
        <v>244.46</v>
      </c>
      <c r="S872" s="60">
        <f t="shared" si="67"/>
        <v>76.82499999999996</v>
      </c>
      <c r="T872" s="65">
        <f t="shared" si="68"/>
        <v>0.23911791711408864</v>
      </c>
    </row>
    <row r="873" spans="1:20">
      <c r="A873" s="41">
        <f t="shared" si="69"/>
        <v>12</v>
      </c>
      <c r="B873" s="6" t="s">
        <v>1014</v>
      </c>
      <c r="C873" s="20">
        <v>45996</v>
      </c>
      <c r="D873" s="6" t="s">
        <v>102</v>
      </c>
      <c r="E873" s="6" t="s">
        <v>103</v>
      </c>
      <c r="F873" s="6" t="s">
        <v>122</v>
      </c>
      <c r="G873" s="6" t="s">
        <v>98</v>
      </c>
      <c r="H873" s="6" t="s">
        <v>119</v>
      </c>
      <c r="I873" s="6" t="s">
        <v>138</v>
      </c>
      <c r="J873" s="25">
        <v>1</v>
      </c>
      <c r="K873" s="21">
        <v>143.31</v>
      </c>
      <c r="L873" s="63">
        <v>0.1</v>
      </c>
      <c r="M873" s="21">
        <v>57.12</v>
      </c>
      <c r="N873" s="6" t="s">
        <v>94</v>
      </c>
      <c r="O873" s="60">
        <f>Vendas2025[[#This Row],[Quantidade]]*Vendas2025[[#This Row],[Preço_Unitário_R$]]</f>
        <v>143.31</v>
      </c>
      <c r="P873" s="60">
        <f>Vendas2025[[#This Row],[Receita_Bruta_R$]]*Vendas2025[[#This Row],[Desconto_pct]]</f>
        <v>14.331000000000001</v>
      </c>
      <c r="Q873" s="60">
        <f t="shared" si="65"/>
        <v>128.97900000000001</v>
      </c>
      <c r="R873" s="60">
        <f t="shared" si="66"/>
        <v>57.12</v>
      </c>
      <c r="S873" s="60">
        <f t="shared" si="67"/>
        <v>71.859000000000009</v>
      </c>
      <c r="T873" s="65">
        <f t="shared" si="68"/>
        <v>0.55713720838276004</v>
      </c>
    </row>
    <row r="874" spans="1:20">
      <c r="A874" s="41">
        <f t="shared" si="69"/>
        <v>12</v>
      </c>
      <c r="B874" s="6" t="s">
        <v>1015</v>
      </c>
      <c r="C874" s="20">
        <v>45997</v>
      </c>
      <c r="D874" s="6" t="s">
        <v>102</v>
      </c>
      <c r="E874" s="6" t="s">
        <v>103</v>
      </c>
      <c r="F874" s="6" t="s">
        <v>122</v>
      </c>
      <c r="G874" s="6" t="s">
        <v>123</v>
      </c>
      <c r="H874" s="6" t="s">
        <v>99</v>
      </c>
      <c r="I874" s="6" t="s">
        <v>173</v>
      </c>
      <c r="J874" s="25">
        <v>1</v>
      </c>
      <c r="K874" s="21">
        <v>3685.38</v>
      </c>
      <c r="L874" s="63">
        <v>0.03</v>
      </c>
      <c r="M874" s="21">
        <v>2966.63</v>
      </c>
      <c r="N874" s="6" t="s">
        <v>94</v>
      </c>
      <c r="O874" s="60">
        <f>Vendas2025[[#This Row],[Quantidade]]*Vendas2025[[#This Row],[Preço_Unitário_R$]]</f>
        <v>3685.38</v>
      </c>
      <c r="P874" s="60">
        <f>Vendas2025[[#This Row],[Receita_Bruta_R$]]*Vendas2025[[#This Row],[Desconto_pct]]</f>
        <v>110.56140000000001</v>
      </c>
      <c r="Q874" s="60">
        <f t="shared" si="65"/>
        <v>3574.8186000000001</v>
      </c>
      <c r="R874" s="60">
        <f t="shared" si="66"/>
        <v>2966.63</v>
      </c>
      <c r="S874" s="60">
        <f t="shared" si="67"/>
        <v>608.18859999999995</v>
      </c>
      <c r="T874" s="65">
        <f t="shared" si="68"/>
        <v>0.17013131799191153</v>
      </c>
    </row>
    <row r="875" spans="1:20">
      <c r="A875" s="41">
        <f t="shared" si="69"/>
        <v>12</v>
      </c>
      <c r="B875" s="6" t="s">
        <v>1016</v>
      </c>
      <c r="C875" s="20">
        <v>45997</v>
      </c>
      <c r="D875" s="6" t="s">
        <v>113</v>
      </c>
      <c r="E875" s="6" t="s">
        <v>114</v>
      </c>
      <c r="F875" s="6" t="s">
        <v>90</v>
      </c>
      <c r="G875" s="6" t="s">
        <v>91</v>
      </c>
      <c r="H875" s="6" t="s">
        <v>106</v>
      </c>
      <c r="I875" s="6" t="s">
        <v>170</v>
      </c>
      <c r="J875" s="25">
        <v>1</v>
      </c>
      <c r="K875" s="21">
        <v>548.91</v>
      </c>
      <c r="L875" s="63">
        <v>0.05</v>
      </c>
      <c r="M875" s="21">
        <v>280.10000000000002</v>
      </c>
      <c r="N875" s="6" t="s">
        <v>94</v>
      </c>
      <c r="O875" s="60">
        <f>Vendas2025[[#This Row],[Quantidade]]*Vendas2025[[#This Row],[Preço_Unitário_R$]]</f>
        <v>548.91</v>
      </c>
      <c r="P875" s="60">
        <f>Vendas2025[[#This Row],[Receita_Bruta_R$]]*Vendas2025[[#This Row],[Desconto_pct]]</f>
        <v>27.445499999999999</v>
      </c>
      <c r="Q875" s="60">
        <f t="shared" si="65"/>
        <v>521.46449999999993</v>
      </c>
      <c r="R875" s="60">
        <f t="shared" si="66"/>
        <v>280.10000000000002</v>
      </c>
      <c r="S875" s="60">
        <f t="shared" si="67"/>
        <v>241.36449999999991</v>
      </c>
      <c r="T875" s="65">
        <f t="shared" si="68"/>
        <v>0.46285892903543757</v>
      </c>
    </row>
    <row r="876" spans="1:20">
      <c r="A876" s="41">
        <f t="shared" si="69"/>
        <v>12</v>
      </c>
      <c r="B876" s="6" t="s">
        <v>1017</v>
      </c>
      <c r="C876" s="20">
        <v>45997</v>
      </c>
      <c r="D876" s="6" t="s">
        <v>118</v>
      </c>
      <c r="E876" s="6" t="s">
        <v>114</v>
      </c>
      <c r="F876" s="6" t="s">
        <v>104</v>
      </c>
      <c r="G876" s="6" t="s">
        <v>160</v>
      </c>
      <c r="H876" s="6" t="s">
        <v>99</v>
      </c>
      <c r="I876" s="6" t="s">
        <v>158</v>
      </c>
      <c r="J876" s="25">
        <v>3</v>
      </c>
      <c r="K876" s="21">
        <v>203.79</v>
      </c>
      <c r="L876" s="63">
        <v>0.1</v>
      </c>
      <c r="M876" s="21">
        <v>94.46</v>
      </c>
      <c r="N876" s="6" t="s">
        <v>94</v>
      </c>
      <c r="O876" s="60">
        <f>Vendas2025[[#This Row],[Quantidade]]*Vendas2025[[#This Row],[Preço_Unitário_R$]]</f>
        <v>611.37</v>
      </c>
      <c r="P876" s="60">
        <f>Vendas2025[[#This Row],[Receita_Bruta_R$]]*Vendas2025[[#This Row],[Desconto_pct]]</f>
        <v>61.137</v>
      </c>
      <c r="Q876" s="60">
        <f t="shared" si="65"/>
        <v>550.23299999999995</v>
      </c>
      <c r="R876" s="60">
        <f t="shared" si="66"/>
        <v>283.38</v>
      </c>
      <c r="S876" s="60">
        <f t="shared" si="67"/>
        <v>266.85299999999995</v>
      </c>
      <c r="T876" s="65">
        <f t="shared" si="68"/>
        <v>0.48498181679397634</v>
      </c>
    </row>
    <row r="877" spans="1:20">
      <c r="A877" s="41">
        <f t="shared" si="69"/>
        <v>12</v>
      </c>
      <c r="B877" s="6" t="s">
        <v>1018</v>
      </c>
      <c r="C877" s="20">
        <v>45997</v>
      </c>
      <c r="D877" s="6" t="s">
        <v>132</v>
      </c>
      <c r="E877" s="6" t="s">
        <v>89</v>
      </c>
      <c r="F877" s="6" t="s">
        <v>97</v>
      </c>
      <c r="G877" s="6" t="s">
        <v>154</v>
      </c>
      <c r="H877" s="6" t="s">
        <v>99</v>
      </c>
      <c r="I877" s="6" t="s">
        <v>163</v>
      </c>
      <c r="J877" s="25">
        <v>1</v>
      </c>
      <c r="K877" s="21">
        <v>1385.5</v>
      </c>
      <c r="L877" s="63">
        <v>0.08</v>
      </c>
      <c r="M877" s="21">
        <v>938.61</v>
      </c>
      <c r="N877" s="6" t="s">
        <v>94</v>
      </c>
      <c r="O877" s="60">
        <f>Vendas2025[[#This Row],[Quantidade]]*Vendas2025[[#This Row],[Preço_Unitário_R$]]</f>
        <v>1385.5</v>
      </c>
      <c r="P877" s="60">
        <f>Vendas2025[[#This Row],[Receita_Bruta_R$]]*Vendas2025[[#This Row],[Desconto_pct]]</f>
        <v>110.84</v>
      </c>
      <c r="Q877" s="60">
        <f t="shared" si="65"/>
        <v>1274.6600000000001</v>
      </c>
      <c r="R877" s="60">
        <f t="shared" si="66"/>
        <v>938.61</v>
      </c>
      <c r="S877" s="60">
        <f t="shared" si="67"/>
        <v>336.05000000000007</v>
      </c>
      <c r="T877" s="65">
        <f t="shared" si="68"/>
        <v>0.26363893116595799</v>
      </c>
    </row>
    <row r="878" spans="1:20">
      <c r="A878" s="41">
        <f t="shared" si="69"/>
        <v>12</v>
      </c>
      <c r="B878" s="6" t="s">
        <v>1019</v>
      </c>
      <c r="C878" s="20">
        <v>45998</v>
      </c>
      <c r="D878" s="6" t="s">
        <v>102</v>
      </c>
      <c r="E878" s="6" t="s">
        <v>103</v>
      </c>
      <c r="F878" s="6" t="s">
        <v>97</v>
      </c>
      <c r="G878" s="6" t="s">
        <v>160</v>
      </c>
      <c r="H878" s="6" t="s">
        <v>92</v>
      </c>
      <c r="I878" s="6" t="s">
        <v>144</v>
      </c>
      <c r="J878" s="25">
        <v>1</v>
      </c>
      <c r="K878" s="21">
        <v>140.93</v>
      </c>
      <c r="L878" s="63">
        <v>0</v>
      </c>
      <c r="M878" s="21">
        <v>50.6</v>
      </c>
      <c r="N878" s="6" t="s">
        <v>94</v>
      </c>
      <c r="O878" s="60">
        <f>Vendas2025[[#This Row],[Quantidade]]*Vendas2025[[#This Row],[Preço_Unitário_R$]]</f>
        <v>140.93</v>
      </c>
      <c r="P878" s="60">
        <f>Vendas2025[[#This Row],[Receita_Bruta_R$]]*Vendas2025[[#This Row],[Desconto_pct]]</f>
        <v>0</v>
      </c>
      <c r="Q878" s="60">
        <f t="shared" si="65"/>
        <v>140.93</v>
      </c>
      <c r="R878" s="60">
        <f t="shared" si="66"/>
        <v>50.6</v>
      </c>
      <c r="S878" s="60">
        <f t="shared" si="67"/>
        <v>90.330000000000013</v>
      </c>
      <c r="T878" s="65">
        <f t="shared" si="68"/>
        <v>0.64095650322855324</v>
      </c>
    </row>
    <row r="879" spans="1:20">
      <c r="A879" s="41">
        <f t="shared" si="69"/>
        <v>12</v>
      </c>
      <c r="B879" s="6" t="s">
        <v>1020</v>
      </c>
      <c r="C879" s="20">
        <v>45998</v>
      </c>
      <c r="D879" s="6" t="s">
        <v>96</v>
      </c>
      <c r="E879" s="6" t="s">
        <v>89</v>
      </c>
      <c r="F879" s="6" t="s">
        <v>90</v>
      </c>
      <c r="G879" s="6" t="s">
        <v>91</v>
      </c>
      <c r="H879" s="6" t="s">
        <v>99</v>
      </c>
      <c r="I879" s="6" t="s">
        <v>100</v>
      </c>
      <c r="J879" s="25">
        <v>1</v>
      </c>
      <c r="K879" s="21">
        <v>419.25</v>
      </c>
      <c r="L879" s="63">
        <v>0.1</v>
      </c>
      <c r="M879" s="21">
        <v>245.89</v>
      </c>
      <c r="N879" s="6" t="s">
        <v>94</v>
      </c>
      <c r="O879" s="60">
        <f>Vendas2025[[#This Row],[Quantidade]]*Vendas2025[[#This Row],[Preço_Unitário_R$]]</f>
        <v>419.25</v>
      </c>
      <c r="P879" s="60">
        <f>Vendas2025[[#This Row],[Receita_Bruta_R$]]*Vendas2025[[#This Row],[Desconto_pct]]</f>
        <v>41.925000000000004</v>
      </c>
      <c r="Q879" s="60">
        <f t="shared" si="65"/>
        <v>377.32499999999999</v>
      </c>
      <c r="R879" s="60">
        <f t="shared" si="66"/>
        <v>245.89</v>
      </c>
      <c r="S879" s="60">
        <f t="shared" si="67"/>
        <v>131.435</v>
      </c>
      <c r="T879" s="65">
        <f t="shared" si="68"/>
        <v>0.34833366461273441</v>
      </c>
    </row>
    <row r="880" spans="1:20">
      <c r="A880" s="41">
        <f t="shared" si="69"/>
        <v>12</v>
      </c>
      <c r="B880" s="6" t="s">
        <v>1021</v>
      </c>
      <c r="C880" s="20">
        <v>45999</v>
      </c>
      <c r="D880" s="6" t="s">
        <v>129</v>
      </c>
      <c r="E880" s="6" t="s">
        <v>103</v>
      </c>
      <c r="F880" s="6" t="s">
        <v>90</v>
      </c>
      <c r="G880" s="6" t="s">
        <v>177</v>
      </c>
      <c r="H880" s="6" t="s">
        <v>92</v>
      </c>
      <c r="I880" s="6" t="s">
        <v>93</v>
      </c>
      <c r="J880" s="25">
        <v>1</v>
      </c>
      <c r="K880" s="21">
        <v>220.35</v>
      </c>
      <c r="L880" s="63">
        <v>0.25</v>
      </c>
      <c r="M880" s="21">
        <v>92.3</v>
      </c>
      <c r="N880" s="6" t="s">
        <v>94</v>
      </c>
      <c r="O880" s="60">
        <f>Vendas2025[[#This Row],[Quantidade]]*Vendas2025[[#This Row],[Preço_Unitário_R$]]</f>
        <v>220.35</v>
      </c>
      <c r="P880" s="60">
        <f>Vendas2025[[#This Row],[Receita_Bruta_R$]]*Vendas2025[[#This Row],[Desconto_pct]]</f>
        <v>55.087499999999999</v>
      </c>
      <c r="Q880" s="60">
        <f t="shared" si="65"/>
        <v>165.26249999999999</v>
      </c>
      <c r="R880" s="60">
        <f t="shared" si="66"/>
        <v>92.3</v>
      </c>
      <c r="S880" s="60">
        <f t="shared" si="67"/>
        <v>72.962499999999991</v>
      </c>
      <c r="T880" s="65">
        <f t="shared" si="68"/>
        <v>0.4414945919370698</v>
      </c>
    </row>
    <row r="881" spans="1:20">
      <c r="A881" s="41">
        <f t="shared" si="69"/>
        <v>12</v>
      </c>
      <c r="B881" s="6" t="s">
        <v>1022</v>
      </c>
      <c r="C881" s="20">
        <v>45999</v>
      </c>
      <c r="D881" s="6" t="s">
        <v>136</v>
      </c>
      <c r="E881" s="6" t="s">
        <v>137</v>
      </c>
      <c r="F881" s="6" t="s">
        <v>122</v>
      </c>
      <c r="G881" s="6" t="s">
        <v>123</v>
      </c>
      <c r="H881" s="6" t="s">
        <v>124</v>
      </c>
      <c r="I881" s="6" t="s">
        <v>125</v>
      </c>
      <c r="J881" s="25">
        <v>1</v>
      </c>
      <c r="K881" s="21">
        <v>720.75</v>
      </c>
      <c r="L881" s="63">
        <v>0.03</v>
      </c>
      <c r="M881" s="21">
        <v>353.4</v>
      </c>
      <c r="N881" s="6" t="s">
        <v>94</v>
      </c>
      <c r="O881" s="60">
        <f>Vendas2025[[#This Row],[Quantidade]]*Vendas2025[[#This Row],[Preço_Unitário_R$]]</f>
        <v>720.75</v>
      </c>
      <c r="P881" s="60">
        <f>Vendas2025[[#This Row],[Receita_Bruta_R$]]*Vendas2025[[#This Row],[Desconto_pct]]</f>
        <v>21.622499999999999</v>
      </c>
      <c r="Q881" s="60">
        <f t="shared" si="65"/>
        <v>699.12750000000005</v>
      </c>
      <c r="R881" s="60">
        <f t="shared" si="66"/>
        <v>353.4</v>
      </c>
      <c r="S881" s="60">
        <f t="shared" si="67"/>
        <v>345.72750000000008</v>
      </c>
      <c r="T881" s="65">
        <f t="shared" si="68"/>
        <v>0.49451280345859666</v>
      </c>
    </row>
    <row r="882" spans="1:20">
      <c r="A882" s="41">
        <f t="shared" si="69"/>
        <v>12</v>
      </c>
      <c r="B882" s="6" t="s">
        <v>1023</v>
      </c>
      <c r="C882" s="20">
        <v>45999</v>
      </c>
      <c r="D882" s="6" t="s">
        <v>118</v>
      </c>
      <c r="E882" s="6" t="s">
        <v>114</v>
      </c>
      <c r="F882" s="6" t="s">
        <v>122</v>
      </c>
      <c r="G882" s="6" t="s">
        <v>91</v>
      </c>
      <c r="H882" s="6" t="s">
        <v>92</v>
      </c>
      <c r="I882" s="6" t="s">
        <v>93</v>
      </c>
      <c r="J882" s="25">
        <v>1</v>
      </c>
      <c r="K882" s="21">
        <v>230.61</v>
      </c>
      <c r="L882" s="63">
        <v>0.1</v>
      </c>
      <c r="M882" s="21">
        <v>98.21</v>
      </c>
      <c r="N882" s="6" t="s">
        <v>94</v>
      </c>
      <c r="O882" s="60">
        <f>Vendas2025[[#This Row],[Quantidade]]*Vendas2025[[#This Row],[Preço_Unitário_R$]]</f>
        <v>230.61</v>
      </c>
      <c r="P882" s="60">
        <f>Vendas2025[[#This Row],[Receita_Bruta_R$]]*Vendas2025[[#This Row],[Desconto_pct]]</f>
        <v>23.061000000000003</v>
      </c>
      <c r="Q882" s="60">
        <f t="shared" si="65"/>
        <v>207.54900000000001</v>
      </c>
      <c r="R882" s="60">
        <f t="shared" si="66"/>
        <v>98.21</v>
      </c>
      <c r="S882" s="60">
        <f t="shared" si="67"/>
        <v>109.33900000000001</v>
      </c>
      <c r="T882" s="65">
        <f t="shared" si="68"/>
        <v>0.52681053630708896</v>
      </c>
    </row>
    <row r="883" spans="1:20">
      <c r="A883" s="41">
        <f t="shared" si="69"/>
        <v>12</v>
      </c>
      <c r="B883" s="6" t="s">
        <v>1024</v>
      </c>
      <c r="C883" s="20">
        <v>45999</v>
      </c>
      <c r="D883" s="6" t="s">
        <v>102</v>
      </c>
      <c r="E883" s="6" t="s">
        <v>103</v>
      </c>
      <c r="F883" s="6" t="s">
        <v>90</v>
      </c>
      <c r="G883" s="6" t="s">
        <v>91</v>
      </c>
      <c r="H883" s="6" t="s">
        <v>106</v>
      </c>
      <c r="I883" s="6" t="s">
        <v>107</v>
      </c>
      <c r="J883" s="25">
        <v>1</v>
      </c>
      <c r="K883" s="21">
        <v>658.13</v>
      </c>
      <c r="L883" s="63">
        <v>0.25</v>
      </c>
      <c r="M883" s="21">
        <v>374.14</v>
      </c>
      <c r="N883" s="6" t="s">
        <v>94</v>
      </c>
      <c r="O883" s="60">
        <f>Vendas2025[[#This Row],[Quantidade]]*Vendas2025[[#This Row],[Preço_Unitário_R$]]</f>
        <v>658.13</v>
      </c>
      <c r="P883" s="60">
        <f>Vendas2025[[#This Row],[Receita_Bruta_R$]]*Vendas2025[[#This Row],[Desconto_pct]]</f>
        <v>164.5325</v>
      </c>
      <c r="Q883" s="60">
        <f t="shared" si="65"/>
        <v>493.59749999999997</v>
      </c>
      <c r="R883" s="60">
        <f t="shared" si="66"/>
        <v>374.14</v>
      </c>
      <c r="S883" s="60">
        <f t="shared" si="67"/>
        <v>119.45749999999998</v>
      </c>
      <c r="T883" s="65">
        <f t="shared" si="68"/>
        <v>0.24201398913082012</v>
      </c>
    </row>
    <row r="884" spans="1:20">
      <c r="A884" s="41">
        <f t="shared" si="69"/>
        <v>12</v>
      </c>
      <c r="B884" s="6" t="s">
        <v>1025</v>
      </c>
      <c r="C884" s="20">
        <v>45999</v>
      </c>
      <c r="D884" s="6" t="s">
        <v>102</v>
      </c>
      <c r="E884" s="6" t="s">
        <v>103</v>
      </c>
      <c r="F884" s="6" t="s">
        <v>122</v>
      </c>
      <c r="G884" s="6" t="s">
        <v>140</v>
      </c>
      <c r="H884" s="6" t="s">
        <v>92</v>
      </c>
      <c r="I884" s="6" t="s">
        <v>134</v>
      </c>
      <c r="J884" s="25">
        <v>3</v>
      </c>
      <c r="K884" s="21">
        <v>408.51</v>
      </c>
      <c r="L884" s="63">
        <v>0.2</v>
      </c>
      <c r="M884" s="21">
        <v>223.77</v>
      </c>
      <c r="N884" s="6" t="s">
        <v>94</v>
      </c>
      <c r="O884" s="60">
        <f>Vendas2025[[#This Row],[Quantidade]]*Vendas2025[[#This Row],[Preço_Unitário_R$]]</f>
        <v>1225.53</v>
      </c>
      <c r="P884" s="60">
        <f>Vendas2025[[#This Row],[Receita_Bruta_R$]]*Vendas2025[[#This Row],[Desconto_pct]]</f>
        <v>245.10599999999999</v>
      </c>
      <c r="Q884" s="60">
        <f t="shared" si="65"/>
        <v>980.42399999999998</v>
      </c>
      <c r="R884" s="60">
        <f t="shared" si="66"/>
        <v>671.31000000000006</v>
      </c>
      <c r="S884" s="60">
        <f t="shared" si="67"/>
        <v>309.11399999999992</v>
      </c>
      <c r="T884" s="65">
        <f t="shared" si="68"/>
        <v>0.31528603950943668</v>
      </c>
    </row>
    <row r="885" spans="1:20">
      <c r="A885" s="41">
        <f t="shared" si="69"/>
        <v>12</v>
      </c>
      <c r="B885" s="6" t="s">
        <v>1026</v>
      </c>
      <c r="C885" s="20">
        <v>46000</v>
      </c>
      <c r="D885" s="6" t="s">
        <v>132</v>
      </c>
      <c r="E885" s="6" t="s">
        <v>89</v>
      </c>
      <c r="F885" s="6" t="s">
        <v>97</v>
      </c>
      <c r="G885" s="6" t="s">
        <v>140</v>
      </c>
      <c r="H885" s="6" t="s">
        <v>119</v>
      </c>
      <c r="I885" s="6" t="s">
        <v>138</v>
      </c>
      <c r="J885" s="25">
        <v>2</v>
      </c>
      <c r="K885" s="21">
        <v>140.74</v>
      </c>
      <c r="L885" s="63">
        <v>0.1</v>
      </c>
      <c r="M885" s="21">
        <v>56.81</v>
      </c>
      <c r="N885" s="6" t="s">
        <v>94</v>
      </c>
      <c r="O885" s="60">
        <f>Vendas2025[[#This Row],[Quantidade]]*Vendas2025[[#This Row],[Preço_Unitário_R$]]</f>
        <v>281.48</v>
      </c>
      <c r="P885" s="60">
        <f>Vendas2025[[#This Row],[Receita_Bruta_R$]]*Vendas2025[[#This Row],[Desconto_pct]]</f>
        <v>28.148000000000003</v>
      </c>
      <c r="Q885" s="60">
        <f t="shared" si="65"/>
        <v>253.33200000000002</v>
      </c>
      <c r="R885" s="60">
        <f t="shared" si="66"/>
        <v>113.62</v>
      </c>
      <c r="S885" s="60">
        <f t="shared" si="67"/>
        <v>139.71200000000002</v>
      </c>
      <c r="T885" s="65">
        <f t="shared" si="68"/>
        <v>0.55149763946126029</v>
      </c>
    </row>
    <row r="886" spans="1:20">
      <c r="A886" s="41">
        <f t="shared" si="69"/>
        <v>12</v>
      </c>
      <c r="B886" s="6" t="s">
        <v>1027</v>
      </c>
      <c r="C886" s="20">
        <v>46000</v>
      </c>
      <c r="D886" s="6" t="s">
        <v>129</v>
      </c>
      <c r="E886" s="6" t="s">
        <v>103</v>
      </c>
      <c r="F886" s="6" t="s">
        <v>97</v>
      </c>
      <c r="G886" s="6" t="s">
        <v>115</v>
      </c>
      <c r="H886" s="6" t="s">
        <v>106</v>
      </c>
      <c r="I886" s="6" t="s">
        <v>116</v>
      </c>
      <c r="J886" s="25">
        <v>2</v>
      </c>
      <c r="K886" s="21">
        <v>462.77</v>
      </c>
      <c r="L886" s="63">
        <v>0</v>
      </c>
      <c r="M886" s="21">
        <v>257.08999999999997</v>
      </c>
      <c r="N886" s="6" t="s">
        <v>94</v>
      </c>
      <c r="O886" s="60">
        <f>Vendas2025[[#This Row],[Quantidade]]*Vendas2025[[#This Row],[Preço_Unitário_R$]]</f>
        <v>925.54</v>
      </c>
      <c r="P886" s="60">
        <f>Vendas2025[[#This Row],[Receita_Bruta_R$]]*Vendas2025[[#This Row],[Desconto_pct]]</f>
        <v>0</v>
      </c>
      <c r="Q886" s="60">
        <f t="shared" si="65"/>
        <v>925.54</v>
      </c>
      <c r="R886" s="60">
        <f t="shared" si="66"/>
        <v>514.17999999999995</v>
      </c>
      <c r="S886" s="60">
        <f t="shared" si="67"/>
        <v>411.36</v>
      </c>
      <c r="T886" s="65">
        <f t="shared" si="68"/>
        <v>0.44445404844739289</v>
      </c>
    </row>
    <row r="887" spans="1:20">
      <c r="A887" s="41">
        <f t="shared" si="69"/>
        <v>12</v>
      </c>
      <c r="B887" s="6" t="s">
        <v>1028</v>
      </c>
      <c r="C887" s="20">
        <v>46000</v>
      </c>
      <c r="D887" s="6" t="s">
        <v>136</v>
      </c>
      <c r="E887" s="6" t="s">
        <v>137</v>
      </c>
      <c r="F887" s="6" t="s">
        <v>97</v>
      </c>
      <c r="G887" s="6" t="s">
        <v>127</v>
      </c>
      <c r="H887" s="6" t="s">
        <v>92</v>
      </c>
      <c r="I887" s="6" t="s">
        <v>144</v>
      </c>
      <c r="J887" s="25">
        <v>2</v>
      </c>
      <c r="K887" s="21">
        <v>156.05000000000001</v>
      </c>
      <c r="L887" s="63">
        <v>0</v>
      </c>
      <c r="M887" s="21">
        <v>55.96</v>
      </c>
      <c r="N887" s="6" t="s">
        <v>94</v>
      </c>
      <c r="O887" s="60">
        <f>Vendas2025[[#This Row],[Quantidade]]*Vendas2025[[#This Row],[Preço_Unitário_R$]]</f>
        <v>312.10000000000002</v>
      </c>
      <c r="P887" s="60">
        <f>Vendas2025[[#This Row],[Receita_Bruta_R$]]*Vendas2025[[#This Row],[Desconto_pct]]</f>
        <v>0</v>
      </c>
      <c r="Q887" s="60">
        <f t="shared" si="65"/>
        <v>312.10000000000002</v>
      </c>
      <c r="R887" s="60">
        <f t="shared" si="66"/>
        <v>111.92</v>
      </c>
      <c r="S887" s="60">
        <f t="shared" si="67"/>
        <v>200.18</v>
      </c>
      <c r="T887" s="65">
        <f t="shared" si="68"/>
        <v>0.64139698814482538</v>
      </c>
    </row>
    <row r="888" spans="1:20">
      <c r="A888" s="41">
        <f t="shared" si="69"/>
        <v>12</v>
      </c>
      <c r="B888" s="6" t="s">
        <v>1029</v>
      </c>
      <c r="C888" s="20">
        <v>46001</v>
      </c>
      <c r="D888" s="6" t="s">
        <v>102</v>
      </c>
      <c r="E888" s="6" t="s">
        <v>103</v>
      </c>
      <c r="F888" s="6" t="s">
        <v>97</v>
      </c>
      <c r="G888" s="6" t="s">
        <v>98</v>
      </c>
      <c r="H888" s="6" t="s">
        <v>92</v>
      </c>
      <c r="I888" s="6" t="s">
        <v>144</v>
      </c>
      <c r="J888" s="25">
        <v>1</v>
      </c>
      <c r="K888" s="21">
        <v>142.85</v>
      </c>
      <c r="L888" s="63">
        <v>0.15</v>
      </c>
      <c r="M888" s="21">
        <v>49</v>
      </c>
      <c r="N888" s="6" t="s">
        <v>94</v>
      </c>
      <c r="O888" s="60">
        <f>Vendas2025[[#This Row],[Quantidade]]*Vendas2025[[#This Row],[Preço_Unitário_R$]]</f>
        <v>142.85</v>
      </c>
      <c r="P888" s="60">
        <f>Vendas2025[[#This Row],[Receita_Bruta_R$]]*Vendas2025[[#This Row],[Desconto_pct]]</f>
        <v>21.427499999999998</v>
      </c>
      <c r="Q888" s="60">
        <f t="shared" si="65"/>
        <v>121.4225</v>
      </c>
      <c r="R888" s="60">
        <f t="shared" si="66"/>
        <v>49</v>
      </c>
      <c r="S888" s="60">
        <f t="shared" si="67"/>
        <v>72.422499999999999</v>
      </c>
      <c r="T888" s="65">
        <f t="shared" si="68"/>
        <v>0.59645041075583194</v>
      </c>
    </row>
    <row r="889" spans="1:20">
      <c r="A889" s="41">
        <f t="shared" si="69"/>
        <v>12</v>
      </c>
      <c r="B889" s="6" t="s">
        <v>1030</v>
      </c>
      <c r="C889" s="20">
        <v>46001</v>
      </c>
      <c r="D889" s="6" t="s">
        <v>118</v>
      </c>
      <c r="E889" s="6" t="s">
        <v>114</v>
      </c>
      <c r="F889" s="6" t="s">
        <v>122</v>
      </c>
      <c r="G889" s="6" t="s">
        <v>127</v>
      </c>
      <c r="H889" s="6" t="s">
        <v>119</v>
      </c>
      <c r="I889" s="6" t="s">
        <v>138</v>
      </c>
      <c r="J889" s="25">
        <v>2</v>
      </c>
      <c r="K889" s="21">
        <v>142.07</v>
      </c>
      <c r="L889" s="63">
        <v>0.05</v>
      </c>
      <c r="M889" s="21">
        <v>54.58</v>
      </c>
      <c r="N889" s="6" t="s">
        <v>94</v>
      </c>
      <c r="O889" s="60">
        <f>Vendas2025[[#This Row],[Quantidade]]*Vendas2025[[#This Row],[Preço_Unitário_R$]]</f>
        <v>284.14</v>
      </c>
      <c r="P889" s="60">
        <f>Vendas2025[[#This Row],[Receita_Bruta_R$]]*Vendas2025[[#This Row],[Desconto_pct]]</f>
        <v>14.207000000000001</v>
      </c>
      <c r="Q889" s="60">
        <f t="shared" si="65"/>
        <v>269.93299999999999</v>
      </c>
      <c r="R889" s="60">
        <f t="shared" si="66"/>
        <v>109.16</v>
      </c>
      <c r="S889" s="60">
        <f t="shared" si="67"/>
        <v>160.773</v>
      </c>
      <c r="T889" s="65">
        <f t="shared" si="68"/>
        <v>0.59560335342473869</v>
      </c>
    </row>
    <row r="890" spans="1:20">
      <c r="A890" s="41">
        <f t="shared" si="69"/>
        <v>12</v>
      </c>
      <c r="B890" s="6" t="s">
        <v>1031</v>
      </c>
      <c r="C890" s="20">
        <v>46001</v>
      </c>
      <c r="D890" s="6" t="s">
        <v>136</v>
      </c>
      <c r="E890" s="6" t="s">
        <v>137</v>
      </c>
      <c r="F890" s="6" t="s">
        <v>97</v>
      </c>
      <c r="G890" s="6" t="s">
        <v>105</v>
      </c>
      <c r="H890" s="6" t="s">
        <v>124</v>
      </c>
      <c r="I890" s="6" t="s">
        <v>193</v>
      </c>
      <c r="J890" s="25">
        <v>1</v>
      </c>
      <c r="K890" s="21">
        <v>394.27</v>
      </c>
      <c r="L890" s="63">
        <v>0</v>
      </c>
      <c r="M890" s="21">
        <v>175.74</v>
      </c>
      <c r="N890" s="6" t="s">
        <v>94</v>
      </c>
      <c r="O890" s="60">
        <f>Vendas2025[[#This Row],[Quantidade]]*Vendas2025[[#This Row],[Preço_Unitário_R$]]</f>
        <v>394.27</v>
      </c>
      <c r="P890" s="60">
        <f>Vendas2025[[#This Row],[Receita_Bruta_R$]]*Vendas2025[[#This Row],[Desconto_pct]]</f>
        <v>0</v>
      </c>
      <c r="Q890" s="60">
        <f t="shared" si="65"/>
        <v>394.27</v>
      </c>
      <c r="R890" s="60">
        <f t="shared" si="66"/>
        <v>175.74</v>
      </c>
      <c r="S890" s="60">
        <f t="shared" si="67"/>
        <v>218.52999999999997</v>
      </c>
      <c r="T890" s="65">
        <f t="shared" si="68"/>
        <v>0.55426484388870567</v>
      </c>
    </row>
    <row r="891" spans="1:20">
      <c r="A891" s="41">
        <f t="shared" si="69"/>
        <v>12</v>
      </c>
      <c r="B891" s="6" t="s">
        <v>1032</v>
      </c>
      <c r="C891" s="20">
        <v>46001</v>
      </c>
      <c r="D891" s="6" t="s">
        <v>113</v>
      </c>
      <c r="E891" s="6" t="s">
        <v>114</v>
      </c>
      <c r="F891" s="6" t="s">
        <v>97</v>
      </c>
      <c r="G891" s="6" t="s">
        <v>154</v>
      </c>
      <c r="H891" s="6" t="s">
        <v>99</v>
      </c>
      <c r="I891" s="6" t="s">
        <v>163</v>
      </c>
      <c r="J891" s="25">
        <v>1</v>
      </c>
      <c r="K891" s="21">
        <v>1268.27</v>
      </c>
      <c r="L891" s="63">
        <v>0.10500000000000001</v>
      </c>
      <c r="M891" s="21">
        <v>867.96</v>
      </c>
      <c r="N891" s="6" t="s">
        <v>94</v>
      </c>
      <c r="O891" s="60">
        <f>Vendas2025[[#This Row],[Quantidade]]*Vendas2025[[#This Row],[Preço_Unitário_R$]]</f>
        <v>1268.27</v>
      </c>
      <c r="P891" s="60">
        <f>Vendas2025[[#This Row],[Receita_Bruta_R$]]*Vendas2025[[#This Row],[Desconto_pct]]</f>
        <v>133.16835</v>
      </c>
      <c r="Q891" s="60">
        <f t="shared" si="65"/>
        <v>1135.1016500000001</v>
      </c>
      <c r="R891" s="60">
        <f t="shared" si="66"/>
        <v>867.96</v>
      </c>
      <c r="S891" s="60">
        <f t="shared" si="67"/>
        <v>267.14165000000003</v>
      </c>
      <c r="T891" s="65">
        <f t="shared" si="68"/>
        <v>0.23534601504631766</v>
      </c>
    </row>
    <row r="892" spans="1:20">
      <c r="A892" s="41">
        <f t="shared" si="69"/>
        <v>12</v>
      </c>
      <c r="B892" s="6" t="s">
        <v>1033</v>
      </c>
      <c r="C892" s="20">
        <v>46002</v>
      </c>
      <c r="D892" s="6" t="s">
        <v>118</v>
      </c>
      <c r="E892" s="6" t="s">
        <v>114</v>
      </c>
      <c r="F892" s="6" t="s">
        <v>97</v>
      </c>
      <c r="G892" s="6" t="s">
        <v>154</v>
      </c>
      <c r="H892" s="6" t="s">
        <v>99</v>
      </c>
      <c r="I892" s="6" t="s">
        <v>158</v>
      </c>
      <c r="J892" s="25">
        <v>1</v>
      </c>
      <c r="K892" s="21">
        <v>193.35</v>
      </c>
      <c r="L892" s="63">
        <v>0.08</v>
      </c>
      <c r="M892" s="21">
        <v>86.78</v>
      </c>
      <c r="N892" s="6" t="s">
        <v>94</v>
      </c>
      <c r="O892" s="60">
        <f>Vendas2025[[#This Row],[Quantidade]]*Vendas2025[[#This Row],[Preço_Unitário_R$]]</f>
        <v>193.35</v>
      </c>
      <c r="P892" s="60">
        <f>Vendas2025[[#This Row],[Receita_Bruta_R$]]*Vendas2025[[#This Row],[Desconto_pct]]</f>
        <v>15.468</v>
      </c>
      <c r="Q892" s="60">
        <f t="shared" si="65"/>
        <v>177.88200000000001</v>
      </c>
      <c r="R892" s="60">
        <f t="shared" si="66"/>
        <v>86.78</v>
      </c>
      <c r="S892" s="60">
        <f t="shared" si="67"/>
        <v>91.102000000000004</v>
      </c>
      <c r="T892" s="65">
        <f t="shared" si="68"/>
        <v>0.51214850294015135</v>
      </c>
    </row>
    <row r="893" spans="1:20">
      <c r="A893" s="41">
        <f t="shared" si="69"/>
        <v>12</v>
      </c>
      <c r="B893" s="6" t="s">
        <v>1034</v>
      </c>
      <c r="C893" s="20">
        <v>46002</v>
      </c>
      <c r="D893" s="6" t="s">
        <v>118</v>
      </c>
      <c r="E893" s="6" t="s">
        <v>114</v>
      </c>
      <c r="F893" s="6" t="s">
        <v>122</v>
      </c>
      <c r="G893" s="6" t="s">
        <v>154</v>
      </c>
      <c r="H893" s="6" t="s">
        <v>119</v>
      </c>
      <c r="I893" s="6" t="s">
        <v>138</v>
      </c>
      <c r="J893" s="25">
        <v>2</v>
      </c>
      <c r="K893" s="21">
        <v>149.58000000000001</v>
      </c>
      <c r="L893" s="63">
        <v>0.15</v>
      </c>
      <c r="M893" s="21">
        <v>60.4</v>
      </c>
      <c r="N893" s="6" t="s">
        <v>94</v>
      </c>
      <c r="O893" s="60">
        <f>Vendas2025[[#This Row],[Quantidade]]*Vendas2025[[#This Row],[Preço_Unitário_R$]]</f>
        <v>299.16000000000003</v>
      </c>
      <c r="P893" s="60">
        <f>Vendas2025[[#This Row],[Receita_Bruta_R$]]*Vendas2025[[#This Row],[Desconto_pct]]</f>
        <v>44.874000000000002</v>
      </c>
      <c r="Q893" s="60">
        <f t="shared" si="65"/>
        <v>254.28600000000003</v>
      </c>
      <c r="R893" s="60">
        <f t="shared" si="66"/>
        <v>120.8</v>
      </c>
      <c r="S893" s="60">
        <f t="shared" si="67"/>
        <v>133.48600000000005</v>
      </c>
      <c r="T893" s="65">
        <f t="shared" si="68"/>
        <v>0.52494435399510797</v>
      </c>
    </row>
    <row r="894" spans="1:20">
      <c r="A894" s="41">
        <f t="shared" si="69"/>
        <v>12</v>
      </c>
      <c r="B894" s="6" t="s">
        <v>1035</v>
      </c>
      <c r="C894" s="20">
        <v>46002</v>
      </c>
      <c r="D894" s="6" t="s">
        <v>132</v>
      </c>
      <c r="E894" s="6" t="s">
        <v>89</v>
      </c>
      <c r="F894" s="6" t="s">
        <v>122</v>
      </c>
      <c r="G894" s="6" t="s">
        <v>177</v>
      </c>
      <c r="H894" s="6" t="s">
        <v>92</v>
      </c>
      <c r="I894" s="6" t="s">
        <v>144</v>
      </c>
      <c r="J894" s="25">
        <v>1</v>
      </c>
      <c r="K894" s="21">
        <v>148.61000000000001</v>
      </c>
      <c r="L894" s="63">
        <v>0.05</v>
      </c>
      <c r="M894" s="21">
        <v>53.71</v>
      </c>
      <c r="N894" s="6" t="s">
        <v>108</v>
      </c>
      <c r="O894" s="60">
        <f>Vendas2025[[#This Row],[Quantidade]]*Vendas2025[[#This Row],[Preço_Unitário_R$]]</f>
        <v>148.61000000000001</v>
      </c>
      <c r="P894" s="60">
        <f>Vendas2025[[#This Row],[Receita_Bruta_R$]]*Vendas2025[[#This Row],[Desconto_pct]]</f>
        <v>7.4305000000000012</v>
      </c>
      <c r="Q894" s="60">
        <f t="shared" si="65"/>
        <v>0</v>
      </c>
      <c r="R894" s="60">
        <f t="shared" si="66"/>
        <v>0</v>
      </c>
      <c r="S894" s="60">
        <f t="shared" si="67"/>
        <v>0</v>
      </c>
      <c r="T894" s="65" t="str">
        <f t="shared" si="68"/>
        <v/>
      </c>
    </row>
    <row r="895" spans="1:20">
      <c r="A895" s="41">
        <f t="shared" si="69"/>
        <v>12</v>
      </c>
      <c r="B895" s="6" t="s">
        <v>1036</v>
      </c>
      <c r="C895" s="20">
        <v>46002</v>
      </c>
      <c r="D895" s="6" t="s">
        <v>96</v>
      </c>
      <c r="E895" s="6" t="s">
        <v>89</v>
      </c>
      <c r="F895" s="6" t="s">
        <v>97</v>
      </c>
      <c r="G895" s="6" t="s">
        <v>154</v>
      </c>
      <c r="H895" s="6" t="s">
        <v>119</v>
      </c>
      <c r="I895" s="6" t="s">
        <v>155</v>
      </c>
      <c r="J895" s="25">
        <v>1</v>
      </c>
      <c r="K895" s="21">
        <v>372.17</v>
      </c>
      <c r="L895" s="63">
        <v>0.15</v>
      </c>
      <c r="M895" s="21">
        <v>204.4</v>
      </c>
      <c r="N895" s="6" t="s">
        <v>94</v>
      </c>
      <c r="O895" s="60">
        <f>Vendas2025[[#This Row],[Quantidade]]*Vendas2025[[#This Row],[Preço_Unitário_R$]]</f>
        <v>372.17</v>
      </c>
      <c r="P895" s="60">
        <f>Vendas2025[[#This Row],[Receita_Bruta_R$]]*Vendas2025[[#This Row],[Desconto_pct]]</f>
        <v>55.825499999999998</v>
      </c>
      <c r="Q895" s="60">
        <f t="shared" si="65"/>
        <v>316.34450000000004</v>
      </c>
      <c r="R895" s="60">
        <f t="shared" si="66"/>
        <v>204.4</v>
      </c>
      <c r="S895" s="60">
        <f t="shared" si="67"/>
        <v>111.94450000000003</v>
      </c>
      <c r="T895" s="65">
        <f t="shared" si="68"/>
        <v>0.35386896247603489</v>
      </c>
    </row>
    <row r="896" spans="1:20">
      <c r="A896" s="41">
        <f t="shared" si="69"/>
        <v>12</v>
      </c>
      <c r="B896" s="6" t="s">
        <v>1037</v>
      </c>
      <c r="C896" s="20">
        <v>46002</v>
      </c>
      <c r="D896" s="6" t="s">
        <v>132</v>
      </c>
      <c r="E896" s="6" t="s">
        <v>89</v>
      </c>
      <c r="F896" s="6" t="s">
        <v>122</v>
      </c>
      <c r="G896" s="6" t="s">
        <v>110</v>
      </c>
      <c r="H896" s="6" t="s">
        <v>92</v>
      </c>
      <c r="I896" s="6" t="s">
        <v>134</v>
      </c>
      <c r="J896" s="25">
        <v>2</v>
      </c>
      <c r="K896" s="21">
        <v>441.52</v>
      </c>
      <c r="L896" s="63">
        <v>0.05</v>
      </c>
      <c r="M896" s="21">
        <v>244.31</v>
      </c>
      <c r="N896" s="6" t="s">
        <v>94</v>
      </c>
      <c r="O896" s="60">
        <f>Vendas2025[[#This Row],[Quantidade]]*Vendas2025[[#This Row],[Preço_Unitário_R$]]</f>
        <v>883.04</v>
      </c>
      <c r="P896" s="60">
        <f>Vendas2025[[#This Row],[Receita_Bruta_R$]]*Vendas2025[[#This Row],[Desconto_pct]]</f>
        <v>44.152000000000001</v>
      </c>
      <c r="Q896" s="60">
        <f t="shared" si="65"/>
        <v>838.88799999999992</v>
      </c>
      <c r="R896" s="60">
        <f t="shared" si="66"/>
        <v>488.62</v>
      </c>
      <c r="S896" s="60">
        <f t="shared" si="67"/>
        <v>350.26799999999992</v>
      </c>
      <c r="T896" s="65">
        <f t="shared" si="68"/>
        <v>0.41753845566988673</v>
      </c>
    </row>
    <row r="897" spans="1:20">
      <c r="A897" s="41">
        <f t="shared" si="69"/>
        <v>12</v>
      </c>
      <c r="B897" s="6" t="s">
        <v>1038</v>
      </c>
      <c r="C897" s="20">
        <v>46002</v>
      </c>
      <c r="D897" s="6" t="s">
        <v>118</v>
      </c>
      <c r="E897" s="6" t="s">
        <v>114</v>
      </c>
      <c r="F897" s="6" t="s">
        <v>90</v>
      </c>
      <c r="G897" s="6" t="s">
        <v>127</v>
      </c>
      <c r="H897" s="6" t="s">
        <v>124</v>
      </c>
      <c r="I897" s="6" t="s">
        <v>193</v>
      </c>
      <c r="J897" s="25">
        <v>1</v>
      </c>
      <c r="K897" s="21">
        <v>390.53</v>
      </c>
      <c r="L897" s="63">
        <v>0.2</v>
      </c>
      <c r="M897" s="21">
        <v>170.77</v>
      </c>
      <c r="N897" s="6" t="s">
        <v>94</v>
      </c>
      <c r="O897" s="60">
        <f>Vendas2025[[#This Row],[Quantidade]]*Vendas2025[[#This Row],[Preço_Unitário_R$]]</f>
        <v>390.53</v>
      </c>
      <c r="P897" s="60">
        <f>Vendas2025[[#This Row],[Receita_Bruta_R$]]*Vendas2025[[#This Row],[Desconto_pct]]</f>
        <v>78.105999999999995</v>
      </c>
      <c r="Q897" s="60">
        <f t="shared" si="65"/>
        <v>312.42399999999998</v>
      </c>
      <c r="R897" s="60">
        <f t="shared" si="66"/>
        <v>170.77</v>
      </c>
      <c r="S897" s="60">
        <f t="shared" si="67"/>
        <v>141.65399999999997</v>
      </c>
      <c r="T897" s="65">
        <f t="shared" si="68"/>
        <v>0.4534030676260466</v>
      </c>
    </row>
    <row r="898" spans="1:20">
      <c r="A898" s="41">
        <f t="shared" si="69"/>
        <v>12</v>
      </c>
      <c r="B898" s="6" t="s">
        <v>1039</v>
      </c>
      <c r="C898" s="20">
        <v>46002</v>
      </c>
      <c r="D898" s="6" t="s">
        <v>113</v>
      </c>
      <c r="E898" s="6" t="s">
        <v>114</v>
      </c>
      <c r="F898" s="6" t="s">
        <v>90</v>
      </c>
      <c r="G898" s="6" t="s">
        <v>140</v>
      </c>
      <c r="H898" s="6" t="s">
        <v>106</v>
      </c>
      <c r="I898" s="6" t="s">
        <v>170</v>
      </c>
      <c r="J898" s="25">
        <v>1</v>
      </c>
      <c r="K898" s="21">
        <v>559.95000000000005</v>
      </c>
      <c r="L898" s="63">
        <v>0.15</v>
      </c>
      <c r="M898" s="21">
        <v>296.16000000000003</v>
      </c>
      <c r="N898" s="6" t="s">
        <v>108</v>
      </c>
      <c r="O898" s="60">
        <f>Vendas2025[[#This Row],[Quantidade]]*Vendas2025[[#This Row],[Preço_Unitário_R$]]</f>
        <v>559.95000000000005</v>
      </c>
      <c r="P898" s="60">
        <f>Vendas2025[[#This Row],[Receita_Bruta_R$]]*Vendas2025[[#This Row],[Desconto_pct]]</f>
        <v>83.992500000000007</v>
      </c>
      <c r="Q898" s="60">
        <f t="shared" ref="Q898:Q952" si="70">IF(N898="Concluída",O898-P898,0)</f>
        <v>0</v>
      </c>
      <c r="R898" s="60">
        <f t="shared" ref="R898:R952" si="71">IF(N898="Concluída",J898*M898,0)</f>
        <v>0</v>
      </c>
      <c r="S898" s="60">
        <f t="shared" ref="S898:S952" si="72">Q898-R898</f>
        <v>0</v>
      </c>
      <c r="T898" s="65" t="str">
        <f t="shared" ref="T898:T952" si="73">IF(Q898=0,"",S898/Q898)</f>
        <v/>
      </c>
    </row>
    <row r="899" spans="1:20">
      <c r="A899" s="41">
        <f t="shared" ref="A899:A952" si="74">MONTH(C899)</f>
        <v>12</v>
      </c>
      <c r="B899" s="6" t="s">
        <v>1040</v>
      </c>
      <c r="C899" s="20">
        <v>46002</v>
      </c>
      <c r="D899" s="6" t="s">
        <v>88</v>
      </c>
      <c r="E899" s="6" t="s">
        <v>89</v>
      </c>
      <c r="F899" s="6" t="s">
        <v>104</v>
      </c>
      <c r="G899" s="6" t="s">
        <v>123</v>
      </c>
      <c r="H899" s="6" t="s">
        <v>119</v>
      </c>
      <c r="I899" s="6" t="s">
        <v>155</v>
      </c>
      <c r="J899" s="25">
        <v>1</v>
      </c>
      <c r="K899" s="21">
        <v>350.22</v>
      </c>
      <c r="L899" s="63">
        <v>0.05</v>
      </c>
      <c r="M899" s="21">
        <v>191.75</v>
      </c>
      <c r="N899" s="6" t="s">
        <v>94</v>
      </c>
      <c r="O899" s="60">
        <f>Vendas2025[[#This Row],[Quantidade]]*Vendas2025[[#This Row],[Preço_Unitário_R$]]</f>
        <v>350.22</v>
      </c>
      <c r="P899" s="60">
        <f>Vendas2025[[#This Row],[Receita_Bruta_R$]]*Vendas2025[[#This Row],[Desconto_pct]]</f>
        <v>17.511000000000003</v>
      </c>
      <c r="Q899" s="60">
        <f t="shared" si="70"/>
        <v>332.709</v>
      </c>
      <c r="R899" s="60">
        <f t="shared" si="71"/>
        <v>191.75</v>
      </c>
      <c r="S899" s="60">
        <f t="shared" si="72"/>
        <v>140.959</v>
      </c>
      <c r="T899" s="65">
        <f t="shared" si="73"/>
        <v>0.42367053491189</v>
      </c>
    </row>
    <row r="900" spans="1:20">
      <c r="A900" s="41">
        <f t="shared" si="74"/>
        <v>12</v>
      </c>
      <c r="B900" s="6" t="s">
        <v>1041</v>
      </c>
      <c r="C900" s="20">
        <v>46002</v>
      </c>
      <c r="D900" s="6" t="s">
        <v>102</v>
      </c>
      <c r="E900" s="6" t="s">
        <v>103</v>
      </c>
      <c r="F900" s="6" t="s">
        <v>97</v>
      </c>
      <c r="G900" s="6" t="s">
        <v>154</v>
      </c>
      <c r="H900" s="6" t="s">
        <v>99</v>
      </c>
      <c r="I900" s="6" t="s">
        <v>130</v>
      </c>
      <c r="J900" s="25">
        <v>1</v>
      </c>
      <c r="K900" s="21">
        <v>236.3</v>
      </c>
      <c r="L900" s="63">
        <v>0.15</v>
      </c>
      <c r="M900" s="21">
        <v>109.32</v>
      </c>
      <c r="N900" s="6" t="s">
        <v>94</v>
      </c>
      <c r="O900" s="60">
        <f>Vendas2025[[#This Row],[Quantidade]]*Vendas2025[[#This Row],[Preço_Unitário_R$]]</f>
        <v>236.3</v>
      </c>
      <c r="P900" s="60">
        <f>Vendas2025[[#This Row],[Receita_Bruta_R$]]*Vendas2025[[#This Row],[Desconto_pct]]</f>
        <v>35.445</v>
      </c>
      <c r="Q900" s="60">
        <f t="shared" si="70"/>
        <v>200.85500000000002</v>
      </c>
      <c r="R900" s="60">
        <f t="shared" si="71"/>
        <v>109.32</v>
      </c>
      <c r="S900" s="60">
        <f t="shared" si="72"/>
        <v>91.535000000000025</v>
      </c>
      <c r="T900" s="65">
        <f t="shared" si="73"/>
        <v>0.45572676806651574</v>
      </c>
    </row>
    <row r="901" spans="1:20">
      <c r="A901" s="41">
        <f t="shared" si="74"/>
        <v>12</v>
      </c>
      <c r="B901" s="6" t="s">
        <v>1042</v>
      </c>
      <c r="C901" s="20">
        <v>46003</v>
      </c>
      <c r="D901" s="6" t="s">
        <v>102</v>
      </c>
      <c r="E901" s="6" t="s">
        <v>103</v>
      </c>
      <c r="F901" s="6" t="s">
        <v>122</v>
      </c>
      <c r="G901" s="6" t="s">
        <v>98</v>
      </c>
      <c r="H901" s="6" t="s">
        <v>106</v>
      </c>
      <c r="I901" s="6" t="s">
        <v>111</v>
      </c>
      <c r="J901" s="25">
        <v>1</v>
      </c>
      <c r="K901" s="21">
        <v>291.16000000000003</v>
      </c>
      <c r="L901" s="63">
        <v>0.03</v>
      </c>
      <c r="M901" s="21">
        <v>125.63</v>
      </c>
      <c r="N901" s="6" t="s">
        <v>94</v>
      </c>
      <c r="O901" s="60">
        <f>Vendas2025[[#This Row],[Quantidade]]*Vendas2025[[#This Row],[Preço_Unitário_R$]]</f>
        <v>291.16000000000003</v>
      </c>
      <c r="P901" s="60">
        <f>Vendas2025[[#This Row],[Receita_Bruta_R$]]*Vendas2025[[#This Row],[Desconto_pct]]</f>
        <v>8.7347999999999999</v>
      </c>
      <c r="Q901" s="60">
        <f t="shared" si="70"/>
        <v>282.42520000000002</v>
      </c>
      <c r="R901" s="60">
        <f t="shared" si="71"/>
        <v>125.63</v>
      </c>
      <c r="S901" s="60">
        <f t="shared" si="72"/>
        <v>156.79520000000002</v>
      </c>
      <c r="T901" s="65">
        <f t="shared" si="73"/>
        <v>0.55517425498857753</v>
      </c>
    </row>
    <row r="902" spans="1:20">
      <c r="A902" s="41">
        <f t="shared" si="74"/>
        <v>12</v>
      </c>
      <c r="B902" s="6" t="s">
        <v>1043</v>
      </c>
      <c r="C902" s="20">
        <v>46003</v>
      </c>
      <c r="D902" s="6" t="s">
        <v>96</v>
      </c>
      <c r="E902" s="6" t="s">
        <v>89</v>
      </c>
      <c r="F902" s="6" t="s">
        <v>97</v>
      </c>
      <c r="G902" s="6" t="s">
        <v>91</v>
      </c>
      <c r="H902" s="6" t="s">
        <v>99</v>
      </c>
      <c r="I902" s="6" t="s">
        <v>158</v>
      </c>
      <c r="J902" s="25">
        <v>1</v>
      </c>
      <c r="K902" s="21">
        <v>188.57</v>
      </c>
      <c r="L902" s="63">
        <v>0.15</v>
      </c>
      <c r="M902" s="21">
        <v>88.82</v>
      </c>
      <c r="N902" s="6" t="s">
        <v>94</v>
      </c>
      <c r="O902" s="60">
        <f>Vendas2025[[#This Row],[Quantidade]]*Vendas2025[[#This Row],[Preço_Unitário_R$]]</f>
        <v>188.57</v>
      </c>
      <c r="P902" s="60">
        <f>Vendas2025[[#This Row],[Receita_Bruta_R$]]*Vendas2025[[#This Row],[Desconto_pct]]</f>
        <v>28.285499999999999</v>
      </c>
      <c r="Q902" s="60">
        <f t="shared" si="70"/>
        <v>160.28449999999998</v>
      </c>
      <c r="R902" s="60">
        <f t="shared" si="71"/>
        <v>88.82</v>
      </c>
      <c r="S902" s="60">
        <f t="shared" si="72"/>
        <v>71.464499999999987</v>
      </c>
      <c r="T902" s="65">
        <f t="shared" si="73"/>
        <v>0.44586032960142741</v>
      </c>
    </row>
    <row r="903" spans="1:20">
      <c r="A903" s="41">
        <f t="shared" si="74"/>
        <v>12</v>
      </c>
      <c r="B903" s="6" t="s">
        <v>1044</v>
      </c>
      <c r="C903" s="20">
        <v>46003</v>
      </c>
      <c r="D903" s="6" t="s">
        <v>88</v>
      </c>
      <c r="E903" s="6" t="s">
        <v>89</v>
      </c>
      <c r="F903" s="6" t="s">
        <v>97</v>
      </c>
      <c r="G903" s="6" t="s">
        <v>123</v>
      </c>
      <c r="H903" s="6" t="s">
        <v>106</v>
      </c>
      <c r="I903" s="6" t="s">
        <v>111</v>
      </c>
      <c r="J903" s="25">
        <v>1</v>
      </c>
      <c r="K903" s="21">
        <v>281.8</v>
      </c>
      <c r="L903" s="63">
        <v>0</v>
      </c>
      <c r="M903" s="21">
        <v>123.32</v>
      </c>
      <c r="N903" s="6" t="s">
        <v>94</v>
      </c>
      <c r="O903" s="60">
        <f>Vendas2025[[#This Row],[Quantidade]]*Vendas2025[[#This Row],[Preço_Unitário_R$]]</f>
        <v>281.8</v>
      </c>
      <c r="P903" s="60">
        <f>Vendas2025[[#This Row],[Receita_Bruta_R$]]*Vendas2025[[#This Row],[Desconto_pct]]</f>
        <v>0</v>
      </c>
      <c r="Q903" s="60">
        <f t="shared" si="70"/>
        <v>281.8</v>
      </c>
      <c r="R903" s="60">
        <f t="shared" si="71"/>
        <v>123.32</v>
      </c>
      <c r="S903" s="60">
        <f t="shared" si="72"/>
        <v>158.48000000000002</v>
      </c>
      <c r="T903" s="65">
        <f t="shared" si="73"/>
        <v>0.5623846699787084</v>
      </c>
    </row>
    <row r="904" spans="1:20">
      <c r="A904" s="41">
        <f t="shared" si="74"/>
        <v>12</v>
      </c>
      <c r="B904" s="6" t="s">
        <v>1045</v>
      </c>
      <c r="C904" s="20">
        <v>46004</v>
      </c>
      <c r="D904" s="6" t="s">
        <v>88</v>
      </c>
      <c r="E904" s="6" t="s">
        <v>89</v>
      </c>
      <c r="F904" s="6" t="s">
        <v>97</v>
      </c>
      <c r="G904" s="6" t="s">
        <v>177</v>
      </c>
      <c r="H904" s="6" t="s">
        <v>99</v>
      </c>
      <c r="I904" s="6" t="s">
        <v>130</v>
      </c>
      <c r="J904" s="25">
        <v>1</v>
      </c>
      <c r="K904" s="21">
        <v>241.93</v>
      </c>
      <c r="L904" s="63">
        <v>0.08</v>
      </c>
      <c r="M904" s="21">
        <v>120.04</v>
      </c>
      <c r="N904" s="6" t="s">
        <v>94</v>
      </c>
      <c r="O904" s="60">
        <f>Vendas2025[[#This Row],[Quantidade]]*Vendas2025[[#This Row],[Preço_Unitário_R$]]</f>
        <v>241.93</v>
      </c>
      <c r="P904" s="60">
        <f>Vendas2025[[#This Row],[Receita_Bruta_R$]]*Vendas2025[[#This Row],[Desconto_pct]]</f>
        <v>19.354400000000002</v>
      </c>
      <c r="Q904" s="60">
        <f t="shared" si="70"/>
        <v>222.57560000000001</v>
      </c>
      <c r="R904" s="60">
        <f t="shared" si="71"/>
        <v>120.04</v>
      </c>
      <c r="S904" s="60">
        <f t="shared" si="72"/>
        <v>102.5356</v>
      </c>
      <c r="T904" s="65">
        <f t="shared" si="73"/>
        <v>0.46067763043208687</v>
      </c>
    </row>
    <row r="905" spans="1:20">
      <c r="A905" s="41">
        <f t="shared" si="74"/>
        <v>12</v>
      </c>
      <c r="B905" s="6" t="s">
        <v>1046</v>
      </c>
      <c r="C905" s="20">
        <v>46004</v>
      </c>
      <c r="D905" s="6" t="s">
        <v>129</v>
      </c>
      <c r="E905" s="6" t="s">
        <v>103</v>
      </c>
      <c r="F905" s="6" t="s">
        <v>97</v>
      </c>
      <c r="G905" s="6" t="s">
        <v>160</v>
      </c>
      <c r="H905" s="6" t="s">
        <v>119</v>
      </c>
      <c r="I905" s="6" t="s">
        <v>155</v>
      </c>
      <c r="J905" s="25">
        <v>1</v>
      </c>
      <c r="K905" s="21">
        <v>332.57</v>
      </c>
      <c r="L905" s="63">
        <v>0.15</v>
      </c>
      <c r="M905" s="21">
        <v>180.34</v>
      </c>
      <c r="N905" s="6" t="s">
        <v>94</v>
      </c>
      <c r="O905" s="60">
        <f>Vendas2025[[#This Row],[Quantidade]]*Vendas2025[[#This Row],[Preço_Unitário_R$]]</f>
        <v>332.57</v>
      </c>
      <c r="P905" s="60">
        <f>Vendas2025[[#This Row],[Receita_Bruta_R$]]*Vendas2025[[#This Row],[Desconto_pct]]</f>
        <v>49.8855</v>
      </c>
      <c r="Q905" s="60">
        <f t="shared" si="70"/>
        <v>282.68450000000001</v>
      </c>
      <c r="R905" s="60">
        <f t="shared" si="71"/>
        <v>180.34</v>
      </c>
      <c r="S905" s="60">
        <f t="shared" si="72"/>
        <v>102.34450000000001</v>
      </c>
      <c r="T905" s="65">
        <f t="shared" si="73"/>
        <v>0.36204496532353209</v>
      </c>
    </row>
    <row r="906" spans="1:20">
      <c r="A906" s="41">
        <f t="shared" si="74"/>
        <v>12</v>
      </c>
      <c r="B906" s="6" t="s">
        <v>1047</v>
      </c>
      <c r="C906" s="20">
        <v>46004</v>
      </c>
      <c r="D906" s="6" t="s">
        <v>118</v>
      </c>
      <c r="E906" s="6" t="s">
        <v>114</v>
      </c>
      <c r="F906" s="6" t="s">
        <v>97</v>
      </c>
      <c r="G906" s="6" t="s">
        <v>160</v>
      </c>
      <c r="H906" s="6" t="s">
        <v>124</v>
      </c>
      <c r="I906" s="6" t="s">
        <v>125</v>
      </c>
      <c r="J906" s="25">
        <v>2</v>
      </c>
      <c r="K906" s="21">
        <v>740.78</v>
      </c>
      <c r="L906" s="63">
        <v>0.05</v>
      </c>
      <c r="M906" s="21">
        <v>363.16</v>
      </c>
      <c r="N906" s="6" t="s">
        <v>94</v>
      </c>
      <c r="O906" s="60">
        <f>Vendas2025[[#This Row],[Quantidade]]*Vendas2025[[#This Row],[Preço_Unitário_R$]]</f>
        <v>1481.56</v>
      </c>
      <c r="P906" s="60">
        <f>Vendas2025[[#This Row],[Receita_Bruta_R$]]*Vendas2025[[#This Row],[Desconto_pct]]</f>
        <v>74.078000000000003</v>
      </c>
      <c r="Q906" s="60">
        <f t="shared" si="70"/>
        <v>1407.482</v>
      </c>
      <c r="R906" s="60">
        <f t="shared" si="71"/>
        <v>726.32</v>
      </c>
      <c r="S906" s="60">
        <f t="shared" si="72"/>
        <v>681.16199999999992</v>
      </c>
      <c r="T906" s="65">
        <f t="shared" si="73"/>
        <v>0.48395787654833239</v>
      </c>
    </row>
    <row r="907" spans="1:20">
      <c r="A907" s="41">
        <f t="shared" si="74"/>
        <v>12</v>
      </c>
      <c r="B907" s="6" t="s">
        <v>1048</v>
      </c>
      <c r="C907" s="20">
        <v>46005</v>
      </c>
      <c r="D907" s="6" t="s">
        <v>132</v>
      </c>
      <c r="E907" s="6" t="s">
        <v>89</v>
      </c>
      <c r="F907" s="6" t="s">
        <v>122</v>
      </c>
      <c r="G907" s="6" t="s">
        <v>91</v>
      </c>
      <c r="H907" s="6" t="s">
        <v>124</v>
      </c>
      <c r="I907" s="6" t="s">
        <v>199</v>
      </c>
      <c r="J907" s="25">
        <v>1</v>
      </c>
      <c r="K907" s="21">
        <v>305.10000000000002</v>
      </c>
      <c r="L907" s="63">
        <v>0.2</v>
      </c>
      <c r="M907" s="21">
        <v>135.43</v>
      </c>
      <c r="N907" s="6" t="s">
        <v>94</v>
      </c>
      <c r="O907" s="60">
        <f>Vendas2025[[#This Row],[Quantidade]]*Vendas2025[[#This Row],[Preço_Unitário_R$]]</f>
        <v>305.10000000000002</v>
      </c>
      <c r="P907" s="60">
        <f>Vendas2025[[#This Row],[Receita_Bruta_R$]]*Vendas2025[[#This Row],[Desconto_pct]]</f>
        <v>61.02000000000001</v>
      </c>
      <c r="Q907" s="60">
        <f t="shared" si="70"/>
        <v>244.08</v>
      </c>
      <c r="R907" s="60">
        <f t="shared" si="71"/>
        <v>135.43</v>
      </c>
      <c r="S907" s="60">
        <f t="shared" si="72"/>
        <v>108.65</v>
      </c>
      <c r="T907" s="65">
        <f t="shared" si="73"/>
        <v>0.44514093739757454</v>
      </c>
    </row>
    <row r="908" spans="1:20">
      <c r="A908" s="41">
        <f t="shared" si="74"/>
        <v>12</v>
      </c>
      <c r="B908" s="6" t="s">
        <v>1049</v>
      </c>
      <c r="C908" s="20">
        <v>46005</v>
      </c>
      <c r="D908" s="6" t="s">
        <v>136</v>
      </c>
      <c r="E908" s="6" t="s">
        <v>137</v>
      </c>
      <c r="F908" s="6" t="s">
        <v>97</v>
      </c>
      <c r="G908" s="6" t="s">
        <v>105</v>
      </c>
      <c r="H908" s="6" t="s">
        <v>119</v>
      </c>
      <c r="I908" s="6" t="s">
        <v>138</v>
      </c>
      <c r="J908" s="25">
        <v>1</v>
      </c>
      <c r="K908" s="21">
        <v>130.86000000000001</v>
      </c>
      <c r="L908" s="63">
        <v>0</v>
      </c>
      <c r="M908" s="21">
        <v>53.29</v>
      </c>
      <c r="N908" s="6" t="s">
        <v>108</v>
      </c>
      <c r="O908" s="60">
        <f>Vendas2025[[#This Row],[Quantidade]]*Vendas2025[[#This Row],[Preço_Unitário_R$]]</f>
        <v>130.86000000000001</v>
      </c>
      <c r="P908" s="60">
        <f>Vendas2025[[#This Row],[Receita_Bruta_R$]]*Vendas2025[[#This Row],[Desconto_pct]]</f>
        <v>0</v>
      </c>
      <c r="Q908" s="60">
        <f t="shared" si="70"/>
        <v>0</v>
      </c>
      <c r="R908" s="60">
        <f t="shared" si="71"/>
        <v>0</v>
      </c>
      <c r="S908" s="60">
        <f t="shared" si="72"/>
        <v>0</v>
      </c>
      <c r="T908" s="65" t="str">
        <f t="shared" si="73"/>
        <v/>
      </c>
    </row>
    <row r="909" spans="1:20">
      <c r="A909" s="41">
        <f t="shared" si="74"/>
        <v>12</v>
      </c>
      <c r="B909" s="6" t="s">
        <v>1050</v>
      </c>
      <c r="C909" s="20">
        <v>46005</v>
      </c>
      <c r="D909" s="6" t="s">
        <v>129</v>
      </c>
      <c r="E909" s="6" t="s">
        <v>103</v>
      </c>
      <c r="F909" s="6" t="s">
        <v>104</v>
      </c>
      <c r="G909" s="6" t="s">
        <v>151</v>
      </c>
      <c r="H909" s="6" t="s">
        <v>99</v>
      </c>
      <c r="I909" s="6" t="s">
        <v>158</v>
      </c>
      <c r="J909" s="25">
        <v>1</v>
      </c>
      <c r="K909" s="21">
        <v>202.69</v>
      </c>
      <c r="L909" s="63">
        <v>0.1</v>
      </c>
      <c r="M909" s="21">
        <v>92.85</v>
      </c>
      <c r="N909" s="6" t="s">
        <v>94</v>
      </c>
      <c r="O909" s="60">
        <f>Vendas2025[[#This Row],[Quantidade]]*Vendas2025[[#This Row],[Preço_Unitário_R$]]</f>
        <v>202.69</v>
      </c>
      <c r="P909" s="60">
        <f>Vendas2025[[#This Row],[Receita_Bruta_R$]]*Vendas2025[[#This Row],[Desconto_pct]]</f>
        <v>20.269000000000002</v>
      </c>
      <c r="Q909" s="60">
        <f t="shared" si="70"/>
        <v>182.42099999999999</v>
      </c>
      <c r="R909" s="60">
        <f t="shared" si="71"/>
        <v>92.85</v>
      </c>
      <c r="S909" s="60">
        <f t="shared" si="72"/>
        <v>89.570999999999998</v>
      </c>
      <c r="T909" s="65">
        <f t="shared" si="73"/>
        <v>0.49101254789744603</v>
      </c>
    </row>
    <row r="910" spans="1:20">
      <c r="A910" s="41">
        <f t="shared" si="74"/>
        <v>12</v>
      </c>
      <c r="B910" s="6" t="s">
        <v>1051</v>
      </c>
      <c r="C910" s="20">
        <v>46005</v>
      </c>
      <c r="D910" s="6" t="s">
        <v>129</v>
      </c>
      <c r="E910" s="6" t="s">
        <v>103</v>
      </c>
      <c r="F910" s="6" t="s">
        <v>97</v>
      </c>
      <c r="G910" s="6" t="s">
        <v>160</v>
      </c>
      <c r="H910" s="6" t="s">
        <v>106</v>
      </c>
      <c r="I910" s="6" t="s">
        <v>111</v>
      </c>
      <c r="J910" s="25">
        <v>2</v>
      </c>
      <c r="K910" s="21">
        <v>275.67</v>
      </c>
      <c r="L910" s="63">
        <v>0.15</v>
      </c>
      <c r="M910" s="21">
        <v>122.85</v>
      </c>
      <c r="N910" s="6" t="s">
        <v>94</v>
      </c>
      <c r="O910" s="60">
        <f>Vendas2025[[#This Row],[Quantidade]]*Vendas2025[[#This Row],[Preço_Unitário_R$]]</f>
        <v>551.34</v>
      </c>
      <c r="P910" s="60">
        <f>Vendas2025[[#This Row],[Receita_Bruta_R$]]*Vendas2025[[#This Row],[Desconto_pct]]</f>
        <v>82.701000000000008</v>
      </c>
      <c r="Q910" s="60">
        <f t="shared" si="70"/>
        <v>468.63900000000001</v>
      </c>
      <c r="R910" s="60">
        <f t="shared" si="71"/>
        <v>245.7</v>
      </c>
      <c r="S910" s="60">
        <f t="shared" si="72"/>
        <v>222.93900000000002</v>
      </c>
      <c r="T910" s="65">
        <f t="shared" si="73"/>
        <v>0.47571584951316476</v>
      </c>
    </row>
    <row r="911" spans="1:20">
      <c r="A911" s="41">
        <f t="shared" si="74"/>
        <v>12</v>
      </c>
      <c r="B911" s="6" t="s">
        <v>1052</v>
      </c>
      <c r="C911" s="20">
        <v>46005</v>
      </c>
      <c r="D911" s="6" t="s">
        <v>132</v>
      </c>
      <c r="E911" s="6" t="s">
        <v>89</v>
      </c>
      <c r="F911" s="6" t="s">
        <v>97</v>
      </c>
      <c r="G911" s="6" t="s">
        <v>115</v>
      </c>
      <c r="H911" s="6" t="s">
        <v>124</v>
      </c>
      <c r="I911" s="6" t="s">
        <v>193</v>
      </c>
      <c r="J911" s="25">
        <v>3</v>
      </c>
      <c r="K911" s="21">
        <v>367.43</v>
      </c>
      <c r="L911" s="63">
        <v>0.1</v>
      </c>
      <c r="M911" s="21">
        <v>159.63999999999999</v>
      </c>
      <c r="N911" s="6" t="s">
        <v>94</v>
      </c>
      <c r="O911" s="60">
        <f>Vendas2025[[#This Row],[Quantidade]]*Vendas2025[[#This Row],[Preço_Unitário_R$]]</f>
        <v>1102.29</v>
      </c>
      <c r="P911" s="60">
        <f>Vendas2025[[#This Row],[Receita_Bruta_R$]]*Vendas2025[[#This Row],[Desconto_pct]]</f>
        <v>110.229</v>
      </c>
      <c r="Q911" s="60">
        <f t="shared" si="70"/>
        <v>992.06099999999992</v>
      </c>
      <c r="R911" s="60">
        <f t="shared" si="71"/>
        <v>478.91999999999996</v>
      </c>
      <c r="S911" s="60">
        <f t="shared" si="72"/>
        <v>513.14099999999996</v>
      </c>
      <c r="T911" s="65">
        <f t="shared" si="73"/>
        <v>0.51724742732553741</v>
      </c>
    </row>
    <row r="912" spans="1:20">
      <c r="A912" s="41">
        <f t="shared" si="74"/>
        <v>12</v>
      </c>
      <c r="B912" s="6" t="s">
        <v>1053</v>
      </c>
      <c r="C912" s="20">
        <v>46005</v>
      </c>
      <c r="D912" s="6" t="s">
        <v>102</v>
      </c>
      <c r="E912" s="6" t="s">
        <v>103</v>
      </c>
      <c r="F912" s="6" t="s">
        <v>122</v>
      </c>
      <c r="G912" s="6" t="s">
        <v>160</v>
      </c>
      <c r="H912" s="6" t="s">
        <v>124</v>
      </c>
      <c r="I912" s="6" t="s">
        <v>125</v>
      </c>
      <c r="J912" s="25">
        <v>1</v>
      </c>
      <c r="K912" s="21">
        <v>666.63</v>
      </c>
      <c r="L912" s="63">
        <v>0.2</v>
      </c>
      <c r="M912" s="21">
        <v>314.36</v>
      </c>
      <c r="N912" s="6" t="s">
        <v>94</v>
      </c>
      <c r="O912" s="60">
        <f>Vendas2025[[#This Row],[Quantidade]]*Vendas2025[[#This Row],[Preço_Unitário_R$]]</f>
        <v>666.63</v>
      </c>
      <c r="P912" s="60">
        <f>Vendas2025[[#This Row],[Receita_Bruta_R$]]*Vendas2025[[#This Row],[Desconto_pct]]</f>
        <v>133.32599999999999</v>
      </c>
      <c r="Q912" s="60">
        <f t="shared" si="70"/>
        <v>533.30399999999997</v>
      </c>
      <c r="R912" s="60">
        <f t="shared" si="71"/>
        <v>314.36</v>
      </c>
      <c r="S912" s="60">
        <f t="shared" si="72"/>
        <v>218.94399999999996</v>
      </c>
      <c r="T912" s="65">
        <f t="shared" si="73"/>
        <v>0.41054257984189124</v>
      </c>
    </row>
    <row r="913" spans="1:20">
      <c r="A913" s="41">
        <f t="shared" si="74"/>
        <v>12</v>
      </c>
      <c r="B913" s="6" t="s">
        <v>1054</v>
      </c>
      <c r="C913" s="20">
        <v>46006</v>
      </c>
      <c r="D913" s="6" t="s">
        <v>136</v>
      </c>
      <c r="E913" s="6" t="s">
        <v>137</v>
      </c>
      <c r="F913" s="6" t="s">
        <v>90</v>
      </c>
      <c r="G913" s="6" t="s">
        <v>177</v>
      </c>
      <c r="H913" s="6" t="s">
        <v>119</v>
      </c>
      <c r="I913" s="6" t="s">
        <v>141</v>
      </c>
      <c r="J913" s="25">
        <v>1</v>
      </c>
      <c r="K913" s="21">
        <v>2832.51</v>
      </c>
      <c r="L913" s="63">
        <v>0.25</v>
      </c>
      <c r="M913" s="21">
        <v>1965.84</v>
      </c>
      <c r="N913" s="6" t="s">
        <v>94</v>
      </c>
      <c r="O913" s="60">
        <f>Vendas2025[[#This Row],[Quantidade]]*Vendas2025[[#This Row],[Preço_Unitário_R$]]</f>
        <v>2832.51</v>
      </c>
      <c r="P913" s="60">
        <f>Vendas2025[[#This Row],[Receita_Bruta_R$]]*Vendas2025[[#This Row],[Desconto_pct]]</f>
        <v>708.12750000000005</v>
      </c>
      <c r="Q913" s="60">
        <f t="shared" si="70"/>
        <v>2124.3825000000002</v>
      </c>
      <c r="R913" s="60">
        <f t="shared" si="71"/>
        <v>1965.84</v>
      </c>
      <c r="S913" s="60">
        <f t="shared" si="72"/>
        <v>158.54250000000025</v>
      </c>
      <c r="T913" s="65">
        <f t="shared" si="73"/>
        <v>7.4629921871414512E-2</v>
      </c>
    </row>
    <row r="914" spans="1:20">
      <c r="A914" s="41">
        <f t="shared" si="74"/>
        <v>12</v>
      </c>
      <c r="B914" s="6" t="s">
        <v>1055</v>
      </c>
      <c r="C914" s="20">
        <v>46006</v>
      </c>
      <c r="D914" s="6" t="s">
        <v>88</v>
      </c>
      <c r="E914" s="6" t="s">
        <v>89</v>
      </c>
      <c r="F914" s="6" t="s">
        <v>90</v>
      </c>
      <c r="G914" s="6" t="s">
        <v>91</v>
      </c>
      <c r="H914" s="6" t="s">
        <v>119</v>
      </c>
      <c r="I914" s="6" t="s">
        <v>155</v>
      </c>
      <c r="J914" s="25">
        <v>1</v>
      </c>
      <c r="K914" s="21">
        <v>347.39</v>
      </c>
      <c r="L914" s="63">
        <v>0.27500000000000002</v>
      </c>
      <c r="M914" s="21">
        <v>200.14</v>
      </c>
      <c r="N914" s="6" t="s">
        <v>94</v>
      </c>
      <c r="O914" s="60">
        <f>Vendas2025[[#This Row],[Quantidade]]*Vendas2025[[#This Row],[Preço_Unitário_R$]]</f>
        <v>347.39</v>
      </c>
      <c r="P914" s="60">
        <f>Vendas2025[[#This Row],[Receita_Bruta_R$]]*Vendas2025[[#This Row],[Desconto_pct]]</f>
        <v>95.532250000000005</v>
      </c>
      <c r="Q914" s="60">
        <f t="shared" si="70"/>
        <v>251.85774999999998</v>
      </c>
      <c r="R914" s="60">
        <f t="shared" si="71"/>
        <v>200.14</v>
      </c>
      <c r="S914" s="60">
        <f t="shared" si="72"/>
        <v>51.717749999999995</v>
      </c>
      <c r="T914" s="65">
        <f t="shared" si="73"/>
        <v>0.20534508070527907</v>
      </c>
    </row>
    <row r="915" spans="1:20">
      <c r="A915" s="41">
        <f t="shared" si="74"/>
        <v>12</v>
      </c>
      <c r="B915" s="6" t="s">
        <v>1056</v>
      </c>
      <c r="C915" s="20">
        <v>46006</v>
      </c>
      <c r="D915" s="6" t="s">
        <v>88</v>
      </c>
      <c r="E915" s="6" t="s">
        <v>89</v>
      </c>
      <c r="F915" s="6" t="s">
        <v>90</v>
      </c>
      <c r="G915" s="6" t="s">
        <v>160</v>
      </c>
      <c r="H915" s="6" t="s">
        <v>106</v>
      </c>
      <c r="I915" s="6" t="s">
        <v>116</v>
      </c>
      <c r="J915" s="25">
        <v>1</v>
      </c>
      <c r="K915" s="21">
        <v>456.56</v>
      </c>
      <c r="L915" s="63">
        <v>0.1</v>
      </c>
      <c r="M915" s="21">
        <v>255.47</v>
      </c>
      <c r="N915" s="6" t="s">
        <v>94</v>
      </c>
      <c r="O915" s="60">
        <f>Vendas2025[[#This Row],[Quantidade]]*Vendas2025[[#This Row],[Preço_Unitário_R$]]</f>
        <v>456.56</v>
      </c>
      <c r="P915" s="60">
        <f>Vendas2025[[#This Row],[Receita_Bruta_R$]]*Vendas2025[[#This Row],[Desconto_pct]]</f>
        <v>45.656000000000006</v>
      </c>
      <c r="Q915" s="60">
        <f t="shared" si="70"/>
        <v>410.904</v>
      </c>
      <c r="R915" s="60">
        <f t="shared" si="71"/>
        <v>255.47</v>
      </c>
      <c r="S915" s="60">
        <f t="shared" si="72"/>
        <v>155.434</v>
      </c>
      <c r="T915" s="65">
        <f t="shared" si="73"/>
        <v>0.37827327064229116</v>
      </c>
    </row>
    <row r="916" spans="1:20">
      <c r="A916" s="41">
        <f t="shared" si="74"/>
        <v>12</v>
      </c>
      <c r="B916" s="6" t="s">
        <v>1057</v>
      </c>
      <c r="C916" s="20">
        <v>46006</v>
      </c>
      <c r="D916" s="6" t="s">
        <v>113</v>
      </c>
      <c r="E916" s="6" t="s">
        <v>114</v>
      </c>
      <c r="F916" s="6" t="s">
        <v>122</v>
      </c>
      <c r="G916" s="6" t="s">
        <v>140</v>
      </c>
      <c r="H916" s="6" t="s">
        <v>99</v>
      </c>
      <c r="I916" s="6" t="s">
        <v>100</v>
      </c>
      <c r="J916" s="25">
        <v>1</v>
      </c>
      <c r="K916" s="21">
        <v>398.89</v>
      </c>
      <c r="L916" s="63">
        <v>0.2</v>
      </c>
      <c r="M916" s="21">
        <v>231.02</v>
      </c>
      <c r="N916" s="6" t="s">
        <v>94</v>
      </c>
      <c r="O916" s="60">
        <f>Vendas2025[[#This Row],[Quantidade]]*Vendas2025[[#This Row],[Preço_Unitário_R$]]</f>
        <v>398.89</v>
      </c>
      <c r="P916" s="60">
        <f>Vendas2025[[#This Row],[Receita_Bruta_R$]]*Vendas2025[[#This Row],[Desconto_pct]]</f>
        <v>79.778000000000006</v>
      </c>
      <c r="Q916" s="60">
        <f t="shared" si="70"/>
        <v>319.11199999999997</v>
      </c>
      <c r="R916" s="60">
        <f t="shared" si="71"/>
        <v>231.02</v>
      </c>
      <c r="S916" s="60">
        <f t="shared" si="72"/>
        <v>88.091999999999956</v>
      </c>
      <c r="T916" s="65">
        <f t="shared" si="73"/>
        <v>0.27605354859735753</v>
      </c>
    </row>
    <row r="917" spans="1:20">
      <c r="A917" s="41">
        <f t="shared" si="74"/>
        <v>12</v>
      </c>
      <c r="B917" s="6" t="s">
        <v>1058</v>
      </c>
      <c r="C917" s="20">
        <v>46007</v>
      </c>
      <c r="D917" s="6" t="s">
        <v>88</v>
      </c>
      <c r="E917" s="6" t="s">
        <v>89</v>
      </c>
      <c r="F917" s="6" t="s">
        <v>90</v>
      </c>
      <c r="G917" s="6" t="s">
        <v>154</v>
      </c>
      <c r="H917" s="6" t="s">
        <v>92</v>
      </c>
      <c r="I917" s="6" t="s">
        <v>134</v>
      </c>
      <c r="J917" s="25">
        <v>1</v>
      </c>
      <c r="K917" s="21">
        <v>456.63</v>
      </c>
      <c r="L917" s="63">
        <v>0.15</v>
      </c>
      <c r="M917" s="21">
        <v>247.82</v>
      </c>
      <c r="N917" s="6" t="s">
        <v>94</v>
      </c>
      <c r="O917" s="60">
        <f>Vendas2025[[#This Row],[Quantidade]]*Vendas2025[[#This Row],[Preço_Unitário_R$]]</f>
        <v>456.63</v>
      </c>
      <c r="P917" s="60">
        <f>Vendas2025[[#This Row],[Receita_Bruta_R$]]*Vendas2025[[#This Row],[Desconto_pct]]</f>
        <v>68.494500000000002</v>
      </c>
      <c r="Q917" s="60">
        <f t="shared" si="70"/>
        <v>388.13549999999998</v>
      </c>
      <c r="R917" s="60">
        <f t="shared" si="71"/>
        <v>247.82</v>
      </c>
      <c r="S917" s="60">
        <f t="shared" si="72"/>
        <v>140.31549999999999</v>
      </c>
      <c r="T917" s="65">
        <f t="shared" si="73"/>
        <v>0.36151163704427963</v>
      </c>
    </row>
    <row r="918" spans="1:20">
      <c r="A918" s="41">
        <f t="shared" si="74"/>
        <v>12</v>
      </c>
      <c r="B918" s="6" t="s">
        <v>1059</v>
      </c>
      <c r="C918" s="20">
        <v>46007</v>
      </c>
      <c r="D918" s="6" t="s">
        <v>136</v>
      </c>
      <c r="E918" s="6" t="s">
        <v>137</v>
      </c>
      <c r="F918" s="6" t="s">
        <v>97</v>
      </c>
      <c r="G918" s="6" t="s">
        <v>105</v>
      </c>
      <c r="H918" s="6" t="s">
        <v>124</v>
      </c>
      <c r="I918" s="6" t="s">
        <v>125</v>
      </c>
      <c r="J918" s="25">
        <v>2</v>
      </c>
      <c r="K918" s="21">
        <v>700.96</v>
      </c>
      <c r="L918" s="63">
        <v>0.125</v>
      </c>
      <c r="M918" s="21">
        <v>330.7</v>
      </c>
      <c r="N918" s="6" t="s">
        <v>94</v>
      </c>
      <c r="O918" s="60">
        <f>Vendas2025[[#This Row],[Quantidade]]*Vendas2025[[#This Row],[Preço_Unitário_R$]]</f>
        <v>1401.92</v>
      </c>
      <c r="P918" s="60">
        <f>Vendas2025[[#This Row],[Receita_Bruta_R$]]*Vendas2025[[#This Row],[Desconto_pct]]</f>
        <v>175.24</v>
      </c>
      <c r="Q918" s="60">
        <f t="shared" si="70"/>
        <v>1226.68</v>
      </c>
      <c r="R918" s="60">
        <f t="shared" si="71"/>
        <v>661.4</v>
      </c>
      <c r="S918" s="60">
        <f t="shared" si="72"/>
        <v>565.28000000000009</v>
      </c>
      <c r="T918" s="65">
        <f t="shared" si="73"/>
        <v>0.46082107803176059</v>
      </c>
    </row>
    <row r="919" spans="1:20">
      <c r="A919" s="41">
        <f t="shared" si="74"/>
        <v>12</v>
      </c>
      <c r="B919" s="6" t="s">
        <v>1060</v>
      </c>
      <c r="C919" s="20">
        <v>46007</v>
      </c>
      <c r="D919" s="6" t="s">
        <v>129</v>
      </c>
      <c r="E919" s="6" t="s">
        <v>103</v>
      </c>
      <c r="F919" s="6" t="s">
        <v>97</v>
      </c>
      <c r="G919" s="6" t="s">
        <v>127</v>
      </c>
      <c r="H919" s="6" t="s">
        <v>106</v>
      </c>
      <c r="I919" s="6" t="s">
        <v>116</v>
      </c>
      <c r="J919" s="25">
        <v>2</v>
      </c>
      <c r="K919" s="21">
        <v>445.19</v>
      </c>
      <c r="L919" s="63">
        <v>0.08</v>
      </c>
      <c r="M919" s="21">
        <v>241.06</v>
      </c>
      <c r="N919" s="6" t="s">
        <v>94</v>
      </c>
      <c r="O919" s="60">
        <f>Vendas2025[[#This Row],[Quantidade]]*Vendas2025[[#This Row],[Preço_Unitário_R$]]</f>
        <v>890.38</v>
      </c>
      <c r="P919" s="60">
        <f>Vendas2025[[#This Row],[Receita_Bruta_R$]]*Vendas2025[[#This Row],[Desconto_pct]]</f>
        <v>71.230400000000003</v>
      </c>
      <c r="Q919" s="60">
        <f t="shared" si="70"/>
        <v>819.14959999999996</v>
      </c>
      <c r="R919" s="60">
        <f t="shared" si="71"/>
        <v>482.12</v>
      </c>
      <c r="S919" s="60">
        <f t="shared" si="72"/>
        <v>337.02959999999996</v>
      </c>
      <c r="T919" s="65">
        <f t="shared" si="73"/>
        <v>0.41143839904212853</v>
      </c>
    </row>
    <row r="920" spans="1:20">
      <c r="A920" s="41">
        <f t="shared" si="74"/>
        <v>12</v>
      </c>
      <c r="B920" s="6" t="s">
        <v>1061</v>
      </c>
      <c r="C920" s="20">
        <v>46007</v>
      </c>
      <c r="D920" s="6" t="s">
        <v>118</v>
      </c>
      <c r="E920" s="6" t="s">
        <v>114</v>
      </c>
      <c r="F920" s="6" t="s">
        <v>97</v>
      </c>
      <c r="G920" s="6" t="s">
        <v>98</v>
      </c>
      <c r="H920" s="6" t="s">
        <v>92</v>
      </c>
      <c r="I920" s="6" t="s">
        <v>93</v>
      </c>
      <c r="J920" s="25">
        <v>1</v>
      </c>
      <c r="K920" s="21">
        <v>243.85</v>
      </c>
      <c r="L920" s="63">
        <v>0</v>
      </c>
      <c r="M920" s="21">
        <v>105.85</v>
      </c>
      <c r="N920" s="6" t="s">
        <v>94</v>
      </c>
      <c r="O920" s="60">
        <f>Vendas2025[[#This Row],[Quantidade]]*Vendas2025[[#This Row],[Preço_Unitário_R$]]</f>
        <v>243.85</v>
      </c>
      <c r="P920" s="60">
        <f>Vendas2025[[#This Row],[Receita_Bruta_R$]]*Vendas2025[[#This Row],[Desconto_pct]]</f>
        <v>0</v>
      </c>
      <c r="Q920" s="60">
        <f t="shared" si="70"/>
        <v>243.85</v>
      </c>
      <c r="R920" s="60">
        <f t="shared" si="71"/>
        <v>105.85</v>
      </c>
      <c r="S920" s="60">
        <f t="shared" si="72"/>
        <v>138</v>
      </c>
      <c r="T920" s="65">
        <f t="shared" si="73"/>
        <v>0.56592167315972941</v>
      </c>
    </row>
    <row r="921" spans="1:20">
      <c r="A921" s="41">
        <f t="shared" si="74"/>
        <v>12</v>
      </c>
      <c r="B921" s="6" t="s">
        <v>1062</v>
      </c>
      <c r="C921" s="20">
        <v>46008</v>
      </c>
      <c r="D921" s="6" t="s">
        <v>113</v>
      </c>
      <c r="E921" s="6" t="s">
        <v>114</v>
      </c>
      <c r="F921" s="6" t="s">
        <v>122</v>
      </c>
      <c r="G921" s="6" t="s">
        <v>110</v>
      </c>
      <c r="H921" s="6" t="s">
        <v>99</v>
      </c>
      <c r="I921" s="6" t="s">
        <v>130</v>
      </c>
      <c r="J921" s="25">
        <v>2</v>
      </c>
      <c r="K921" s="21">
        <v>239.75</v>
      </c>
      <c r="L921" s="63">
        <v>0.1</v>
      </c>
      <c r="M921" s="21">
        <v>116.42</v>
      </c>
      <c r="N921" s="6" t="s">
        <v>94</v>
      </c>
      <c r="O921" s="60">
        <f>Vendas2025[[#This Row],[Quantidade]]*Vendas2025[[#This Row],[Preço_Unitário_R$]]</f>
        <v>479.5</v>
      </c>
      <c r="P921" s="60">
        <f>Vendas2025[[#This Row],[Receita_Bruta_R$]]*Vendas2025[[#This Row],[Desconto_pct]]</f>
        <v>47.95</v>
      </c>
      <c r="Q921" s="60">
        <f t="shared" si="70"/>
        <v>431.55</v>
      </c>
      <c r="R921" s="60">
        <f t="shared" si="71"/>
        <v>232.84</v>
      </c>
      <c r="S921" s="60">
        <f t="shared" si="72"/>
        <v>198.71</v>
      </c>
      <c r="T921" s="65">
        <f t="shared" si="73"/>
        <v>0.46045649403313638</v>
      </c>
    </row>
    <row r="922" spans="1:20">
      <c r="A922" s="41">
        <f t="shared" si="74"/>
        <v>12</v>
      </c>
      <c r="B922" s="6" t="s">
        <v>1063</v>
      </c>
      <c r="C922" s="20">
        <v>46008</v>
      </c>
      <c r="D922" s="6" t="s">
        <v>118</v>
      </c>
      <c r="E922" s="6" t="s">
        <v>114</v>
      </c>
      <c r="F922" s="6" t="s">
        <v>97</v>
      </c>
      <c r="G922" s="6" t="s">
        <v>91</v>
      </c>
      <c r="H922" s="6" t="s">
        <v>119</v>
      </c>
      <c r="I922" s="6" t="s">
        <v>138</v>
      </c>
      <c r="J922" s="25">
        <v>1</v>
      </c>
      <c r="K922" s="21">
        <v>148.55000000000001</v>
      </c>
      <c r="L922" s="63">
        <v>0.08</v>
      </c>
      <c r="M922" s="21">
        <v>59.89</v>
      </c>
      <c r="N922" s="6" t="s">
        <v>94</v>
      </c>
      <c r="O922" s="60">
        <f>Vendas2025[[#This Row],[Quantidade]]*Vendas2025[[#This Row],[Preço_Unitário_R$]]</f>
        <v>148.55000000000001</v>
      </c>
      <c r="P922" s="60">
        <f>Vendas2025[[#This Row],[Receita_Bruta_R$]]*Vendas2025[[#This Row],[Desconto_pct]]</f>
        <v>11.884</v>
      </c>
      <c r="Q922" s="60">
        <f t="shared" si="70"/>
        <v>136.666</v>
      </c>
      <c r="R922" s="60">
        <f t="shared" si="71"/>
        <v>59.89</v>
      </c>
      <c r="S922" s="60">
        <f t="shared" si="72"/>
        <v>76.775999999999996</v>
      </c>
      <c r="T922" s="65">
        <f t="shared" si="73"/>
        <v>0.56177835013829336</v>
      </c>
    </row>
    <row r="923" spans="1:20">
      <c r="A923" s="41">
        <f t="shared" si="74"/>
        <v>12</v>
      </c>
      <c r="B923" s="6" t="s">
        <v>1064</v>
      </c>
      <c r="C923" s="20">
        <v>46009</v>
      </c>
      <c r="D923" s="6" t="s">
        <v>88</v>
      </c>
      <c r="E923" s="6" t="s">
        <v>89</v>
      </c>
      <c r="F923" s="6" t="s">
        <v>97</v>
      </c>
      <c r="G923" s="6" t="s">
        <v>127</v>
      </c>
      <c r="H923" s="6" t="s">
        <v>92</v>
      </c>
      <c r="I923" s="6" t="s">
        <v>134</v>
      </c>
      <c r="J923" s="25">
        <v>1</v>
      </c>
      <c r="K923" s="21">
        <v>438.94</v>
      </c>
      <c r="L923" s="63">
        <v>0</v>
      </c>
      <c r="M923" s="21">
        <v>243.19</v>
      </c>
      <c r="N923" s="6" t="s">
        <v>94</v>
      </c>
      <c r="O923" s="60">
        <f>Vendas2025[[#This Row],[Quantidade]]*Vendas2025[[#This Row],[Preço_Unitário_R$]]</f>
        <v>438.94</v>
      </c>
      <c r="P923" s="60">
        <f>Vendas2025[[#This Row],[Receita_Bruta_R$]]*Vendas2025[[#This Row],[Desconto_pct]]</f>
        <v>0</v>
      </c>
      <c r="Q923" s="60">
        <f t="shared" si="70"/>
        <v>438.94</v>
      </c>
      <c r="R923" s="60">
        <f t="shared" si="71"/>
        <v>243.19</v>
      </c>
      <c r="S923" s="60">
        <f t="shared" si="72"/>
        <v>195.75</v>
      </c>
      <c r="T923" s="65">
        <f t="shared" si="73"/>
        <v>0.44596072356130678</v>
      </c>
    </row>
    <row r="924" spans="1:20">
      <c r="A924" s="41">
        <f t="shared" si="74"/>
        <v>12</v>
      </c>
      <c r="B924" s="6" t="s">
        <v>1065</v>
      </c>
      <c r="C924" s="20">
        <v>46009</v>
      </c>
      <c r="D924" s="6" t="s">
        <v>102</v>
      </c>
      <c r="E924" s="6" t="s">
        <v>103</v>
      </c>
      <c r="F924" s="6" t="s">
        <v>90</v>
      </c>
      <c r="G924" s="6" t="s">
        <v>160</v>
      </c>
      <c r="H924" s="6" t="s">
        <v>106</v>
      </c>
      <c r="I924" s="6" t="s">
        <v>107</v>
      </c>
      <c r="J924" s="25">
        <v>1</v>
      </c>
      <c r="K924" s="21">
        <v>729.94</v>
      </c>
      <c r="L924" s="63">
        <v>0.25</v>
      </c>
      <c r="M924" s="21">
        <v>417.17</v>
      </c>
      <c r="N924" s="6" t="s">
        <v>94</v>
      </c>
      <c r="O924" s="60">
        <f>Vendas2025[[#This Row],[Quantidade]]*Vendas2025[[#This Row],[Preço_Unitário_R$]]</f>
        <v>729.94</v>
      </c>
      <c r="P924" s="60">
        <f>Vendas2025[[#This Row],[Receita_Bruta_R$]]*Vendas2025[[#This Row],[Desconto_pct]]</f>
        <v>182.48500000000001</v>
      </c>
      <c r="Q924" s="60">
        <f t="shared" si="70"/>
        <v>547.45500000000004</v>
      </c>
      <c r="R924" s="60">
        <f t="shared" si="71"/>
        <v>417.17</v>
      </c>
      <c r="S924" s="60">
        <f t="shared" si="72"/>
        <v>130.28500000000003</v>
      </c>
      <c r="T924" s="65">
        <f t="shared" si="73"/>
        <v>0.23798303056872258</v>
      </c>
    </row>
    <row r="925" spans="1:20">
      <c r="A925" s="41">
        <f t="shared" si="74"/>
        <v>12</v>
      </c>
      <c r="B925" s="6" t="s">
        <v>1066</v>
      </c>
      <c r="C925" s="20">
        <v>46009</v>
      </c>
      <c r="D925" s="6" t="s">
        <v>102</v>
      </c>
      <c r="E925" s="6" t="s">
        <v>103</v>
      </c>
      <c r="F925" s="6" t="s">
        <v>97</v>
      </c>
      <c r="G925" s="6" t="s">
        <v>154</v>
      </c>
      <c r="H925" s="6" t="s">
        <v>106</v>
      </c>
      <c r="I925" s="6" t="s">
        <v>116</v>
      </c>
      <c r="J925" s="25">
        <v>1</v>
      </c>
      <c r="K925" s="21">
        <v>448.4</v>
      </c>
      <c r="L925" s="63">
        <v>0</v>
      </c>
      <c r="M925" s="21">
        <v>239.89</v>
      </c>
      <c r="N925" s="6" t="s">
        <v>94</v>
      </c>
      <c r="O925" s="60">
        <f>Vendas2025[[#This Row],[Quantidade]]*Vendas2025[[#This Row],[Preço_Unitário_R$]]</f>
        <v>448.4</v>
      </c>
      <c r="P925" s="60">
        <f>Vendas2025[[#This Row],[Receita_Bruta_R$]]*Vendas2025[[#This Row],[Desconto_pct]]</f>
        <v>0</v>
      </c>
      <c r="Q925" s="60">
        <f t="shared" si="70"/>
        <v>448.4</v>
      </c>
      <c r="R925" s="60">
        <f t="shared" si="71"/>
        <v>239.89</v>
      </c>
      <c r="S925" s="60">
        <f t="shared" si="72"/>
        <v>208.51</v>
      </c>
      <c r="T925" s="65">
        <f t="shared" si="73"/>
        <v>0.46500892060660126</v>
      </c>
    </row>
    <row r="926" spans="1:20">
      <c r="A926" s="41">
        <f t="shared" si="74"/>
        <v>12</v>
      </c>
      <c r="B926" s="6" t="s">
        <v>1067</v>
      </c>
      <c r="C926" s="20">
        <v>46010</v>
      </c>
      <c r="D926" s="6" t="s">
        <v>102</v>
      </c>
      <c r="E926" s="6" t="s">
        <v>103</v>
      </c>
      <c r="F926" s="6" t="s">
        <v>97</v>
      </c>
      <c r="G926" s="6" t="s">
        <v>105</v>
      </c>
      <c r="H926" s="6" t="s">
        <v>92</v>
      </c>
      <c r="I926" s="6" t="s">
        <v>93</v>
      </c>
      <c r="J926" s="25">
        <v>2</v>
      </c>
      <c r="K926" s="21">
        <v>251.53</v>
      </c>
      <c r="L926" s="63">
        <v>0</v>
      </c>
      <c r="M926" s="21">
        <v>108.25</v>
      </c>
      <c r="N926" s="6" t="s">
        <v>94</v>
      </c>
      <c r="O926" s="60">
        <f>Vendas2025[[#This Row],[Quantidade]]*Vendas2025[[#This Row],[Preço_Unitário_R$]]</f>
        <v>503.06</v>
      </c>
      <c r="P926" s="60">
        <f>Vendas2025[[#This Row],[Receita_Bruta_R$]]*Vendas2025[[#This Row],[Desconto_pct]]</f>
        <v>0</v>
      </c>
      <c r="Q926" s="60">
        <f t="shared" si="70"/>
        <v>503.06</v>
      </c>
      <c r="R926" s="60">
        <f t="shared" si="71"/>
        <v>216.5</v>
      </c>
      <c r="S926" s="60">
        <f t="shared" si="72"/>
        <v>286.56</v>
      </c>
      <c r="T926" s="65">
        <f t="shared" si="73"/>
        <v>0.56963384089373037</v>
      </c>
    </row>
    <row r="927" spans="1:20">
      <c r="A927" s="41">
        <f t="shared" si="74"/>
        <v>12</v>
      </c>
      <c r="B927" s="6" t="s">
        <v>1068</v>
      </c>
      <c r="C927" s="20">
        <v>46010</v>
      </c>
      <c r="D927" s="6" t="s">
        <v>102</v>
      </c>
      <c r="E927" s="6" t="s">
        <v>103</v>
      </c>
      <c r="F927" s="6" t="s">
        <v>122</v>
      </c>
      <c r="G927" s="6" t="s">
        <v>127</v>
      </c>
      <c r="H927" s="6" t="s">
        <v>106</v>
      </c>
      <c r="I927" s="6" t="s">
        <v>184</v>
      </c>
      <c r="J927" s="25">
        <v>1</v>
      </c>
      <c r="K927" s="21">
        <v>1233.7</v>
      </c>
      <c r="L927" s="63">
        <v>0.2</v>
      </c>
      <c r="M927" s="21">
        <v>893.5</v>
      </c>
      <c r="N927" s="6" t="s">
        <v>94</v>
      </c>
      <c r="O927" s="60">
        <f>Vendas2025[[#This Row],[Quantidade]]*Vendas2025[[#This Row],[Preço_Unitário_R$]]</f>
        <v>1233.7</v>
      </c>
      <c r="P927" s="60">
        <f>Vendas2025[[#This Row],[Receita_Bruta_R$]]*Vendas2025[[#This Row],[Desconto_pct]]</f>
        <v>246.74</v>
      </c>
      <c r="Q927" s="60">
        <f t="shared" si="70"/>
        <v>986.96</v>
      </c>
      <c r="R927" s="60">
        <f t="shared" si="71"/>
        <v>893.5</v>
      </c>
      <c r="S927" s="60">
        <f t="shared" si="72"/>
        <v>93.460000000000036</v>
      </c>
      <c r="T927" s="65">
        <f t="shared" si="73"/>
        <v>9.4694820458782553E-2</v>
      </c>
    </row>
    <row r="928" spans="1:20">
      <c r="A928" s="41">
        <f t="shared" si="74"/>
        <v>12</v>
      </c>
      <c r="B928" s="6" t="s">
        <v>1069</v>
      </c>
      <c r="C928" s="20">
        <v>46010</v>
      </c>
      <c r="D928" s="6" t="s">
        <v>132</v>
      </c>
      <c r="E928" s="6" t="s">
        <v>89</v>
      </c>
      <c r="F928" s="6" t="s">
        <v>97</v>
      </c>
      <c r="G928" s="6" t="s">
        <v>127</v>
      </c>
      <c r="H928" s="6" t="s">
        <v>99</v>
      </c>
      <c r="I928" s="6" t="s">
        <v>163</v>
      </c>
      <c r="J928" s="25">
        <v>1</v>
      </c>
      <c r="K928" s="21">
        <v>1231.7</v>
      </c>
      <c r="L928" s="63">
        <v>0.08</v>
      </c>
      <c r="M928" s="21">
        <v>870.23</v>
      </c>
      <c r="N928" s="6" t="s">
        <v>94</v>
      </c>
      <c r="O928" s="60">
        <f>Vendas2025[[#This Row],[Quantidade]]*Vendas2025[[#This Row],[Preço_Unitário_R$]]</f>
        <v>1231.7</v>
      </c>
      <c r="P928" s="60">
        <f>Vendas2025[[#This Row],[Receita_Bruta_R$]]*Vendas2025[[#This Row],[Desconto_pct]]</f>
        <v>98.536000000000001</v>
      </c>
      <c r="Q928" s="60">
        <f t="shared" si="70"/>
        <v>1133.164</v>
      </c>
      <c r="R928" s="60">
        <f t="shared" si="71"/>
        <v>870.23</v>
      </c>
      <c r="S928" s="60">
        <f t="shared" si="72"/>
        <v>262.93399999999997</v>
      </c>
      <c r="T928" s="65">
        <f t="shared" si="73"/>
        <v>0.23203525703252131</v>
      </c>
    </row>
    <row r="929" spans="1:20">
      <c r="A929" s="41">
        <f t="shared" si="74"/>
        <v>12</v>
      </c>
      <c r="B929" s="6" t="s">
        <v>1070</v>
      </c>
      <c r="C929" s="20">
        <v>46011</v>
      </c>
      <c r="D929" s="6" t="s">
        <v>113</v>
      </c>
      <c r="E929" s="6" t="s">
        <v>114</v>
      </c>
      <c r="F929" s="6" t="s">
        <v>122</v>
      </c>
      <c r="G929" s="6" t="s">
        <v>160</v>
      </c>
      <c r="H929" s="6" t="s">
        <v>92</v>
      </c>
      <c r="I929" s="6" t="s">
        <v>134</v>
      </c>
      <c r="J929" s="25">
        <v>1</v>
      </c>
      <c r="K929" s="21">
        <v>459.51</v>
      </c>
      <c r="L929" s="63">
        <v>0.1</v>
      </c>
      <c r="M929" s="21">
        <v>245.82</v>
      </c>
      <c r="N929" s="6" t="s">
        <v>108</v>
      </c>
      <c r="O929" s="60">
        <f>Vendas2025[[#This Row],[Quantidade]]*Vendas2025[[#This Row],[Preço_Unitário_R$]]</f>
        <v>459.51</v>
      </c>
      <c r="P929" s="60">
        <f>Vendas2025[[#This Row],[Receita_Bruta_R$]]*Vendas2025[[#This Row],[Desconto_pct]]</f>
        <v>45.951000000000001</v>
      </c>
      <c r="Q929" s="60">
        <f t="shared" si="70"/>
        <v>0</v>
      </c>
      <c r="R929" s="60">
        <f t="shared" si="71"/>
        <v>0</v>
      </c>
      <c r="S929" s="60">
        <f t="shared" si="72"/>
        <v>0</v>
      </c>
      <c r="T929" s="65" t="str">
        <f t="shared" si="73"/>
        <v/>
      </c>
    </row>
    <row r="930" spans="1:20">
      <c r="A930" s="41">
        <f t="shared" si="74"/>
        <v>12</v>
      </c>
      <c r="B930" s="6" t="s">
        <v>1071</v>
      </c>
      <c r="C930" s="20">
        <v>46011</v>
      </c>
      <c r="D930" s="6" t="s">
        <v>113</v>
      </c>
      <c r="E930" s="6" t="s">
        <v>114</v>
      </c>
      <c r="F930" s="6" t="s">
        <v>97</v>
      </c>
      <c r="G930" s="6" t="s">
        <v>91</v>
      </c>
      <c r="H930" s="6" t="s">
        <v>92</v>
      </c>
      <c r="I930" s="6" t="s">
        <v>134</v>
      </c>
      <c r="J930" s="25">
        <v>1</v>
      </c>
      <c r="K930" s="21">
        <v>456.47</v>
      </c>
      <c r="L930" s="63">
        <v>0</v>
      </c>
      <c r="M930" s="21">
        <v>256.64999999999998</v>
      </c>
      <c r="N930" s="6" t="s">
        <v>94</v>
      </c>
      <c r="O930" s="60">
        <f>Vendas2025[[#This Row],[Quantidade]]*Vendas2025[[#This Row],[Preço_Unitário_R$]]</f>
        <v>456.47</v>
      </c>
      <c r="P930" s="60">
        <f>Vendas2025[[#This Row],[Receita_Bruta_R$]]*Vendas2025[[#This Row],[Desconto_pct]]</f>
        <v>0</v>
      </c>
      <c r="Q930" s="60">
        <f t="shared" si="70"/>
        <v>456.47</v>
      </c>
      <c r="R930" s="60">
        <f t="shared" si="71"/>
        <v>256.64999999999998</v>
      </c>
      <c r="S930" s="60">
        <f t="shared" si="72"/>
        <v>199.82000000000005</v>
      </c>
      <c r="T930" s="65">
        <f t="shared" si="73"/>
        <v>0.43775056411155178</v>
      </c>
    </row>
    <row r="931" spans="1:20">
      <c r="A931" s="41">
        <f t="shared" si="74"/>
        <v>12</v>
      </c>
      <c r="B931" s="6" t="s">
        <v>1072</v>
      </c>
      <c r="C931" s="20">
        <v>46012</v>
      </c>
      <c r="D931" s="6" t="s">
        <v>136</v>
      </c>
      <c r="E931" s="6" t="s">
        <v>137</v>
      </c>
      <c r="F931" s="6" t="s">
        <v>97</v>
      </c>
      <c r="G931" s="6" t="s">
        <v>98</v>
      </c>
      <c r="H931" s="6" t="s">
        <v>99</v>
      </c>
      <c r="I931" s="6" t="s">
        <v>158</v>
      </c>
      <c r="J931" s="25">
        <v>1</v>
      </c>
      <c r="K931" s="21">
        <v>190.16</v>
      </c>
      <c r="L931" s="63">
        <v>0</v>
      </c>
      <c r="M931" s="21">
        <v>85.84</v>
      </c>
      <c r="N931" s="6" t="s">
        <v>94</v>
      </c>
      <c r="O931" s="60">
        <f>Vendas2025[[#This Row],[Quantidade]]*Vendas2025[[#This Row],[Preço_Unitário_R$]]</f>
        <v>190.16</v>
      </c>
      <c r="P931" s="60">
        <f>Vendas2025[[#This Row],[Receita_Bruta_R$]]*Vendas2025[[#This Row],[Desconto_pct]]</f>
        <v>0</v>
      </c>
      <c r="Q931" s="60">
        <f t="shared" si="70"/>
        <v>190.16</v>
      </c>
      <c r="R931" s="60">
        <f t="shared" si="71"/>
        <v>85.84</v>
      </c>
      <c r="S931" s="60">
        <f t="shared" si="72"/>
        <v>104.32</v>
      </c>
      <c r="T931" s="65">
        <f t="shared" si="73"/>
        <v>0.54859066049642402</v>
      </c>
    </row>
    <row r="932" spans="1:20">
      <c r="A932" s="41">
        <f t="shared" si="74"/>
        <v>12</v>
      </c>
      <c r="B932" s="6" t="s">
        <v>1073</v>
      </c>
      <c r="C932" s="20">
        <v>46012</v>
      </c>
      <c r="D932" s="6" t="s">
        <v>113</v>
      </c>
      <c r="E932" s="6" t="s">
        <v>114</v>
      </c>
      <c r="F932" s="6" t="s">
        <v>97</v>
      </c>
      <c r="G932" s="6" t="s">
        <v>127</v>
      </c>
      <c r="H932" s="6" t="s">
        <v>119</v>
      </c>
      <c r="I932" s="6" t="s">
        <v>155</v>
      </c>
      <c r="J932" s="25">
        <v>1</v>
      </c>
      <c r="K932" s="21">
        <v>383.09</v>
      </c>
      <c r="L932" s="63">
        <v>0</v>
      </c>
      <c r="M932" s="21">
        <v>213.81</v>
      </c>
      <c r="N932" s="6" t="s">
        <v>94</v>
      </c>
      <c r="O932" s="60">
        <f>Vendas2025[[#This Row],[Quantidade]]*Vendas2025[[#This Row],[Preço_Unitário_R$]]</f>
        <v>383.09</v>
      </c>
      <c r="P932" s="60">
        <f>Vendas2025[[#This Row],[Receita_Bruta_R$]]*Vendas2025[[#This Row],[Desconto_pct]]</f>
        <v>0</v>
      </c>
      <c r="Q932" s="60">
        <f t="shared" si="70"/>
        <v>383.09</v>
      </c>
      <c r="R932" s="60">
        <f t="shared" si="71"/>
        <v>213.81</v>
      </c>
      <c r="S932" s="60">
        <f t="shared" si="72"/>
        <v>169.27999999999997</v>
      </c>
      <c r="T932" s="65">
        <f t="shared" si="73"/>
        <v>0.44188049805528723</v>
      </c>
    </row>
    <row r="933" spans="1:20">
      <c r="A933" s="41">
        <f t="shared" si="74"/>
        <v>12</v>
      </c>
      <c r="B933" s="6" t="s">
        <v>1074</v>
      </c>
      <c r="C933" s="20">
        <v>46013</v>
      </c>
      <c r="D933" s="6" t="s">
        <v>132</v>
      </c>
      <c r="E933" s="6" t="s">
        <v>89</v>
      </c>
      <c r="F933" s="6" t="s">
        <v>90</v>
      </c>
      <c r="G933" s="6" t="s">
        <v>127</v>
      </c>
      <c r="H933" s="6" t="s">
        <v>124</v>
      </c>
      <c r="I933" s="6" t="s">
        <v>193</v>
      </c>
      <c r="J933" s="25">
        <v>1</v>
      </c>
      <c r="K933" s="21">
        <v>400.97</v>
      </c>
      <c r="L933" s="63">
        <v>0.25</v>
      </c>
      <c r="M933" s="21">
        <v>173.21</v>
      </c>
      <c r="N933" s="6" t="s">
        <v>94</v>
      </c>
      <c r="O933" s="60">
        <f>Vendas2025[[#This Row],[Quantidade]]*Vendas2025[[#This Row],[Preço_Unitário_R$]]</f>
        <v>400.97</v>
      </c>
      <c r="P933" s="60">
        <f>Vendas2025[[#This Row],[Receita_Bruta_R$]]*Vendas2025[[#This Row],[Desconto_pct]]</f>
        <v>100.24250000000001</v>
      </c>
      <c r="Q933" s="60">
        <f t="shared" si="70"/>
        <v>300.72750000000002</v>
      </c>
      <c r="R933" s="60">
        <f t="shared" si="71"/>
        <v>173.21</v>
      </c>
      <c r="S933" s="60">
        <f t="shared" si="72"/>
        <v>127.51750000000001</v>
      </c>
      <c r="T933" s="65">
        <f t="shared" si="73"/>
        <v>0.42403006043677416</v>
      </c>
    </row>
    <row r="934" spans="1:20">
      <c r="A934" s="41">
        <f t="shared" si="74"/>
        <v>12</v>
      </c>
      <c r="B934" s="6" t="s">
        <v>1075</v>
      </c>
      <c r="C934" s="20">
        <v>46013</v>
      </c>
      <c r="D934" s="6" t="s">
        <v>132</v>
      </c>
      <c r="E934" s="6" t="s">
        <v>89</v>
      </c>
      <c r="F934" s="6" t="s">
        <v>104</v>
      </c>
      <c r="G934" s="6" t="s">
        <v>140</v>
      </c>
      <c r="H934" s="6" t="s">
        <v>119</v>
      </c>
      <c r="I934" s="6" t="s">
        <v>120</v>
      </c>
      <c r="J934" s="25">
        <v>2</v>
      </c>
      <c r="K934" s="21">
        <v>2302.4899999999998</v>
      </c>
      <c r="L934" s="63">
        <v>0.05</v>
      </c>
      <c r="M934" s="21">
        <v>1633.36</v>
      </c>
      <c r="N934" s="6" t="s">
        <v>94</v>
      </c>
      <c r="O934" s="60">
        <f>Vendas2025[[#This Row],[Quantidade]]*Vendas2025[[#This Row],[Preço_Unitário_R$]]</f>
        <v>4604.9799999999996</v>
      </c>
      <c r="P934" s="60">
        <f>Vendas2025[[#This Row],[Receita_Bruta_R$]]*Vendas2025[[#This Row],[Desconto_pct]]</f>
        <v>230.249</v>
      </c>
      <c r="Q934" s="60">
        <f t="shared" si="70"/>
        <v>4374.7309999999998</v>
      </c>
      <c r="R934" s="60">
        <f t="shared" si="71"/>
        <v>3266.72</v>
      </c>
      <c r="S934" s="60">
        <f t="shared" si="72"/>
        <v>1108.011</v>
      </c>
      <c r="T934" s="65">
        <f t="shared" si="73"/>
        <v>0.2532752299512816</v>
      </c>
    </row>
    <row r="935" spans="1:20">
      <c r="A935" s="41">
        <f t="shared" si="74"/>
        <v>12</v>
      </c>
      <c r="B935" s="6" t="s">
        <v>1076</v>
      </c>
      <c r="C935" s="20">
        <v>46013</v>
      </c>
      <c r="D935" s="6" t="s">
        <v>129</v>
      </c>
      <c r="E935" s="6" t="s">
        <v>103</v>
      </c>
      <c r="F935" s="6" t="s">
        <v>122</v>
      </c>
      <c r="G935" s="6" t="s">
        <v>140</v>
      </c>
      <c r="H935" s="6" t="s">
        <v>99</v>
      </c>
      <c r="I935" s="6" t="s">
        <v>173</v>
      </c>
      <c r="J935" s="25">
        <v>1</v>
      </c>
      <c r="K935" s="21">
        <v>3778.55</v>
      </c>
      <c r="L935" s="63">
        <v>0.03</v>
      </c>
      <c r="M935" s="21">
        <v>2921.11</v>
      </c>
      <c r="N935" s="6" t="s">
        <v>94</v>
      </c>
      <c r="O935" s="60">
        <f>Vendas2025[[#This Row],[Quantidade]]*Vendas2025[[#This Row],[Preço_Unitário_R$]]</f>
        <v>3778.55</v>
      </c>
      <c r="P935" s="60">
        <f>Vendas2025[[#This Row],[Receita_Bruta_R$]]*Vendas2025[[#This Row],[Desconto_pct]]</f>
        <v>113.3565</v>
      </c>
      <c r="Q935" s="60">
        <f t="shared" si="70"/>
        <v>3665.1935000000003</v>
      </c>
      <c r="R935" s="60">
        <f t="shared" si="71"/>
        <v>2921.11</v>
      </c>
      <c r="S935" s="60">
        <f t="shared" si="72"/>
        <v>744.08350000000019</v>
      </c>
      <c r="T935" s="65">
        <f t="shared" si="73"/>
        <v>0.20301342889536395</v>
      </c>
    </row>
    <row r="936" spans="1:20">
      <c r="A936" s="41">
        <f t="shared" si="74"/>
        <v>12</v>
      </c>
      <c r="B936" s="6" t="s">
        <v>1077</v>
      </c>
      <c r="C936" s="20">
        <v>46015</v>
      </c>
      <c r="D936" s="6" t="s">
        <v>129</v>
      </c>
      <c r="E936" s="6" t="s">
        <v>103</v>
      </c>
      <c r="F936" s="6" t="s">
        <v>90</v>
      </c>
      <c r="G936" s="6" t="s">
        <v>123</v>
      </c>
      <c r="H936" s="6" t="s">
        <v>99</v>
      </c>
      <c r="I936" s="6" t="s">
        <v>173</v>
      </c>
      <c r="J936" s="25">
        <v>2</v>
      </c>
      <c r="K936" s="21">
        <v>4154.0600000000004</v>
      </c>
      <c r="L936" s="63">
        <v>0.05</v>
      </c>
      <c r="M936" s="21">
        <v>3355.75</v>
      </c>
      <c r="N936" s="6" t="s">
        <v>94</v>
      </c>
      <c r="O936" s="60">
        <f>Vendas2025[[#This Row],[Quantidade]]*Vendas2025[[#This Row],[Preço_Unitário_R$]]</f>
        <v>8308.1200000000008</v>
      </c>
      <c r="P936" s="60">
        <f>Vendas2025[[#This Row],[Receita_Bruta_R$]]*Vendas2025[[#This Row],[Desconto_pct]]</f>
        <v>415.40600000000006</v>
      </c>
      <c r="Q936" s="60">
        <f t="shared" si="70"/>
        <v>7892.7140000000009</v>
      </c>
      <c r="R936" s="60">
        <f t="shared" si="71"/>
        <v>6711.5</v>
      </c>
      <c r="S936" s="60">
        <f t="shared" si="72"/>
        <v>1181.2140000000009</v>
      </c>
      <c r="T936" s="65">
        <f t="shared" si="73"/>
        <v>0.14965878657202081</v>
      </c>
    </row>
    <row r="937" spans="1:20">
      <c r="A937" s="41">
        <f t="shared" si="74"/>
        <v>12</v>
      </c>
      <c r="B937" s="6" t="s">
        <v>1078</v>
      </c>
      <c r="C937" s="20">
        <v>46016</v>
      </c>
      <c r="D937" s="6" t="s">
        <v>118</v>
      </c>
      <c r="E937" s="6" t="s">
        <v>114</v>
      </c>
      <c r="F937" s="6" t="s">
        <v>97</v>
      </c>
      <c r="G937" s="6" t="s">
        <v>154</v>
      </c>
      <c r="H937" s="6" t="s">
        <v>119</v>
      </c>
      <c r="I937" s="6" t="s">
        <v>155</v>
      </c>
      <c r="J937" s="25">
        <v>1</v>
      </c>
      <c r="K937" s="21">
        <v>344.84</v>
      </c>
      <c r="L937" s="63">
        <v>0.05</v>
      </c>
      <c r="M937" s="21">
        <v>193.29</v>
      </c>
      <c r="N937" s="6" t="s">
        <v>94</v>
      </c>
      <c r="O937" s="60">
        <f>Vendas2025[[#This Row],[Quantidade]]*Vendas2025[[#This Row],[Preço_Unitário_R$]]</f>
        <v>344.84</v>
      </c>
      <c r="P937" s="60">
        <f>Vendas2025[[#This Row],[Receita_Bruta_R$]]*Vendas2025[[#This Row],[Desconto_pct]]</f>
        <v>17.242000000000001</v>
      </c>
      <c r="Q937" s="60">
        <f t="shared" si="70"/>
        <v>327.59799999999996</v>
      </c>
      <c r="R937" s="60">
        <f t="shared" si="71"/>
        <v>193.29</v>
      </c>
      <c r="S937" s="60">
        <f t="shared" si="72"/>
        <v>134.30799999999996</v>
      </c>
      <c r="T937" s="65">
        <f t="shared" si="73"/>
        <v>0.40997808289427889</v>
      </c>
    </row>
    <row r="938" spans="1:20">
      <c r="A938" s="41">
        <f t="shared" si="74"/>
        <v>12</v>
      </c>
      <c r="B938" s="6" t="s">
        <v>1079</v>
      </c>
      <c r="C938" s="20">
        <v>46016</v>
      </c>
      <c r="D938" s="6" t="s">
        <v>113</v>
      </c>
      <c r="E938" s="6" t="s">
        <v>114</v>
      </c>
      <c r="F938" s="6" t="s">
        <v>97</v>
      </c>
      <c r="G938" s="6" t="s">
        <v>151</v>
      </c>
      <c r="H938" s="6" t="s">
        <v>124</v>
      </c>
      <c r="I938" s="6" t="s">
        <v>193</v>
      </c>
      <c r="J938" s="25">
        <v>2</v>
      </c>
      <c r="K938" s="21">
        <v>376.45</v>
      </c>
      <c r="L938" s="63">
        <v>0.1</v>
      </c>
      <c r="M938" s="21">
        <v>166.9</v>
      </c>
      <c r="N938" s="6" t="s">
        <v>94</v>
      </c>
      <c r="O938" s="60">
        <f>Vendas2025[[#This Row],[Quantidade]]*Vendas2025[[#This Row],[Preço_Unitário_R$]]</f>
        <v>752.9</v>
      </c>
      <c r="P938" s="60">
        <f>Vendas2025[[#This Row],[Receita_Bruta_R$]]*Vendas2025[[#This Row],[Desconto_pct]]</f>
        <v>75.290000000000006</v>
      </c>
      <c r="Q938" s="60">
        <f t="shared" si="70"/>
        <v>677.61</v>
      </c>
      <c r="R938" s="60">
        <f t="shared" si="71"/>
        <v>333.8</v>
      </c>
      <c r="S938" s="60">
        <f t="shared" si="72"/>
        <v>343.81</v>
      </c>
      <c r="T938" s="65">
        <f t="shared" si="73"/>
        <v>0.50738625463024456</v>
      </c>
    </row>
    <row r="939" spans="1:20">
      <c r="A939" s="41">
        <f t="shared" si="74"/>
        <v>12</v>
      </c>
      <c r="B939" s="6" t="s">
        <v>1080</v>
      </c>
      <c r="C939" s="20">
        <v>46016</v>
      </c>
      <c r="D939" s="6" t="s">
        <v>102</v>
      </c>
      <c r="E939" s="6" t="s">
        <v>103</v>
      </c>
      <c r="F939" s="6" t="s">
        <v>97</v>
      </c>
      <c r="G939" s="6" t="s">
        <v>98</v>
      </c>
      <c r="H939" s="6" t="s">
        <v>92</v>
      </c>
      <c r="I939" s="6" t="s">
        <v>144</v>
      </c>
      <c r="J939" s="25">
        <v>1</v>
      </c>
      <c r="K939" s="21">
        <v>146.88999999999999</v>
      </c>
      <c r="L939" s="63">
        <v>0</v>
      </c>
      <c r="M939" s="21">
        <v>52.52</v>
      </c>
      <c r="N939" s="6" t="s">
        <v>94</v>
      </c>
      <c r="O939" s="60">
        <f>Vendas2025[[#This Row],[Quantidade]]*Vendas2025[[#This Row],[Preço_Unitário_R$]]</f>
        <v>146.88999999999999</v>
      </c>
      <c r="P939" s="60">
        <f>Vendas2025[[#This Row],[Receita_Bruta_R$]]*Vendas2025[[#This Row],[Desconto_pct]]</f>
        <v>0</v>
      </c>
      <c r="Q939" s="60">
        <f t="shared" si="70"/>
        <v>146.88999999999999</v>
      </c>
      <c r="R939" s="60">
        <f t="shared" si="71"/>
        <v>52.52</v>
      </c>
      <c r="S939" s="60">
        <f t="shared" si="72"/>
        <v>94.369999999999976</v>
      </c>
      <c r="T939" s="65">
        <f t="shared" si="73"/>
        <v>0.64245353666008564</v>
      </c>
    </row>
    <row r="940" spans="1:20">
      <c r="A940" s="41">
        <f t="shared" si="74"/>
        <v>12</v>
      </c>
      <c r="B940" s="6" t="s">
        <v>1081</v>
      </c>
      <c r="C940" s="20">
        <v>46016</v>
      </c>
      <c r="D940" s="6" t="s">
        <v>136</v>
      </c>
      <c r="E940" s="6" t="s">
        <v>137</v>
      </c>
      <c r="F940" s="6" t="s">
        <v>97</v>
      </c>
      <c r="G940" s="6" t="s">
        <v>151</v>
      </c>
      <c r="H940" s="6" t="s">
        <v>106</v>
      </c>
      <c r="I940" s="6" t="s">
        <v>107</v>
      </c>
      <c r="J940" s="25">
        <v>1</v>
      </c>
      <c r="K940" s="21">
        <v>639.67999999999995</v>
      </c>
      <c r="L940" s="63">
        <v>0.05</v>
      </c>
      <c r="M940" s="21">
        <v>352.16</v>
      </c>
      <c r="N940" s="6" t="s">
        <v>94</v>
      </c>
      <c r="O940" s="60">
        <f>Vendas2025[[#This Row],[Quantidade]]*Vendas2025[[#This Row],[Preço_Unitário_R$]]</f>
        <v>639.67999999999995</v>
      </c>
      <c r="P940" s="60">
        <f>Vendas2025[[#This Row],[Receita_Bruta_R$]]*Vendas2025[[#This Row],[Desconto_pct]]</f>
        <v>31.983999999999998</v>
      </c>
      <c r="Q940" s="60">
        <f t="shared" si="70"/>
        <v>607.69599999999991</v>
      </c>
      <c r="R940" s="60">
        <f t="shared" si="71"/>
        <v>352.16</v>
      </c>
      <c r="S940" s="60">
        <f t="shared" si="72"/>
        <v>255.53599999999989</v>
      </c>
      <c r="T940" s="65">
        <f t="shared" si="73"/>
        <v>0.42049972354598342</v>
      </c>
    </row>
    <row r="941" spans="1:20">
      <c r="A941" s="41">
        <f t="shared" si="74"/>
        <v>12</v>
      </c>
      <c r="B941" s="6" t="s">
        <v>1082</v>
      </c>
      <c r="C941" s="20">
        <v>46017</v>
      </c>
      <c r="D941" s="6" t="s">
        <v>88</v>
      </c>
      <c r="E941" s="6" t="s">
        <v>89</v>
      </c>
      <c r="F941" s="6" t="s">
        <v>122</v>
      </c>
      <c r="G941" s="6" t="s">
        <v>151</v>
      </c>
      <c r="H941" s="6" t="s">
        <v>106</v>
      </c>
      <c r="I941" s="6" t="s">
        <v>184</v>
      </c>
      <c r="J941" s="25">
        <v>1</v>
      </c>
      <c r="K941" s="21">
        <v>1096.1400000000001</v>
      </c>
      <c r="L941" s="63">
        <v>0.03</v>
      </c>
      <c r="M941" s="21">
        <v>797</v>
      </c>
      <c r="N941" s="6" t="s">
        <v>94</v>
      </c>
      <c r="O941" s="60">
        <f>Vendas2025[[#This Row],[Quantidade]]*Vendas2025[[#This Row],[Preço_Unitário_R$]]</f>
        <v>1096.1400000000001</v>
      </c>
      <c r="P941" s="60">
        <f>Vendas2025[[#This Row],[Receita_Bruta_R$]]*Vendas2025[[#This Row],[Desconto_pct]]</f>
        <v>32.8842</v>
      </c>
      <c r="Q941" s="60">
        <f t="shared" si="70"/>
        <v>1063.2558000000001</v>
      </c>
      <c r="R941" s="60">
        <f t="shared" si="71"/>
        <v>797</v>
      </c>
      <c r="S941" s="60">
        <f t="shared" si="72"/>
        <v>266.25580000000014</v>
      </c>
      <c r="T941" s="65">
        <f t="shared" si="73"/>
        <v>0.25041556321630232</v>
      </c>
    </row>
    <row r="942" spans="1:20">
      <c r="A942" s="41">
        <f t="shared" si="74"/>
        <v>12</v>
      </c>
      <c r="B942" s="6" t="s">
        <v>1083</v>
      </c>
      <c r="C942" s="20">
        <v>46017</v>
      </c>
      <c r="D942" s="6" t="s">
        <v>102</v>
      </c>
      <c r="E942" s="6" t="s">
        <v>103</v>
      </c>
      <c r="F942" s="6" t="s">
        <v>122</v>
      </c>
      <c r="G942" s="6" t="s">
        <v>154</v>
      </c>
      <c r="H942" s="6" t="s">
        <v>119</v>
      </c>
      <c r="I942" s="6" t="s">
        <v>120</v>
      </c>
      <c r="J942" s="25">
        <v>1</v>
      </c>
      <c r="K942" s="21">
        <v>2117.7199999999998</v>
      </c>
      <c r="L942" s="63">
        <v>0.05</v>
      </c>
      <c r="M942" s="21">
        <v>1498.15</v>
      </c>
      <c r="N942" s="6" t="s">
        <v>94</v>
      </c>
      <c r="O942" s="60">
        <f>Vendas2025[[#This Row],[Quantidade]]*Vendas2025[[#This Row],[Preço_Unitário_R$]]</f>
        <v>2117.7199999999998</v>
      </c>
      <c r="P942" s="60">
        <f>Vendas2025[[#This Row],[Receita_Bruta_R$]]*Vendas2025[[#This Row],[Desconto_pct]]</f>
        <v>105.886</v>
      </c>
      <c r="Q942" s="60">
        <f t="shared" si="70"/>
        <v>2011.8339999999998</v>
      </c>
      <c r="R942" s="60">
        <f t="shared" si="71"/>
        <v>1498.15</v>
      </c>
      <c r="S942" s="60">
        <f t="shared" si="72"/>
        <v>513.68399999999974</v>
      </c>
      <c r="T942" s="65">
        <f t="shared" si="73"/>
        <v>0.25533120525848546</v>
      </c>
    </row>
    <row r="943" spans="1:20">
      <c r="A943" s="41">
        <f t="shared" si="74"/>
        <v>12</v>
      </c>
      <c r="B943" s="6" t="s">
        <v>1084</v>
      </c>
      <c r="C943" s="20">
        <v>46017</v>
      </c>
      <c r="D943" s="6" t="s">
        <v>113</v>
      </c>
      <c r="E943" s="6" t="s">
        <v>114</v>
      </c>
      <c r="F943" s="6" t="s">
        <v>122</v>
      </c>
      <c r="G943" s="6" t="s">
        <v>127</v>
      </c>
      <c r="H943" s="6" t="s">
        <v>92</v>
      </c>
      <c r="I943" s="6" t="s">
        <v>144</v>
      </c>
      <c r="J943" s="25">
        <v>1</v>
      </c>
      <c r="K943" s="21">
        <v>155.63999999999999</v>
      </c>
      <c r="L943" s="63">
        <v>0.22500000000000001</v>
      </c>
      <c r="M943" s="21">
        <v>55.37</v>
      </c>
      <c r="N943" s="6" t="s">
        <v>94</v>
      </c>
      <c r="O943" s="60">
        <f>Vendas2025[[#This Row],[Quantidade]]*Vendas2025[[#This Row],[Preço_Unitário_R$]]</f>
        <v>155.63999999999999</v>
      </c>
      <c r="P943" s="60">
        <f>Vendas2025[[#This Row],[Receita_Bruta_R$]]*Vendas2025[[#This Row],[Desconto_pct]]</f>
        <v>35.018999999999998</v>
      </c>
      <c r="Q943" s="60">
        <f t="shared" si="70"/>
        <v>120.62099999999998</v>
      </c>
      <c r="R943" s="60">
        <f t="shared" si="71"/>
        <v>55.37</v>
      </c>
      <c r="S943" s="60">
        <f t="shared" si="72"/>
        <v>65.250999999999976</v>
      </c>
      <c r="T943" s="65">
        <f t="shared" si="73"/>
        <v>0.54095887117500263</v>
      </c>
    </row>
    <row r="944" spans="1:20">
      <c r="A944" s="41">
        <f t="shared" si="74"/>
        <v>12</v>
      </c>
      <c r="B944" s="6" t="s">
        <v>1085</v>
      </c>
      <c r="C944" s="20">
        <v>46017</v>
      </c>
      <c r="D944" s="6" t="s">
        <v>132</v>
      </c>
      <c r="E944" s="6" t="s">
        <v>89</v>
      </c>
      <c r="F944" s="6" t="s">
        <v>97</v>
      </c>
      <c r="G944" s="6" t="s">
        <v>110</v>
      </c>
      <c r="H944" s="6" t="s">
        <v>99</v>
      </c>
      <c r="I944" s="6" t="s">
        <v>130</v>
      </c>
      <c r="J944" s="25">
        <v>1</v>
      </c>
      <c r="K944" s="21">
        <v>256.64999999999998</v>
      </c>
      <c r="L944" s="63">
        <v>0.1</v>
      </c>
      <c r="M944" s="21">
        <v>119.39</v>
      </c>
      <c r="N944" s="6" t="s">
        <v>94</v>
      </c>
      <c r="O944" s="60">
        <f>Vendas2025[[#This Row],[Quantidade]]*Vendas2025[[#This Row],[Preço_Unitário_R$]]</f>
        <v>256.64999999999998</v>
      </c>
      <c r="P944" s="60">
        <f>Vendas2025[[#This Row],[Receita_Bruta_R$]]*Vendas2025[[#This Row],[Desconto_pct]]</f>
        <v>25.664999999999999</v>
      </c>
      <c r="Q944" s="60">
        <f t="shared" si="70"/>
        <v>230.98499999999999</v>
      </c>
      <c r="R944" s="60">
        <f t="shared" si="71"/>
        <v>119.39</v>
      </c>
      <c r="S944" s="60">
        <f t="shared" si="72"/>
        <v>111.59499999999998</v>
      </c>
      <c r="T944" s="65">
        <f t="shared" si="73"/>
        <v>0.4831266099530272</v>
      </c>
    </row>
    <row r="945" spans="1:22">
      <c r="A945" s="41">
        <f t="shared" si="74"/>
        <v>12</v>
      </c>
      <c r="B945" s="6" t="s">
        <v>1086</v>
      </c>
      <c r="C945" s="20">
        <v>46017</v>
      </c>
      <c r="D945" s="6" t="s">
        <v>132</v>
      </c>
      <c r="E945" s="6" t="s">
        <v>89</v>
      </c>
      <c r="F945" s="6" t="s">
        <v>104</v>
      </c>
      <c r="G945" s="6" t="s">
        <v>140</v>
      </c>
      <c r="H945" s="6" t="s">
        <v>106</v>
      </c>
      <c r="I945" s="6" t="s">
        <v>107</v>
      </c>
      <c r="J945" s="25">
        <v>1</v>
      </c>
      <c r="K945" s="21">
        <v>642.28</v>
      </c>
      <c r="L945" s="63">
        <v>0.12</v>
      </c>
      <c r="M945" s="21">
        <v>368.86</v>
      </c>
      <c r="N945" s="6" t="s">
        <v>94</v>
      </c>
      <c r="O945" s="60">
        <f>Vendas2025[[#This Row],[Quantidade]]*Vendas2025[[#This Row],[Preço_Unitário_R$]]</f>
        <v>642.28</v>
      </c>
      <c r="P945" s="60">
        <f>Vendas2025[[#This Row],[Receita_Bruta_R$]]*Vendas2025[[#This Row],[Desconto_pct]]</f>
        <v>77.073599999999999</v>
      </c>
      <c r="Q945" s="60">
        <f t="shared" si="70"/>
        <v>565.20640000000003</v>
      </c>
      <c r="R945" s="60">
        <f t="shared" si="71"/>
        <v>368.86</v>
      </c>
      <c r="S945" s="60">
        <f t="shared" si="72"/>
        <v>196.34640000000002</v>
      </c>
      <c r="T945" s="65">
        <f t="shared" si="73"/>
        <v>0.34738884768466882</v>
      </c>
    </row>
    <row r="946" spans="1:22">
      <c r="A946" s="41">
        <f t="shared" si="74"/>
        <v>12</v>
      </c>
      <c r="B946" s="6" t="s">
        <v>1087</v>
      </c>
      <c r="C946" s="20">
        <v>46017</v>
      </c>
      <c r="D946" s="6" t="s">
        <v>129</v>
      </c>
      <c r="E946" s="6" t="s">
        <v>103</v>
      </c>
      <c r="F946" s="6" t="s">
        <v>122</v>
      </c>
      <c r="G946" s="6" t="s">
        <v>105</v>
      </c>
      <c r="H946" s="6" t="s">
        <v>124</v>
      </c>
      <c r="I946" s="6" t="s">
        <v>125</v>
      </c>
      <c r="J946" s="25">
        <v>1</v>
      </c>
      <c r="K946" s="21">
        <v>724.12</v>
      </c>
      <c r="L946" s="63">
        <v>0.2</v>
      </c>
      <c r="M946" s="21">
        <v>349.27</v>
      </c>
      <c r="N946" s="6" t="s">
        <v>94</v>
      </c>
      <c r="O946" s="60">
        <f>Vendas2025[[#This Row],[Quantidade]]*Vendas2025[[#This Row],[Preço_Unitário_R$]]</f>
        <v>724.12</v>
      </c>
      <c r="P946" s="60">
        <f>Vendas2025[[#This Row],[Receita_Bruta_R$]]*Vendas2025[[#This Row],[Desconto_pct]]</f>
        <v>144.82400000000001</v>
      </c>
      <c r="Q946" s="60">
        <f t="shared" si="70"/>
        <v>579.29600000000005</v>
      </c>
      <c r="R946" s="60">
        <f t="shared" si="71"/>
        <v>349.27</v>
      </c>
      <c r="S946" s="60">
        <f t="shared" si="72"/>
        <v>230.02600000000007</v>
      </c>
      <c r="T946" s="65">
        <f t="shared" si="73"/>
        <v>0.39707852289675755</v>
      </c>
    </row>
    <row r="947" spans="1:22">
      <c r="A947" s="41">
        <f t="shared" si="74"/>
        <v>12</v>
      </c>
      <c r="B947" s="6" t="s">
        <v>1088</v>
      </c>
      <c r="C947" s="20">
        <v>46017</v>
      </c>
      <c r="D947" s="6" t="s">
        <v>132</v>
      </c>
      <c r="E947" s="6" t="s">
        <v>89</v>
      </c>
      <c r="F947" s="6" t="s">
        <v>97</v>
      </c>
      <c r="G947" s="6" t="s">
        <v>115</v>
      </c>
      <c r="H947" s="6" t="s">
        <v>124</v>
      </c>
      <c r="I947" s="6" t="s">
        <v>125</v>
      </c>
      <c r="J947" s="25">
        <v>1</v>
      </c>
      <c r="K947" s="21">
        <v>689.61</v>
      </c>
      <c r="L947" s="63">
        <v>0.1</v>
      </c>
      <c r="M947" s="21">
        <v>328.17</v>
      </c>
      <c r="N947" s="6" t="s">
        <v>94</v>
      </c>
      <c r="O947" s="60">
        <f>Vendas2025[[#This Row],[Quantidade]]*Vendas2025[[#This Row],[Preço_Unitário_R$]]</f>
        <v>689.61</v>
      </c>
      <c r="P947" s="60">
        <f>Vendas2025[[#This Row],[Receita_Bruta_R$]]*Vendas2025[[#This Row],[Desconto_pct]]</f>
        <v>68.960999999999999</v>
      </c>
      <c r="Q947" s="60">
        <f t="shared" si="70"/>
        <v>620.649</v>
      </c>
      <c r="R947" s="60">
        <f t="shared" si="71"/>
        <v>328.17</v>
      </c>
      <c r="S947" s="60">
        <f t="shared" si="72"/>
        <v>292.47899999999998</v>
      </c>
      <c r="T947" s="65">
        <f t="shared" si="73"/>
        <v>0.47124703334735091</v>
      </c>
    </row>
    <row r="948" spans="1:22">
      <c r="A948" s="41">
        <f t="shared" si="74"/>
        <v>12</v>
      </c>
      <c r="B948" s="6" t="s">
        <v>1089</v>
      </c>
      <c r="C948" s="20">
        <v>46017</v>
      </c>
      <c r="D948" s="6" t="s">
        <v>102</v>
      </c>
      <c r="E948" s="6" t="s">
        <v>103</v>
      </c>
      <c r="F948" s="6" t="s">
        <v>97</v>
      </c>
      <c r="G948" s="6" t="s">
        <v>105</v>
      </c>
      <c r="H948" s="6" t="s">
        <v>92</v>
      </c>
      <c r="I948" s="6" t="s">
        <v>144</v>
      </c>
      <c r="J948" s="25">
        <v>2</v>
      </c>
      <c r="K948" s="21">
        <v>150.34</v>
      </c>
      <c r="L948" s="63">
        <v>0.05</v>
      </c>
      <c r="M948" s="21">
        <v>52.14</v>
      </c>
      <c r="N948" s="6" t="s">
        <v>94</v>
      </c>
      <c r="O948" s="60">
        <f>Vendas2025[[#This Row],[Quantidade]]*Vendas2025[[#This Row],[Preço_Unitário_R$]]</f>
        <v>300.68</v>
      </c>
      <c r="P948" s="60">
        <f>Vendas2025[[#This Row],[Receita_Bruta_R$]]*Vendas2025[[#This Row],[Desconto_pct]]</f>
        <v>15.034000000000001</v>
      </c>
      <c r="Q948" s="60">
        <f t="shared" si="70"/>
        <v>285.64600000000002</v>
      </c>
      <c r="R948" s="60">
        <f t="shared" si="71"/>
        <v>104.28</v>
      </c>
      <c r="S948" s="60">
        <f t="shared" si="72"/>
        <v>181.36600000000001</v>
      </c>
      <c r="T948" s="65">
        <f t="shared" si="73"/>
        <v>0.63493274892699358</v>
      </c>
    </row>
    <row r="949" spans="1:22">
      <c r="A949" s="41">
        <f t="shared" si="74"/>
        <v>12</v>
      </c>
      <c r="B949" s="6" t="s">
        <v>1090</v>
      </c>
      <c r="C949" s="20">
        <v>46019</v>
      </c>
      <c r="D949" s="6" t="s">
        <v>102</v>
      </c>
      <c r="E949" s="6" t="s">
        <v>103</v>
      </c>
      <c r="F949" s="6" t="s">
        <v>104</v>
      </c>
      <c r="G949" s="6" t="s">
        <v>91</v>
      </c>
      <c r="H949" s="6" t="s">
        <v>124</v>
      </c>
      <c r="I949" s="6" t="s">
        <v>125</v>
      </c>
      <c r="J949" s="25">
        <v>2</v>
      </c>
      <c r="K949" s="21">
        <v>665.78</v>
      </c>
      <c r="L949" s="63">
        <v>0.1</v>
      </c>
      <c r="M949" s="21">
        <v>330.07</v>
      </c>
      <c r="N949" s="6" t="s">
        <v>94</v>
      </c>
      <c r="O949" s="60">
        <f>Vendas2025[[#This Row],[Quantidade]]*Vendas2025[[#This Row],[Preço_Unitário_R$]]</f>
        <v>1331.56</v>
      </c>
      <c r="P949" s="60">
        <f>Vendas2025[[#This Row],[Receita_Bruta_R$]]*Vendas2025[[#This Row],[Desconto_pct]]</f>
        <v>133.15600000000001</v>
      </c>
      <c r="Q949" s="60">
        <f t="shared" si="70"/>
        <v>1198.404</v>
      </c>
      <c r="R949" s="60">
        <f t="shared" si="71"/>
        <v>660.14</v>
      </c>
      <c r="S949" s="60">
        <f t="shared" si="72"/>
        <v>538.26400000000001</v>
      </c>
      <c r="T949" s="65">
        <f t="shared" si="73"/>
        <v>0.44915070376934657</v>
      </c>
    </row>
    <row r="950" spans="1:22">
      <c r="A950" s="41">
        <f t="shared" si="74"/>
        <v>12</v>
      </c>
      <c r="B950" s="6" t="s">
        <v>1091</v>
      </c>
      <c r="C950" s="20">
        <v>46019</v>
      </c>
      <c r="D950" s="6" t="s">
        <v>102</v>
      </c>
      <c r="E950" s="6" t="s">
        <v>103</v>
      </c>
      <c r="F950" s="6" t="s">
        <v>90</v>
      </c>
      <c r="G950" s="6" t="s">
        <v>105</v>
      </c>
      <c r="H950" s="6" t="s">
        <v>106</v>
      </c>
      <c r="I950" s="6" t="s">
        <v>116</v>
      </c>
      <c r="J950" s="25">
        <v>1</v>
      </c>
      <c r="K950" s="21">
        <v>473.55</v>
      </c>
      <c r="L950" s="63">
        <v>0.1</v>
      </c>
      <c r="M950" s="21">
        <v>269.88</v>
      </c>
      <c r="N950" s="6" t="s">
        <v>94</v>
      </c>
      <c r="O950" s="60">
        <f>Vendas2025[[#This Row],[Quantidade]]*Vendas2025[[#This Row],[Preço_Unitário_R$]]</f>
        <v>473.55</v>
      </c>
      <c r="P950" s="60">
        <f>Vendas2025[[#This Row],[Receita_Bruta_R$]]*Vendas2025[[#This Row],[Desconto_pct]]</f>
        <v>47.355000000000004</v>
      </c>
      <c r="Q950" s="60">
        <f t="shared" si="70"/>
        <v>426.19499999999999</v>
      </c>
      <c r="R950" s="60">
        <f t="shared" si="71"/>
        <v>269.88</v>
      </c>
      <c r="S950" s="60">
        <f t="shared" si="72"/>
        <v>156.315</v>
      </c>
      <c r="T950" s="65">
        <f t="shared" si="73"/>
        <v>0.36676873262239118</v>
      </c>
    </row>
    <row r="951" spans="1:22">
      <c r="A951" s="41">
        <f t="shared" si="74"/>
        <v>12</v>
      </c>
      <c r="B951" s="6" t="s">
        <v>1092</v>
      </c>
      <c r="C951" s="20">
        <v>46019</v>
      </c>
      <c r="D951" s="6" t="s">
        <v>88</v>
      </c>
      <c r="E951" s="6" t="s">
        <v>89</v>
      </c>
      <c r="F951" s="6" t="s">
        <v>122</v>
      </c>
      <c r="G951" s="6" t="s">
        <v>91</v>
      </c>
      <c r="H951" s="6" t="s">
        <v>119</v>
      </c>
      <c r="I951" s="6" t="s">
        <v>155</v>
      </c>
      <c r="J951" s="25">
        <v>1</v>
      </c>
      <c r="K951" s="21">
        <v>362.42</v>
      </c>
      <c r="L951" s="63">
        <v>0.15</v>
      </c>
      <c r="M951" s="21">
        <v>198.07</v>
      </c>
      <c r="N951" s="6" t="s">
        <v>94</v>
      </c>
      <c r="O951" s="60">
        <f>Vendas2025[[#This Row],[Quantidade]]*Vendas2025[[#This Row],[Preço_Unitário_R$]]</f>
        <v>362.42</v>
      </c>
      <c r="P951" s="60">
        <f>Vendas2025[[#This Row],[Receita_Bruta_R$]]*Vendas2025[[#This Row],[Desconto_pct]]</f>
        <v>54.363</v>
      </c>
      <c r="Q951" s="60">
        <f t="shared" si="70"/>
        <v>308.05700000000002</v>
      </c>
      <c r="R951" s="60">
        <f t="shared" si="71"/>
        <v>198.07</v>
      </c>
      <c r="S951" s="60">
        <f t="shared" si="72"/>
        <v>109.98700000000002</v>
      </c>
      <c r="T951" s="65">
        <f t="shared" si="73"/>
        <v>0.35703457477025363</v>
      </c>
    </row>
    <row r="952" spans="1:22">
      <c r="A952" s="41">
        <f t="shared" si="74"/>
        <v>12</v>
      </c>
      <c r="B952" s="6" t="s">
        <v>1093</v>
      </c>
      <c r="C952" s="20">
        <v>46019</v>
      </c>
      <c r="D952" s="6" t="s">
        <v>96</v>
      </c>
      <c r="E952" s="6" t="s">
        <v>89</v>
      </c>
      <c r="F952" s="6" t="s">
        <v>97</v>
      </c>
      <c r="G952" s="6" t="s">
        <v>123</v>
      </c>
      <c r="H952" s="6" t="s">
        <v>99</v>
      </c>
      <c r="I952" s="6" t="s">
        <v>173</v>
      </c>
      <c r="J952" s="25">
        <v>1</v>
      </c>
      <c r="K952" s="21">
        <v>3617.12</v>
      </c>
      <c r="L952" s="63">
        <v>0.17499999999999999</v>
      </c>
      <c r="M952" s="21">
        <v>2844.58</v>
      </c>
      <c r="N952" s="6" t="s">
        <v>94</v>
      </c>
      <c r="O952" s="60">
        <f>Vendas2025[[#This Row],[Quantidade]]*Vendas2025[[#This Row],[Preço_Unitário_R$]]</f>
        <v>3617.12</v>
      </c>
      <c r="P952" s="60">
        <f>Vendas2025[[#This Row],[Receita_Bruta_R$]]*Vendas2025[[#This Row],[Desconto_pct]]</f>
        <v>632.99599999999998</v>
      </c>
      <c r="Q952" s="60">
        <f t="shared" si="70"/>
        <v>2984.1239999999998</v>
      </c>
      <c r="R952" s="60">
        <f t="shared" si="71"/>
        <v>2844.58</v>
      </c>
      <c r="S952" s="60">
        <f t="shared" si="72"/>
        <v>139.54399999999987</v>
      </c>
      <c r="T952" s="65">
        <f t="shared" si="73"/>
        <v>4.6762131868514807E-2</v>
      </c>
    </row>
    <row r="953" spans="1:22">
      <c r="B953" s="32"/>
      <c r="C953" s="33"/>
      <c r="D953" s="32"/>
      <c r="E953" s="32"/>
      <c r="F953" s="32"/>
      <c r="G953" s="32"/>
      <c r="H953" s="32"/>
      <c r="I953" s="32"/>
      <c r="J953" s="34"/>
      <c r="K953" s="35"/>
      <c r="L953" s="36"/>
      <c r="M953" s="35"/>
      <c r="N953" s="32"/>
      <c r="O953" s="61">
        <f>SUBTOTAL(109,Vendas2025[Receita_Bruta_R$])</f>
        <v>870408.15999999992</v>
      </c>
      <c r="P953" s="61">
        <f>SUBTOTAL(109,Vendas2025[Desconto_R$])</f>
        <v>85647.073850000044</v>
      </c>
      <c r="Q953" s="61">
        <f>SUBTOTAL(109,Vendas2025[Receita_Líquida_R$])</f>
        <v>758697.23965000047</v>
      </c>
      <c r="R953" s="61">
        <f>SUBTOTAL(109,Vendas2025[Custo_Total_R$])</f>
        <v>538780.15000000061</v>
      </c>
      <c r="S953" s="61">
        <f>SUBTOTAL(109,Vendas2025[Lucro_Bruto_R$])</f>
        <v>219917.0896500001</v>
      </c>
      <c r="T953" s="66">
        <f>Vendas2025[[#Totals],[Lucro_Bruto_R$]]/Vendas2025[[#Totals],[Receita_Líquida_R$]]</f>
        <v>0.28986146008841612</v>
      </c>
    </row>
    <row r="954" spans="1:22">
      <c r="V954" s="56"/>
    </row>
    <row r="959" spans="1:22">
      <c r="P959" s="56"/>
    </row>
    <row r="971" spans="8:8">
      <c r="H971" s="5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8D"/>
  </sheetPr>
  <dimension ref="A1:D24"/>
  <sheetViews>
    <sheetView showGridLines="0" workbookViewId="0">
      <pane ySplit="5" topLeftCell="A9" activePane="bottomLeft" state="frozen"/>
      <selection pane="bottomLeft"/>
    </sheetView>
  </sheetViews>
  <sheetFormatPr defaultRowHeight="14.25"/>
  <cols>
    <col min="1" max="1" width="25" customWidth="1"/>
    <col min="2" max="2" width="36" customWidth="1"/>
    <col min="3" max="3" width="17" customWidth="1"/>
    <col min="4" max="4" width="61" customWidth="1"/>
  </cols>
  <sheetData>
    <row r="1" spans="1:4">
      <c r="A1" s="1"/>
      <c r="B1" s="1"/>
      <c r="C1" s="1"/>
      <c r="D1" s="1"/>
    </row>
    <row r="2" spans="1:4" ht="20.25">
      <c r="A2" s="80" t="s">
        <v>1094</v>
      </c>
      <c r="B2" s="80"/>
      <c r="C2" s="80"/>
      <c r="D2" s="80"/>
    </row>
    <row r="3" spans="1:4">
      <c r="A3" s="81" t="s">
        <v>1095</v>
      </c>
      <c r="B3" s="81"/>
      <c r="C3" s="81"/>
      <c r="D3" s="81"/>
    </row>
    <row r="4" spans="1:4">
      <c r="A4" s="1"/>
      <c r="B4" s="1"/>
      <c r="C4" s="1"/>
      <c r="D4" s="1"/>
    </row>
    <row r="5" spans="1:4">
      <c r="A5" s="22" t="s">
        <v>1096</v>
      </c>
      <c r="B5" s="22" t="s">
        <v>1097</v>
      </c>
      <c r="C5" s="22" t="s">
        <v>1098</v>
      </c>
      <c r="D5" s="22" t="s">
        <v>1099</v>
      </c>
    </row>
    <row r="6" spans="1:4" ht="30" customHeight="1">
      <c r="A6" s="11" t="s">
        <v>68</v>
      </c>
      <c r="B6" s="4" t="s">
        <v>1100</v>
      </c>
      <c r="C6" s="4" t="s">
        <v>1101</v>
      </c>
      <c r="D6" s="4" t="s">
        <v>1102</v>
      </c>
    </row>
    <row r="7" spans="1:4" ht="30" customHeight="1">
      <c r="A7" s="11" t="s">
        <v>69</v>
      </c>
      <c r="B7" s="4" t="s">
        <v>1103</v>
      </c>
      <c r="C7" s="4" t="s">
        <v>69</v>
      </c>
      <c r="D7" s="4" t="s">
        <v>1104</v>
      </c>
    </row>
    <row r="8" spans="1:4" ht="30" customHeight="1">
      <c r="A8" s="11" t="s">
        <v>70</v>
      </c>
      <c r="B8" s="4" t="s">
        <v>1105</v>
      </c>
      <c r="C8" s="4" t="s">
        <v>74</v>
      </c>
      <c r="D8" s="4" t="s">
        <v>1106</v>
      </c>
    </row>
    <row r="9" spans="1:4" ht="30" customHeight="1">
      <c r="A9" s="11" t="s">
        <v>71</v>
      </c>
      <c r="B9" s="4" t="s">
        <v>1107</v>
      </c>
      <c r="C9" s="4" t="s">
        <v>74</v>
      </c>
      <c r="D9" s="4" t="s">
        <v>1108</v>
      </c>
    </row>
    <row r="10" spans="1:4" ht="30" customHeight="1">
      <c r="A10" s="11" t="s">
        <v>72</v>
      </c>
      <c r="B10" s="4" t="s">
        <v>1109</v>
      </c>
      <c r="C10" s="4" t="s">
        <v>74</v>
      </c>
      <c r="D10" s="4" t="s">
        <v>1110</v>
      </c>
    </row>
    <row r="11" spans="1:4" ht="30" customHeight="1">
      <c r="A11" s="11" t="s">
        <v>73</v>
      </c>
      <c r="B11" s="4" t="s">
        <v>1111</v>
      </c>
      <c r="C11" s="4" t="s">
        <v>1101</v>
      </c>
      <c r="D11" s="4" t="s">
        <v>1112</v>
      </c>
    </row>
    <row r="12" spans="1:4" ht="30" customHeight="1">
      <c r="A12" s="11" t="s">
        <v>74</v>
      </c>
      <c r="B12" s="4" t="s">
        <v>1113</v>
      </c>
      <c r="C12" s="4" t="s">
        <v>74</v>
      </c>
      <c r="D12" s="4" t="s">
        <v>1114</v>
      </c>
    </row>
    <row r="13" spans="1:4" ht="30" customHeight="1">
      <c r="A13" s="11" t="s">
        <v>75</v>
      </c>
      <c r="B13" s="4" t="s">
        <v>1115</v>
      </c>
      <c r="C13" s="4" t="s">
        <v>74</v>
      </c>
      <c r="D13" s="4" t="s">
        <v>1116</v>
      </c>
    </row>
    <row r="14" spans="1:4" ht="30" customHeight="1">
      <c r="A14" s="11" t="s">
        <v>76</v>
      </c>
      <c r="B14" s="4" t="s">
        <v>1117</v>
      </c>
      <c r="C14" s="4" t="s">
        <v>1118</v>
      </c>
      <c r="D14" s="4" t="s">
        <v>1119</v>
      </c>
    </row>
    <row r="15" spans="1:4" ht="30" customHeight="1">
      <c r="A15" s="11" t="s">
        <v>77</v>
      </c>
      <c r="B15" s="4" t="s">
        <v>1120</v>
      </c>
      <c r="C15" s="4" t="s">
        <v>1121</v>
      </c>
      <c r="D15" s="4" t="s">
        <v>1122</v>
      </c>
    </row>
    <row r="16" spans="1:4" ht="30" customHeight="1">
      <c r="A16" s="11" t="s">
        <v>78</v>
      </c>
      <c r="B16" s="4" t="s">
        <v>1123</v>
      </c>
      <c r="C16" s="4" t="s">
        <v>1124</v>
      </c>
      <c r="D16" s="4" t="s">
        <v>1125</v>
      </c>
    </row>
    <row r="17" spans="1:4" ht="30" customHeight="1">
      <c r="A17" s="11" t="s">
        <v>79</v>
      </c>
      <c r="B17" s="4" t="s">
        <v>1126</v>
      </c>
      <c r="C17" s="4" t="s">
        <v>1121</v>
      </c>
      <c r="D17" s="4" t="s">
        <v>1127</v>
      </c>
    </row>
    <row r="18" spans="1:4" ht="30" customHeight="1">
      <c r="A18" s="11" t="s">
        <v>80</v>
      </c>
      <c r="B18" s="4" t="s">
        <v>1128</v>
      </c>
      <c r="C18" s="4" t="s">
        <v>74</v>
      </c>
      <c r="D18" s="4" t="s">
        <v>1129</v>
      </c>
    </row>
    <row r="19" spans="1:4" ht="30" customHeight="1">
      <c r="A19" s="11" t="s">
        <v>81</v>
      </c>
      <c r="B19" s="4" t="s">
        <v>1130</v>
      </c>
      <c r="C19" s="4" t="s">
        <v>1121</v>
      </c>
      <c r="D19" s="4" t="s">
        <v>1131</v>
      </c>
    </row>
    <row r="20" spans="1:4" ht="30" customHeight="1">
      <c r="A20" s="11" t="s">
        <v>82</v>
      </c>
      <c r="B20" s="4" t="s">
        <v>1132</v>
      </c>
      <c r="C20" s="4" t="s">
        <v>1121</v>
      </c>
      <c r="D20" s="4" t="s">
        <v>1133</v>
      </c>
    </row>
    <row r="21" spans="1:4" ht="30" customHeight="1">
      <c r="A21" s="11" t="s">
        <v>83</v>
      </c>
      <c r="B21" s="4" t="s">
        <v>1134</v>
      </c>
      <c r="C21" s="4" t="s">
        <v>1121</v>
      </c>
      <c r="D21" s="4" t="s">
        <v>1135</v>
      </c>
    </row>
    <row r="22" spans="1:4" ht="30" customHeight="1">
      <c r="A22" s="11" t="s">
        <v>84</v>
      </c>
      <c r="B22" s="4" t="s">
        <v>1136</v>
      </c>
      <c r="C22" s="4" t="s">
        <v>1121</v>
      </c>
      <c r="D22" s="4" t="s">
        <v>1137</v>
      </c>
    </row>
    <row r="23" spans="1:4" ht="30" customHeight="1">
      <c r="A23" s="11" t="s">
        <v>85</v>
      </c>
      <c r="B23" s="4" t="s">
        <v>1138</v>
      </c>
      <c r="C23" s="4" t="s">
        <v>1121</v>
      </c>
      <c r="D23" s="4" t="s">
        <v>1139</v>
      </c>
    </row>
    <row r="24" spans="1:4" ht="30" customHeight="1">
      <c r="A24" s="12" t="s">
        <v>86</v>
      </c>
      <c r="B24" s="5" t="s">
        <v>1140</v>
      </c>
      <c r="C24" s="5" t="s">
        <v>1124</v>
      </c>
      <c r="D24" s="5" t="s">
        <v>1141</v>
      </c>
    </row>
  </sheetData>
  <mergeCells count="2">
    <mergeCell ref="A2:D2"/>
    <mergeCell ref="A3:D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DCC6-03CA-4270-BAB2-B8D563F64E91}">
  <dimension ref="F7:H33"/>
  <sheetViews>
    <sheetView zoomScaleNormal="100" workbookViewId="0">
      <selection activeCell="H33" sqref="F21:H33"/>
    </sheetView>
  </sheetViews>
  <sheetFormatPr defaultRowHeight="14.25"/>
  <cols>
    <col min="6" max="6" width="14.625" bestFit="1" customWidth="1"/>
    <col min="7" max="7" width="24.125" bestFit="1" customWidth="1"/>
    <col min="8" max="8" width="22.5" bestFit="1" customWidth="1"/>
  </cols>
  <sheetData>
    <row r="7" spans="6:8">
      <c r="F7" s="57" t="s">
        <v>1148</v>
      </c>
      <c r="G7" s="57" t="s">
        <v>1150</v>
      </c>
      <c r="H7" s="57" t="s">
        <v>1153</v>
      </c>
    </row>
    <row r="8" spans="6:8">
      <c r="F8" t="s">
        <v>1157</v>
      </c>
      <c r="G8" s="30">
        <v>53698.67</v>
      </c>
      <c r="H8" s="30">
        <v>14495.159100000003</v>
      </c>
    </row>
    <row r="9" spans="6:8">
      <c r="F9" t="s">
        <v>1158</v>
      </c>
      <c r="G9" s="30">
        <v>59260.970000000008</v>
      </c>
      <c r="H9" s="30">
        <v>15831.802199999998</v>
      </c>
    </row>
    <row r="10" spans="6:8">
      <c r="F10" t="s">
        <v>1159</v>
      </c>
      <c r="G10" s="30">
        <v>78484.469999999987</v>
      </c>
      <c r="H10" s="30">
        <v>19362.191999999999</v>
      </c>
    </row>
    <row r="11" spans="6:8">
      <c r="F11" t="s">
        <v>1160</v>
      </c>
      <c r="G11" s="30">
        <v>53319.67</v>
      </c>
      <c r="H11" s="30">
        <v>13386.6762</v>
      </c>
    </row>
    <row r="12" spans="6:8">
      <c r="F12" t="s">
        <v>1161</v>
      </c>
      <c r="G12" s="30">
        <v>69130.279999999984</v>
      </c>
      <c r="H12" s="30">
        <v>16673.024200000003</v>
      </c>
    </row>
    <row r="13" spans="6:8">
      <c r="F13" t="s">
        <v>1162</v>
      </c>
      <c r="G13" s="30">
        <v>80128.239999999991</v>
      </c>
      <c r="H13" s="30">
        <v>18632.858</v>
      </c>
    </row>
    <row r="14" spans="6:8">
      <c r="F14" t="s">
        <v>1163</v>
      </c>
      <c r="G14" s="30">
        <v>51967.850000000006</v>
      </c>
      <c r="H14" s="30">
        <v>15468.065700000003</v>
      </c>
    </row>
    <row r="15" spans="6:8">
      <c r="F15" t="s">
        <v>1164</v>
      </c>
      <c r="G15" s="30">
        <v>62497.05</v>
      </c>
      <c r="H15" s="30">
        <v>15226.954599999995</v>
      </c>
    </row>
    <row r="16" spans="6:8">
      <c r="F16" t="s">
        <v>1165</v>
      </c>
      <c r="G16" s="30">
        <v>81143.460000000036</v>
      </c>
      <c r="H16" s="30">
        <v>19149.958700000007</v>
      </c>
    </row>
    <row r="17" spans="6:8">
      <c r="F17" t="s">
        <v>1166</v>
      </c>
      <c r="G17" s="30">
        <v>91229.300000000032</v>
      </c>
      <c r="H17" s="30">
        <v>23636.425100000008</v>
      </c>
    </row>
    <row r="18" spans="6:8">
      <c r="F18" t="s">
        <v>1167</v>
      </c>
      <c r="G18" s="30">
        <v>94942.620000000039</v>
      </c>
      <c r="H18" s="30">
        <v>24735.163850000004</v>
      </c>
    </row>
    <row r="19" spans="6:8">
      <c r="F19" t="s">
        <v>1168</v>
      </c>
      <c r="G19" s="30">
        <v>94605.579999999944</v>
      </c>
      <c r="H19" s="30">
        <v>23318.810000000005</v>
      </c>
    </row>
    <row r="20" spans="6:8">
      <c r="H20" s="30">
        <f>SMALL(H8:H19,1)</f>
        <v>13386.6762</v>
      </c>
    </row>
    <row r="21" spans="6:8">
      <c r="F21" s="57" t="s">
        <v>1169</v>
      </c>
      <c r="G21" s="57" t="s">
        <v>1174</v>
      </c>
      <c r="H21" s="57" t="s">
        <v>1153</v>
      </c>
    </row>
    <row r="22" spans="6:8">
      <c r="F22" t="s">
        <v>140</v>
      </c>
      <c r="G22">
        <v>100</v>
      </c>
      <c r="H22">
        <v>20599.487100000002</v>
      </c>
    </row>
    <row r="23" spans="6:8">
      <c r="F23" t="s">
        <v>91</v>
      </c>
      <c r="G23">
        <v>109</v>
      </c>
      <c r="H23">
        <v>18638.661600000007</v>
      </c>
    </row>
    <row r="24" spans="6:8">
      <c r="F24" t="s">
        <v>154</v>
      </c>
      <c r="G24">
        <v>86</v>
      </c>
      <c r="H24">
        <v>15750.545149999996</v>
      </c>
    </row>
    <row r="25" spans="6:8">
      <c r="F25" t="s">
        <v>98</v>
      </c>
      <c r="G25">
        <v>117</v>
      </c>
      <c r="H25">
        <v>20022.591650000002</v>
      </c>
    </row>
    <row r="26" spans="6:8">
      <c r="F26" t="s">
        <v>123</v>
      </c>
      <c r="G26">
        <v>107</v>
      </c>
      <c r="H26">
        <v>17926.190349999993</v>
      </c>
    </row>
    <row r="27" spans="6:8">
      <c r="F27" t="s">
        <v>151</v>
      </c>
      <c r="G27">
        <v>93</v>
      </c>
      <c r="H27">
        <v>19177.979350000009</v>
      </c>
    </row>
    <row r="28" spans="6:8">
      <c r="F28" t="s">
        <v>127</v>
      </c>
      <c r="G28">
        <v>111</v>
      </c>
      <c r="H28">
        <v>18778.593800000006</v>
      </c>
    </row>
    <row r="29" spans="6:8">
      <c r="F29" t="s">
        <v>177</v>
      </c>
      <c r="G29">
        <v>94</v>
      </c>
      <c r="H29">
        <v>14253.916299999999</v>
      </c>
    </row>
    <row r="30" spans="6:8">
      <c r="F30" t="s">
        <v>160</v>
      </c>
      <c r="G30">
        <v>92</v>
      </c>
      <c r="H30">
        <v>16831.649249999995</v>
      </c>
    </row>
    <row r="31" spans="6:8">
      <c r="F31" t="s">
        <v>110</v>
      </c>
      <c r="G31">
        <v>108</v>
      </c>
      <c r="H31">
        <v>20807.312600000012</v>
      </c>
    </row>
    <row r="32" spans="6:8">
      <c r="F32" t="s">
        <v>115</v>
      </c>
      <c r="G32">
        <v>108</v>
      </c>
      <c r="H32">
        <v>17782.348899999994</v>
      </c>
    </row>
    <row r="33" spans="6:8">
      <c r="F33" t="s">
        <v>105</v>
      </c>
      <c r="G33">
        <v>101</v>
      </c>
      <c r="H33">
        <v>19213.723600000001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</sheetPr>
  <dimension ref="A1:P76"/>
  <sheetViews>
    <sheetView showGridLines="0" tabSelected="1" zoomScaleNormal="100" workbookViewId="0">
      <selection activeCell="J1" sqref="J1:J1048576"/>
    </sheetView>
  </sheetViews>
  <sheetFormatPr defaultRowHeight="14.25"/>
  <cols>
    <col min="1" max="1" width="3.75" customWidth="1"/>
    <col min="2" max="2" width="1.125" customWidth="1"/>
    <col min="3" max="3" width="24" bestFit="1" customWidth="1"/>
    <col min="4" max="4" width="25.5" bestFit="1" customWidth="1"/>
    <col min="5" max="5" width="23.875" bestFit="1" customWidth="1"/>
    <col min="6" max="6" width="2.375" customWidth="1"/>
    <col min="7" max="7" width="23.875" hidden="1" customWidth="1"/>
    <col min="8" max="8" width="16.875" customWidth="1"/>
    <col min="9" max="9" width="18.5" bestFit="1" customWidth="1"/>
    <col min="10" max="10" width="27.125" hidden="1" customWidth="1"/>
    <col min="11" max="12" width="23.875" bestFit="1" customWidth="1"/>
    <col min="13" max="13" width="23.875" customWidth="1"/>
    <col min="14" max="14" width="16" customWidth="1"/>
    <col min="15" max="15" width="0.25" customWidth="1"/>
    <col min="16" max="16" width="18" bestFit="1" customWidth="1"/>
    <col min="17" max="17" width="22.75" bestFit="1" customWidth="1"/>
    <col min="18" max="18" width="23.875" bestFit="1" customWidth="1"/>
    <col min="19" max="911" width="19.5" bestFit="1" customWidth="1"/>
    <col min="912" max="912" width="10.75" bestFit="1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>
      <c r="A2" s="76" t="s">
        <v>1142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>
      <c r="A3" s="81" t="s">
        <v>1143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82" t="s">
        <v>1144</v>
      </c>
      <c r="B5" s="82"/>
      <c r="C5" s="82"/>
      <c r="D5" s="23"/>
      <c r="E5" s="23"/>
      <c r="F5" s="82" t="s">
        <v>1145</v>
      </c>
      <c r="G5" s="82"/>
      <c r="H5" s="82"/>
      <c r="I5" s="82" t="s">
        <v>1146</v>
      </c>
      <c r="J5" s="82"/>
      <c r="K5" s="82"/>
      <c r="L5" s="82" t="s">
        <v>1147</v>
      </c>
      <c r="M5" s="82"/>
      <c r="N5" s="82"/>
      <c r="O5" s="82"/>
    </row>
    <row r="6" spans="1:15" ht="18">
      <c r="A6" s="83">
        <f>Base_Vendas!Q953</f>
        <v>758697.23965000047</v>
      </c>
      <c r="B6" s="84"/>
      <c r="C6" s="85"/>
      <c r="D6" s="37"/>
      <c r="E6" s="37"/>
      <c r="F6" s="83">
        <f>Base_Vendas!S953</f>
        <v>219917.0896500001</v>
      </c>
      <c r="G6" s="84"/>
      <c r="H6" s="85"/>
      <c r="I6" s="89">
        <f>Base_Vendas!T953</f>
        <v>0.28986146008841612</v>
      </c>
      <c r="J6" s="90"/>
      <c r="K6" s="91"/>
      <c r="L6" s="95">
        <f>COUNTIF(Base_Vendas!$N$2:'Base_Vendas'!$N$952,"Concluída")</f>
        <v>908</v>
      </c>
      <c r="M6" s="90"/>
      <c r="N6" s="90"/>
      <c r="O6" s="91"/>
    </row>
    <row r="7" spans="1:15" ht="18">
      <c r="A7" s="86"/>
      <c r="B7" s="87"/>
      <c r="C7" s="88"/>
      <c r="D7" s="38"/>
      <c r="E7" s="38"/>
      <c r="F7" s="86"/>
      <c r="G7" s="87"/>
      <c r="H7" s="88"/>
      <c r="I7" s="92"/>
      <c r="J7" s="93"/>
      <c r="K7" s="94"/>
      <c r="L7" s="92"/>
      <c r="M7" s="93"/>
      <c r="N7" s="93"/>
      <c r="O7" s="94"/>
    </row>
    <row r="8" spans="1:15" ht="18">
      <c r="A8" s="44"/>
      <c r="B8" s="44"/>
      <c r="C8" s="44"/>
      <c r="D8" s="44"/>
      <c r="E8" s="44"/>
      <c r="G8" s="44"/>
      <c r="H8" s="44"/>
      <c r="K8" s="45"/>
      <c r="L8" s="45"/>
      <c r="M8" s="45"/>
      <c r="N8" s="45"/>
      <c r="O8" s="45"/>
    </row>
    <row r="9" spans="1:15">
      <c r="C9" s="43" t="s">
        <v>1170</v>
      </c>
      <c r="D9" s="43"/>
      <c r="E9" s="43"/>
      <c r="I9" s="43" t="s">
        <v>1171</v>
      </c>
      <c r="J9" s="43"/>
      <c r="K9" s="43"/>
      <c r="L9" s="47"/>
    </row>
    <row r="10" spans="1:15" ht="15">
      <c r="C10" s="39" t="s">
        <v>1148</v>
      </c>
      <c r="D10" s="30" t="s">
        <v>1150</v>
      </c>
      <c r="E10" s="30" t="s">
        <v>1153</v>
      </c>
      <c r="I10" s="39" t="s">
        <v>1148</v>
      </c>
      <c r="J10" t="s">
        <v>1152</v>
      </c>
      <c r="K10" t="s">
        <v>1153</v>
      </c>
      <c r="L10" s="53" t="s">
        <v>1155</v>
      </c>
    </row>
    <row r="11" spans="1:15">
      <c r="C11" s="40" t="s">
        <v>1157</v>
      </c>
      <c r="D11" s="30">
        <v>53698.67</v>
      </c>
      <c r="E11" s="30">
        <v>14495.159100000003</v>
      </c>
      <c r="I11" s="40" t="s">
        <v>124</v>
      </c>
      <c r="J11" s="55">
        <v>89547.027199999997</v>
      </c>
      <c r="K11" s="30">
        <v>43036.197200000017</v>
      </c>
      <c r="L11" s="49">
        <f>GETPIVOTDATA("Soma de Lucro_Bruto_R$",$I$10,"Categoria","Acessórios")/GETPIVOTDATA("Soma de Receita_Líquida_R$",$I$10,"Categoria","Acessórios")</f>
        <v>0.48059883779145735</v>
      </c>
    </row>
    <row r="12" spans="1:15">
      <c r="C12" s="40" t="s">
        <v>1158</v>
      </c>
      <c r="D12" s="30">
        <v>59260.970000000008</v>
      </c>
      <c r="E12" s="30">
        <v>15831.802199999998</v>
      </c>
      <c r="I12" s="40" t="s">
        <v>92</v>
      </c>
      <c r="J12" s="55">
        <v>50077.051499999987</v>
      </c>
      <c r="K12" s="30">
        <v>23867.541500000021</v>
      </c>
      <c r="L12" s="46">
        <f>GETPIVOTDATA("Soma de Lucro_Bruto_R$",$I$10,"Categoria","Beleza")/GETPIVOTDATA("Soma de Receita_Líquida_R$",$I$10,"Categoria","Beleza")</f>
        <v>0.47661634990630442</v>
      </c>
    </row>
    <row r="13" spans="1:15">
      <c r="C13" s="40" t="s">
        <v>1159</v>
      </c>
      <c r="D13" s="30">
        <v>78484.469999999987</v>
      </c>
      <c r="E13" s="30">
        <v>19362.191999999999</v>
      </c>
      <c r="I13" s="40" t="s">
        <v>106</v>
      </c>
      <c r="J13" s="55">
        <v>152321.15089999992</v>
      </c>
      <c r="K13" s="30">
        <v>51820.680900000036</v>
      </c>
      <c r="L13" s="46">
        <f>GETPIVOTDATA("Soma de Lucro_Bruto_R$",$I$10,"Categoria","Casa")/GETPIVOTDATA("Soma de Receita_Líquida_R$",$I$10,"Categoria","Casa")</f>
        <v>0.34020673159186365</v>
      </c>
    </row>
    <row r="14" spans="1:15">
      <c r="C14" s="40" t="s">
        <v>1160</v>
      </c>
      <c r="D14" s="30">
        <v>53319.67</v>
      </c>
      <c r="E14" s="30">
        <v>13386.676199999996</v>
      </c>
      <c r="I14" s="40" t="s">
        <v>119</v>
      </c>
      <c r="J14" s="55">
        <v>152458.57835</v>
      </c>
      <c r="K14" s="30">
        <v>41266.278349999986</v>
      </c>
      <c r="L14" s="46">
        <f>GETPIVOTDATA("Soma de Lucro_Bruto_R$",$I$10,"Categoria","Esporte")/GETPIVOTDATA("Soma de Receita_Líquida_R$",$I$10,"Categoria","Esporte")</f>
        <v>0.27067206579392838</v>
      </c>
    </row>
    <row r="15" spans="1:15">
      <c r="C15" s="40" t="s">
        <v>1161</v>
      </c>
      <c r="D15" s="30">
        <v>69130.279999999984</v>
      </c>
      <c r="E15" s="30">
        <v>16673.024200000003</v>
      </c>
      <c r="I15" s="40" t="s">
        <v>99</v>
      </c>
      <c r="J15" s="55">
        <v>314293.4316999999</v>
      </c>
      <c r="K15" s="30">
        <v>59926.391699999993</v>
      </c>
      <c r="L15" s="46">
        <f>GETPIVOTDATA("Soma de Lucro_Bruto_R$",$I$10,"Categoria","Informática")/GETPIVOTDATA("Soma de Receita_Líquida_R$",$I$10,"Categoria","Informática")</f>
        <v>0.19067020069703866</v>
      </c>
    </row>
    <row r="16" spans="1:15" ht="15">
      <c r="C16" s="40" t="s">
        <v>1162</v>
      </c>
      <c r="D16" s="30">
        <v>80128.239999999991</v>
      </c>
      <c r="E16" s="30">
        <v>18632.858</v>
      </c>
      <c r="I16" s="40" t="s">
        <v>1149</v>
      </c>
      <c r="J16" s="55">
        <v>758697.23964999989</v>
      </c>
      <c r="K16" s="30">
        <v>219917.08965000004</v>
      </c>
      <c r="L16" s="51">
        <f>GETPIVOTDATA("Soma de Lucro_Bruto_R$",$I$10)/GETPIVOTDATA("Soma de Receita_Líquida_R$",$I$10)</f>
        <v>0.28986146008841629</v>
      </c>
    </row>
    <row r="17" spans="3:13">
      <c r="C17" s="40" t="s">
        <v>1163</v>
      </c>
      <c r="D17" s="30">
        <v>51967.850000000006</v>
      </c>
      <c r="E17" s="30">
        <v>15468.065700000003</v>
      </c>
    </row>
    <row r="18" spans="3:13">
      <c r="C18" s="40" t="s">
        <v>1164</v>
      </c>
      <c r="D18" s="30">
        <v>62497.05</v>
      </c>
      <c r="E18" s="30">
        <v>15226.954599999995</v>
      </c>
      <c r="I18" s="43" t="s">
        <v>1173</v>
      </c>
      <c r="J18" s="43"/>
      <c r="K18" s="43"/>
      <c r="L18" s="47"/>
      <c r="M18" s="47"/>
    </row>
    <row r="19" spans="3:13" ht="15">
      <c r="C19" s="40" t="s">
        <v>1165</v>
      </c>
      <c r="D19" s="30">
        <v>81143.460000000036</v>
      </c>
      <c r="E19" s="30">
        <v>19149.958700000007</v>
      </c>
      <c r="I19" s="39" t="s">
        <v>1169</v>
      </c>
      <c r="J19" t="s">
        <v>1153</v>
      </c>
      <c r="K19" t="s">
        <v>1152</v>
      </c>
      <c r="L19" t="s">
        <v>1151</v>
      </c>
      <c r="M19" s="54" t="s">
        <v>1156</v>
      </c>
    </row>
    <row r="20" spans="3:13">
      <c r="C20" s="40" t="s">
        <v>1166</v>
      </c>
      <c r="D20" s="30">
        <v>91229.300000000032</v>
      </c>
      <c r="E20" s="30">
        <v>23636.425100000008</v>
      </c>
      <c r="I20" s="40" t="s">
        <v>90</v>
      </c>
      <c r="J20" s="30">
        <v>39114.593250000005</v>
      </c>
      <c r="K20" s="30">
        <v>173740.26325000002</v>
      </c>
      <c r="L20" s="30">
        <v>31960.548250000003</v>
      </c>
      <c r="M20" s="46">
        <f>GETPIVOTDATA("Soma de Lucro_Bruto_R$",$I$19,"Canal","Marketplace")/GETPIVOTDATA("Soma de Receita_Líquida_R$",$I$19,"Canal","Marketplace")</f>
        <v>0.22513257732156683</v>
      </c>
    </row>
    <row r="21" spans="3:13">
      <c r="C21" s="40" t="s">
        <v>1167</v>
      </c>
      <c r="D21" s="30">
        <v>94942.620000000039</v>
      </c>
      <c r="E21" s="30">
        <v>24735.163850000004</v>
      </c>
      <c r="I21" s="40" t="s">
        <v>122</v>
      </c>
      <c r="J21" s="30">
        <v>68808.460900000005</v>
      </c>
      <c r="K21" s="30">
        <v>238568.88089999984</v>
      </c>
      <c r="L21" s="30">
        <v>28331.323599999989</v>
      </c>
      <c r="M21" s="31">
        <f>GETPIVOTDATA("Soma de Lucro_Bruto_R$",$I$19,"Canal","E-commerce")/GETPIVOTDATA("Soma de Receita_Líquida_R$",$I$19,"Canal","E-commerce")</f>
        <v>0.28842177839968253</v>
      </c>
    </row>
    <row r="22" spans="3:13">
      <c r="C22" s="40" t="s">
        <v>1168</v>
      </c>
      <c r="D22" s="30">
        <v>94605.579999999944</v>
      </c>
      <c r="E22" s="30">
        <v>23318.810000000005</v>
      </c>
      <c r="I22" s="40" t="s">
        <v>97</v>
      </c>
      <c r="J22" s="30">
        <v>91707.919700000057</v>
      </c>
      <c r="K22" s="30">
        <v>284295.07969999989</v>
      </c>
      <c r="L22" s="30">
        <v>20727.17100000002</v>
      </c>
      <c r="M22" s="31">
        <f>GETPIVOTDATA("Soma de Lucro_Bruto_R$",$I$19,"Canal","Loja Física")/GETPIVOTDATA("Soma de Receita_Líquida_R$",$I$19,"Canal","Loja Física")</f>
        <v>0.32258004534153073</v>
      </c>
    </row>
    <row r="23" spans="3:13">
      <c r="C23" s="40" t="s">
        <v>1149</v>
      </c>
      <c r="D23" s="30">
        <v>870408.15999999992</v>
      </c>
      <c r="E23" s="30">
        <v>219917.08965000004</v>
      </c>
      <c r="I23" s="40" t="s">
        <v>104</v>
      </c>
      <c r="J23" s="30">
        <v>20286.115800000003</v>
      </c>
      <c r="K23" s="30">
        <v>62093.01580000003</v>
      </c>
      <c r="L23" s="30">
        <v>4628.0309999999999</v>
      </c>
      <c r="M23" s="31">
        <f>GETPIVOTDATA("Soma de Lucro_Bruto_R$",$I$19,"Canal","Televendas")/GETPIVOTDATA("Soma de Receita_Líquida_R$",$I$19,"Canal","Televendas")</f>
        <v>0.32670527495944229</v>
      </c>
    </row>
    <row r="24" spans="3:13" ht="12" customHeight="1">
      <c r="H24" s="30"/>
      <c r="I24" s="40" t="s">
        <v>1149</v>
      </c>
      <c r="J24" s="30">
        <v>219917.08965000007</v>
      </c>
      <c r="K24" s="30">
        <v>758697.23964999977</v>
      </c>
      <c r="L24" s="30">
        <v>85647.073850000015</v>
      </c>
      <c r="M24" s="52">
        <f>GETPIVOTDATA("Soma de Lucro_Bruto_R$",$I$19)/GETPIVOTDATA("Soma de Receita_Líquida_R$",$I$19)</f>
        <v>0.28986146008841635</v>
      </c>
    </row>
    <row r="26" spans="3:13" ht="15.75" customHeight="1">
      <c r="C26" s="50" t="s">
        <v>1172</v>
      </c>
      <c r="D26" s="50"/>
      <c r="E26" s="50"/>
      <c r="I26" s="43" t="s">
        <v>1175</v>
      </c>
      <c r="J26" s="43"/>
      <c r="K26" s="43"/>
      <c r="L26" s="59"/>
    </row>
    <row r="27" spans="3:13">
      <c r="C27" s="39" t="s">
        <v>1148</v>
      </c>
      <c r="D27" s="30" t="s">
        <v>1150</v>
      </c>
      <c r="E27" t="s">
        <v>1153</v>
      </c>
      <c r="I27" s="39" t="s">
        <v>1169</v>
      </c>
      <c r="J27" t="s">
        <v>1174</v>
      </c>
      <c r="K27" t="s">
        <v>1153</v>
      </c>
    </row>
    <row r="28" spans="3:13">
      <c r="C28" s="40" t="s">
        <v>89</v>
      </c>
      <c r="D28" s="30">
        <v>301776.03000000003</v>
      </c>
      <c r="E28" s="30">
        <v>80544.771699999998</v>
      </c>
      <c r="I28" s="40" t="s">
        <v>110</v>
      </c>
      <c r="J28" s="55">
        <v>108</v>
      </c>
      <c r="K28" s="30">
        <v>20807.312600000012</v>
      </c>
    </row>
    <row r="29" spans="3:13">
      <c r="C29" s="48" t="s">
        <v>132</v>
      </c>
      <c r="D29" s="30">
        <v>110884.70999999999</v>
      </c>
      <c r="E29" s="30">
        <v>30185.452600000001</v>
      </c>
      <c r="I29" s="40" t="s">
        <v>140</v>
      </c>
      <c r="J29" s="55">
        <v>100</v>
      </c>
      <c r="K29" s="30">
        <v>20599.487100000002</v>
      </c>
    </row>
    <row r="30" spans="3:13">
      <c r="C30" s="48" t="s">
        <v>88</v>
      </c>
      <c r="D30" s="30">
        <v>106740.25</v>
      </c>
      <c r="E30" s="30">
        <v>28530.084300000002</v>
      </c>
      <c r="I30" s="40" t="s">
        <v>98</v>
      </c>
      <c r="J30" s="55">
        <v>117</v>
      </c>
      <c r="K30" s="30">
        <v>20022.591650000002</v>
      </c>
    </row>
    <row r="31" spans="3:13">
      <c r="C31" s="48" t="s">
        <v>96</v>
      </c>
      <c r="D31" s="30">
        <v>84151.07</v>
      </c>
      <c r="E31" s="30">
        <v>21829.234799999998</v>
      </c>
      <c r="I31" s="40" t="s">
        <v>105</v>
      </c>
      <c r="J31" s="55">
        <v>101</v>
      </c>
      <c r="K31" s="30">
        <v>19213.723600000001</v>
      </c>
    </row>
    <row r="32" spans="3:13" ht="15" customHeight="1">
      <c r="C32" s="40" t="s">
        <v>103</v>
      </c>
      <c r="D32" s="30">
        <v>258621.34000000003</v>
      </c>
      <c r="E32" s="30">
        <v>61266.211100000008</v>
      </c>
      <c r="I32" s="40" t="s">
        <v>151</v>
      </c>
      <c r="J32" s="55">
        <v>93</v>
      </c>
      <c r="K32" s="30">
        <v>19177.979350000009</v>
      </c>
    </row>
    <row r="33" spans="1:16">
      <c r="C33" s="48" t="s">
        <v>129</v>
      </c>
      <c r="D33" s="30">
        <v>152660.77000000005</v>
      </c>
      <c r="E33" s="30">
        <v>35001.274600000004</v>
      </c>
      <c r="I33" s="40" t="s">
        <v>127</v>
      </c>
      <c r="J33" s="55">
        <v>111</v>
      </c>
      <c r="K33" s="30">
        <v>18778.593800000006</v>
      </c>
    </row>
    <row r="34" spans="1:16">
      <c r="C34" s="48" t="s">
        <v>102</v>
      </c>
      <c r="D34" s="30">
        <v>105960.56999999996</v>
      </c>
      <c r="E34" s="30">
        <v>26264.936500000003</v>
      </c>
      <c r="I34" s="40" t="s">
        <v>91</v>
      </c>
      <c r="J34" s="55">
        <v>109</v>
      </c>
      <c r="K34" s="30">
        <v>18638.661600000007</v>
      </c>
    </row>
    <row r="35" spans="1:16">
      <c r="C35" s="40" t="s">
        <v>114</v>
      </c>
      <c r="D35" s="30">
        <v>189240.36</v>
      </c>
      <c r="E35" s="30">
        <v>48337.805450000014</v>
      </c>
      <c r="I35" s="40" t="s">
        <v>123</v>
      </c>
      <c r="J35" s="55">
        <v>107</v>
      </c>
      <c r="K35" s="30">
        <v>17926.190349999993</v>
      </c>
    </row>
    <row r="36" spans="1:16">
      <c r="C36" s="48" t="s">
        <v>118</v>
      </c>
      <c r="D36" s="30">
        <v>113787.34999999999</v>
      </c>
      <c r="E36" s="30">
        <v>28048.49040000001</v>
      </c>
      <c r="I36" s="40" t="s">
        <v>115</v>
      </c>
      <c r="J36" s="55">
        <v>108</v>
      </c>
      <c r="K36" s="30">
        <v>17782.348899999994</v>
      </c>
    </row>
    <row r="37" spans="1:16">
      <c r="C37" s="48" t="s">
        <v>113</v>
      </c>
      <c r="D37" s="30">
        <v>75453.010000000009</v>
      </c>
      <c r="E37" s="30">
        <v>20289.315050000005</v>
      </c>
      <c r="I37" s="40" t="s">
        <v>160</v>
      </c>
      <c r="J37" s="55">
        <v>92</v>
      </c>
      <c r="K37" s="30">
        <v>16831.649249999995</v>
      </c>
    </row>
    <row r="38" spans="1:16">
      <c r="C38" s="40" t="s">
        <v>137</v>
      </c>
      <c r="D38" s="30">
        <v>120770.42999999992</v>
      </c>
      <c r="E38" s="30">
        <v>29768.301399999989</v>
      </c>
      <c r="I38" s="40" t="s">
        <v>154</v>
      </c>
      <c r="J38" s="55">
        <v>86</v>
      </c>
      <c r="K38" s="30">
        <v>15750.545149999996</v>
      </c>
    </row>
    <row r="39" spans="1:16">
      <c r="C39" s="48" t="s">
        <v>136</v>
      </c>
      <c r="D39" s="30">
        <v>120770.42999999992</v>
      </c>
      <c r="E39" s="30">
        <v>29768.301399999989</v>
      </c>
      <c r="I39" s="40" t="s">
        <v>177</v>
      </c>
      <c r="J39" s="55">
        <v>94</v>
      </c>
      <c r="K39" s="30">
        <v>14253.916299999999</v>
      </c>
    </row>
    <row r="40" spans="1:16">
      <c r="C40" s="40" t="s">
        <v>1149</v>
      </c>
      <c r="D40" s="30">
        <v>870408.15999999992</v>
      </c>
      <c r="E40" s="30">
        <v>219917.08965000004</v>
      </c>
      <c r="I40" s="40" t="s">
        <v>1149</v>
      </c>
      <c r="J40" s="55">
        <v>1226</v>
      </c>
      <c r="K40" s="30">
        <v>219782.99964999998</v>
      </c>
    </row>
    <row r="41" spans="1:16">
      <c r="A41" s="40"/>
      <c r="B41" s="30"/>
    </row>
    <row r="42" spans="1:16">
      <c r="B42" s="58"/>
      <c r="C42" s="58"/>
      <c r="D42" s="58"/>
      <c r="E42" s="58"/>
      <c r="F42" s="58"/>
      <c r="G42" s="58"/>
      <c r="H42" s="58"/>
      <c r="I42" s="47"/>
      <c r="J42" s="47"/>
      <c r="K42" s="47"/>
      <c r="L42" s="58"/>
      <c r="M42" s="58"/>
      <c r="N42" s="58"/>
      <c r="O42" s="47"/>
      <c r="P42" s="47"/>
    </row>
    <row r="43" spans="1:16">
      <c r="A43" s="40"/>
      <c r="B43" s="30"/>
    </row>
    <row r="44" spans="1:16">
      <c r="A44" s="40"/>
      <c r="B44" s="30"/>
    </row>
    <row r="73" ht="24.95" customHeight="1"/>
    <row r="74" ht="24.95" customHeight="1"/>
    <row r="75" ht="24.95" customHeight="1"/>
    <row r="76" ht="24.95" customHeight="1"/>
  </sheetData>
  <sortState xmlns:xlrd2="http://schemas.microsoft.com/office/spreadsheetml/2017/richdata2" ref="I10:K16">
    <sortCondition descending="1" ref="K10"/>
  </sortState>
  <mergeCells count="10">
    <mergeCell ref="A2:O2"/>
    <mergeCell ref="A3:O3"/>
    <mergeCell ref="A5:C5"/>
    <mergeCell ref="A6:C7"/>
    <mergeCell ref="F5:H5"/>
    <mergeCell ref="F6:H7"/>
    <mergeCell ref="I5:K5"/>
    <mergeCell ref="I6:K7"/>
    <mergeCell ref="L5:O5"/>
    <mergeCell ref="L6:O7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Props1.xml><?xml version="1.0" encoding="utf-8"?>
<ds:datastoreItem xmlns:ds="http://schemas.openxmlformats.org/officeDocument/2006/customXml" ds:itemID="{B0362CD7-8423-4D45-944A-382CEBA9A10A}">
  <ds:schemaRefs/>
</ds:datastoreItem>
</file>

<file path=customXml/itemProps2.xml><?xml version="1.0" encoding="utf-8"?>
<ds:datastoreItem xmlns:ds="http://schemas.openxmlformats.org/officeDocument/2006/customXml" ds:itemID="{E76B5F40-D8E3-46BA-A90F-E802BE87D36A}">
  <ds:schemaRefs/>
</ds:datastoreItem>
</file>

<file path=customXml/itemProps3.xml><?xml version="1.0" encoding="utf-8"?>
<ds:datastoreItem xmlns:ds="http://schemas.openxmlformats.org/officeDocument/2006/customXml" ds:itemID="{DB608CEB-AA12-4B7E-8C27-A8A2F2AE7B99}">
  <ds:schemaRefs/>
</ds:datastoreItem>
</file>

<file path=customXml/itemProps4.xml><?xml version="1.0" encoding="utf-8"?>
<ds:datastoreItem xmlns:ds="http://schemas.openxmlformats.org/officeDocument/2006/customXml" ds:itemID="{9A64C1E6-8E29-4759-B950-4253B2DE5836}">
  <ds:schemaRefs/>
</ds:datastoreItem>
</file>

<file path=customXml/itemProps5.xml><?xml version="1.0" encoding="utf-8"?>
<ds:datastoreItem xmlns:ds="http://schemas.openxmlformats.org/officeDocument/2006/customXml" ds:itemID="{7E631F72-FEF7-414A-9DEF-99618486E6DE}">
  <ds:schemaRefs/>
</ds:datastoreItem>
</file>

<file path=customXml/itemProps6.xml><?xml version="1.0" encoding="utf-8"?>
<ds:datastoreItem xmlns:ds="http://schemas.openxmlformats.org/officeDocument/2006/customXml" ds:itemID="{2DE2F32A-89FA-46A6-B8FC-E23547407F1E}">
  <ds:schemaRefs/>
</ds:datastoreItem>
</file>

<file path=customXml/itemProps7.xml><?xml version="1.0" encoding="utf-8"?>
<ds:datastoreItem xmlns:ds="http://schemas.openxmlformats.org/officeDocument/2006/customXml" ds:itemID="{82B2CC9F-A30D-4F4F-929C-183A5139A946}">
  <ds:schemaRefs/>
</ds:datastoreItem>
</file>

<file path=customXml/itemProps8.xml><?xml version="1.0" encoding="utf-8"?>
<ds:datastoreItem xmlns:ds="http://schemas.openxmlformats.org/officeDocument/2006/customXml" ds:itemID="{B1AF85A1-8553-4575-861D-E4DE6B7D54D5}">
  <ds:schemaRefs/>
</ds:datastoreItem>
</file>

<file path=customXml/itemProps9.xml><?xml version="1.0" encoding="utf-8"?>
<ds:datastoreItem xmlns:ds="http://schemas.openxmlformats.org/officeDocument/2006/customXml" ds:itemID="{1D557918-686A-47A7-8C0A-9DB28CBD63A6}">
  <ds:schemaRefs/>
</ds:datastoreItem>
</file>

<file path=customXml/itemProps10.xml><?xml version="1.0" encoding="utf-8"?>
<ds:datastoreItem xmlns:ds="http://schemas.openxmlformats.org/officeDocument/2006/customXml" ds:itemID="{B191C016-2584-44F7-A318-8702F70BBDFE}">
  <ds:schemaRefs/>
</ds:datastoreItem>
</file>

<file path=customXml/itemProps11.xml><?xml version="1.0" encoding="utf-8"?>
<ds:datastoreItem xmlns:ds="http://schemas.openxmlformats.org/officeDocument/2006/customXml" ds:itemID="{CF33296A-3F8A-4370-BB0A-D7E4511279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Leia-me</vt:lpstr>
      <vt:lpstr>Base_Vendas</vt:lpstr>
      <vt:lpstr>Dicionario</vt:lpstr>
      <vt:lpstr>calculos</vt:lpstr>
      <vt:lpstr>Meu_Painel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Char Aznable</cp:lastModifiedBy>
  <dcterms:created xsi:type="dcterms:W3CDTF">2026-10-11T23:27:50Z</dcterms:created>
  <dcterms:modified xsi:type="dcterms:W3CDTF">2026-10-12T23:37:19Z</dcterms:modified>
</cp:coreProperties>
</file>